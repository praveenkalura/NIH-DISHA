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itracin-my.sharepoint.com/personal/p_kalura_wr_iitr_ac_in/Documents/1_EDIPA_PAper/"/>
    </mc:Choice>
  </mc:AlternateContent>
  <xr:revisionPtr revIDLastSave="1000" documentId="13_ncr:1_{D408EF06-84CA-47A0-85AB-C6A2ACA8D8A2}" xr6:coauthVersionLast="47" xr6:coauthVersionMax="47" xr10:uidLastSave="{46D2B6F7-4C7C-4D5C-8DD9-30F9B3ACAE20}"/>
  <bookViews>
    <workbookView xWindow="9660" yWindow="2595" windowWidth="22395" windowHeight="13200" tabRatio="865" firstSheet="3" activeTab="7" xr2:uid="{91FBBD06-9469-4641-A589-F75E145B8FDA}"/>
  </bookViews>
  <sheets>
    <sheet name="User_Inputs" sheetId="1" r:id="rId1"/>
    <sheet name="SCORES" sheetId="5" r:id="rId2"/>
    <sheet name="SummaryTable" sheetId="9" r:id="rId3"/>
    <sheet name="Data(perSeason,perCrop)" sheetId="2" r:id="rId4"/>
    <sheet name="Data(perCrop)" sheetId="23" r:id="rId5"/>
    <sheet name="Cropping_Intensity" sheetId="16" r:id="rId6"/>
    <sheet name="Indicators" sheetId="22" r:id="rId7"/>
    <sheet name="Irrigation_Utilization" sheetId="17" r:id="rId8"/>
    <sheet name="Adequacy" sheetId="13" r:id="rId9"/>
    <sheet name="Productivity" sheetId="21" r:id="rId10"/>
    <sheet name="Equity" sheetId="15" r:id="rId11"/>
    <sheet name="Reliability" sheetId="14" r:id="rId12"/>
    <sheet name="Yield_Gap" sheetId="18" r:id="rId13"/>
    <sheet name="Sheet3" sheetId="26" r:id="rId14"/>
    <sheet name="Indicators(perCrop)" sheetId="25" r:id="rId15"/>
    <sheet name="Low_Water_Intensive_Crops" sheetId="19" r:id="rId16"/>
    <sheet name="Data(FAO-AQUASTAT)" sheetId="7" r:id="rId17"/>
    <sheet name="Figures" sheetId="6" r:id="rId18"/>
  </sheets>
  <externalReferences>
    <externalReference r:id="rId19"/>
    <externalReference r:id="rId20"/>
    <externalReference r:id="rId21"/>
  </externalReferences>
  <definedNames>
    <definedName name="_xlnm._FilterDatabase" localSheetId="3" hidden="1">'Data(perSeason,perCrop)'!$A$1:$T$485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8" l="1"/>
  <c r="B28" i="21" l="1"/>
  <c r="B29" i="21"/>
  <c r="C29" i="21"/>
  <c r="D29" i="21"/>
  <c r="E29" i="21"/>
  <c r="F29" i="21"/>
  <c r="G29" i="21"/>
  <c r="H29" i="21"/>
  <c r="I29" i="21"/>
  <c r="B30" i="21"/>
  <c r="C30" i="21"/>
  <c r="D30" i="21"/>
  <c r="E30" i="21"/>
  <c r="F30" i="21"/>
  <c r="G30" i="21"/>
  <c r="H30" i="21"/>
  <c r="I30" i="21"/>
  <c r="B31" i="21"/>
  <c r="C31" i="21"/>
  <c r="D31" i="21"/>
  <c r="E31" i="21"/>
  <c r="F31" i="21"/>
  <c r="G31" i="21"/>
  <c r="H31" i="21"/>
  <c r="I31" i="21"/>
  <c r="B32" i="21"/>
  <c r="C32" i="21"/>
  <c r="D32" i="21"/>
  <c r="E32" i="21"/>
  <c r="F32" i="21"/>
  <c r="G32" i="21"/>
  <c r="H32" i="21"/>
  <c r="I32" i="21"/>
  <c r="C28" i="21"/>
  <c r="D28" i="21"/>
  <c r="E28" i="21"/>
  <c r="F28" i="21"/>
  <c r="G28" i="21"/>
  <c r="H28" i="21"/>
  <c r="I28" i="21"/>
  <c r="B21" i="21"/>
  <c r="B37" i="21" s="1"/>
  <c r="C21" i="21"/>
  <c r="C37" i="21" s="1"/>
  <c r="D21" i="21"/>
  <c r="D37" i="21" s="1"/>
  <c r="E21" i="21"/>
  <c r="E37" i="21" s="1"/>
  <c r="F21" i="21"/>
  <c r="F37" i="21" s="1"/>
  <c r="G21" i="21"/>
  <c r="G37" i="21" s="1"/>
  <c r="H21" i="21"/>
  <c r="H37" i="21" s="1"/>
  <c r="I21" i="21"/>
  <c r="I37" i="21" s="1"/>
  <c r="B22" i="21"/>
  <c r="B38" i="21" s="1"/>
  <c r="C22" i="21"/>
  <c r="D22" i="21"/>
  <c r="E22" i="21"/>
  <c r="E38" i="21" s="1"/>
  <c r="F22" i="21"/>
  <c r="G22" i="21"/>
  <c r="G38" i="21" s="1"/>
  <c r="H22" i="21"/>
  <c r="I22" i="21"/>
  <c r="I38" i="21" s="1"/>
  <c r="B23" i="21"/>
  <c r="B39" i="21" s="1"/>
  <c r="C23" i="21"/>
  <c r="D23" i="21"/>
  <c r="E23" i="21"/>
  <c r="F23" i="21"/>
  <c r="G23" i="21"/>
  <c r="H23" i="21"/>
  <c r="I23" i="21"/>
  <c r="I39" i="21" s="1"/>
  <c r="B24" i="21"/>
  <c r="B40" i="21" s="1"/>
  <c r="C24" i="21"/>
  <c r="C40" i="21" s="1"/>
  <c r="D24" i="21"/>
  <c r="D40" i="21" s="1"/>
  <c r="E24" i="21"/>
  <c r="E40" i="21" s="1"/>
  <c r="F24" i="21"/>
  <c r="F40" i="21" s="1"/>
  <c r="G24" i="21"/>
  <c r="G40" i="21" s="1"/>
  <c r="H24" i="21"/>
  <c r="H40" i="21" s="1"/>
  <c r="I24" i="21"/>
  <c r="I40" i="21" s="1"/>
  <c r="C20" i="21"/>
  <c r="C36" i="21" s="1"/>
  <c r="D20" i="21"/>
  <c r="D36" i="21" s="1"/>
  <c r="E20" i="21"/>
  <c r="E36" i="21" s="1"/>
  <c r="F20" i="21"/>
  <c r="F36" i="21" s="1"/>
  <c r="G20" i="21"/>
  <c r="G36" i="21" s="1"/>
  <c r="H20" i="21"/>
  <c r="I20" i="21"/>
  <c r="I36" i="21" s="1"/>
  <c r="B20" i="21"/>
  <c r="B36" i="21" s="1"/>
  <c r="B13" i="21"/>
  <c r="C13" i="21"/>
  <c r="D13" i="21"/>
  <c r="E13" i="21"/>
  <c r="F13" i="21"/>
  <c r="G13" i="21"/>
  <c r="H13" i="21"/>
  <c r="I13" i="21"/>
  <c r="B14" i="21"/>
  <c r="C14" i="21"/>
  <c r="D14" i="21"/>
  <c r="E14" i="21"/>
  <c r="F14" i="21"/>
  <c r="G14" i="21"/>
  <c r="H14" i="21"/>
  <c r="I14" i="21"/>
  <c r="B15" i="21"/>
  <c r="C15" i="21"/>
  <c r="D15" i="21"/>
  <c r="E15" i="21"/>
  <c r="F15" i="21"/>
  <c r="G15" i="21"/>
  <c r="H15" i="21"/>
  <c r="I15" i="21"/>
  <c r="B16" i="21"/>
  <c r="C16" i="21"/>
  <c r="D16" i="21"/>
  <c r="E16" i="21"/>
  <c r="F16" i="21"/>
  <c r="G16" i="21"/>
  <c r="H16" i="21"/>
  <c r="I16" i="21"/>
  <c r="C12" i="21"/>
  <c r="D12" i="21"/>
  <c r="E12" i="21"/>
  <c r="F12" i="21"/>
  <c r="G12" i="21"/>
  <c r="H12" i="21"/>
  <c r="I12" i="21"/>
  <c r="B12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B164" i="21"/>
  <c r="B156" i="21"/>
  <c r="B174" i="21" s="1"/>
  <c r="C156" i="21"/>
  <c r="C174" i="21" s="1"/>
  <c r="D156" i="21"/>
  <c r="D174" i="21" s="1"/>
  <c r="E156" i="21"/>
  <c r="E174" i="21" s="1"/>
  <c r="F156" i="21"/>
  <c r="F174" i="21" s="1"/>
  <c r="G156" i="21"/>
  <c r="G174" i="21" s="1"/>
  <c r="H156" i="21"/>
  <c r="H174" i="21" s="1"/>
  <c r="I156" i="21"/>
  <c r="I174" i="21" s="1"/>
  <c r="J156" i="21"/>
  <c r="J174" i="21" s="1"/>
  <c r="K156" i="21"/>
  <c r="K174" i="21" s="1"/>
  <c r="L156" i="21"/>
  <c r="L174" i="21" s="1"/>
  <c r="M156" i="21"/>
  <c r="M174" i="21" s="1"/>
  <c r="N156" i="21"/>
  <c r="N174" i="21" s="1"/>
  <c r="O156" i="21"/>
  <c r="P156" i="21"/>
  <c r="Q156" i="21"/>
  <c r="R156" i="21"/>
  <c r="S156" i="21"/>
  <c r="S174" i="21" s="1"/>
  <c r="T156" i="21"/>
  <c r="T174" i="21" s="1"/>
  <c r="U156" i="21"/>
  <c r="V156" i="21"/>
  <c r="V174" i="21" s="1"/>
  <c r="W156" i="21"/>
  <c r="W174" i="21" s="1"/>
  <c r="X156" i="21"/>
  <c r="X174" i="21" s="1"/>
  <c r="Y156" i="21"/>
  <c r="Y174" i="21" s="1"/>
  <c r="Z156" i="21"/>
  <c r="Z174" i="21" s="1"/>
  <c r="AA156" i="21"/>
  <c r="AA174" i="21" s="1"/>
  <c r="AB156" i="21"/>
  <c r="AB174" i="21" s="1"/>
  <c r="AC156" i="21"/>
  <c r="AC174" i="21" s="1"/>
  <c r="AD156" i="21"/>
  <c r="AD174" i="21" s="1"/>
  <c r="AE156" i="21"/>
  <c r="AF156" i="21"/>
  <c r="AF174" i="21" s="1"/>
  <c r="B157" i="21"/>
  <c r="C157" i="21"/>
  <c r="C175" i="21" s="1"/>
  <c r="D157" i="21"/>
  <c r="D175" i="21" s="1"/>
  <c r="E157" i="21"/>
  <c r="E175" i="21" s="1"/>
  <c r="F157" i="21"/>
  <c r="F175" i="21" s="1"/>
  <c r="G157" i="21"/>
  <c r="G175" i="21" s="1"/>
  <c r="H157" i="21"/>
  <c r="H175" i="21" s="1"/>
  <c r="I157" i="21"/>
  <c r="I175" i="21" s="1"/>
  <c r="J157" i="21"/>
  <c r="J175" i="21" s="1"/>
  <c r="K157" i="21"/>
  <c r="K175" i="21" s="1"/>
  <c r="L157" i="21"/>
  <c r="L175" i="21" s="1"/>
  <c r="M157" i="21"/>
  <c r="M175" i="21" s="1"/>
  <c r="N157" i="21"/>
  <c r="N175" i="21" s="1"/>
  <c r="O157" i="21"/>
  <c r="P157" i="21"/>
  <c r="Q157" i="21"/>
  <c r="Q175" i="21" s="1"/>
  <c r="R157" i="21"/>
  <c r="S157" i="21"/>
  <c r="S175" i="21" s="1"/>
  <c r="T157" i="21"/>
  <c r="T175" i="21" s="1"/>
  <c r="U157" i="21"/>
  <c r="V157" i="21"/>
  <c r="V175" i="21" s="1"/>
  <c r="W157" i="21"/>
  <c r="W175" i="21" s="1"/>
  <c r="X157" i="21"/>
  <c r="X175" i="21" s="1"/>
  <c r="Y157" i="21"/>
  <c r="Y175" i="21" s="1"/>
  <c r="Z157" i="21"/>
  <c r="Z175" i="21" s="1"/>
  <c r="AA157" i="21"/>
  <c r="AA175" i="21" s="1"/>
  <c r="AB157" i="21"/>
  <c r="AB175" i="21" s="1"/>
  <c r="AC157" i="21"/>
  <c r="AD157" i="21"/>
  <c r="AE157" i="21"/>
  <c r="AE175" i="21" s="1"/>
  <c r="AF157" i="21"/>
  <c r="AF175" i="21" s="1"/>
  <c r="B158" i="21"/>
  <c r="B176" i="21" s="1"/>
  <c r="C158" i="21"/>
  <c r="C176" i="21" s="1"/>
  <c r="D158" i="21"/>
  <c r="D176" i="21" s="1"/>
  <c r="E158" i="21"/>
  <c r="E176" i="21" s="1"/>
  <c r="F158" i="21"/>
  <c r="F176" i="21" s="1"/>
  <c r="G158" i="21"/>
  <c r="G176" i="21" s="1"/>
  <c r="H158" i="21"/>
  <c r="H176" i="21" s="1"/>
  <c r="I158" i="21"/>
  <c r="I176" i="21" s="1"/>
  <c r="J158" i="21"/>
  <c r="J176" i="21" s="1"/>
  <c r="K158" i="21"/>
  <c r="K176" i="21" s="1"/>
  <c r="L158" i="21"/>
  <c r="L176" i="21" s="1"/>
  <c r="M158" i="21"/>
  <c r="M176" i="21" s="1"/>
  <c r="N158" i="21"/>
  <c r="N176" i="21" s="1"/>
  <c r="O158" i="21"/>
  <c r="P158" i="21"/>
  <c r="Q158" i="21"/>
  <c r="Q176" i="21" s="1"/>
  <c r="R158" i="21"/>
  <c r="S158" i="21"/>
  <c r="S176" i="21" s="1"/>
  <c r="T158" i="21"/>
  <c r="T176" i="21" s="1"/>
  <c r="U158" i="21"/>
  <c r="V158" i="21"/>
  <c r="V176" i="21" s="1"/>
  <c r="W158" i="21"/>
  <c r="W176" i="21" s="1"/>
  <c r="X158" i="21"/>
  <c r="X176" i="21" s="1"/>
  <c r="Y158" i="21"/>
  <c r="Z158" i="21"/>
  <c r="Z176" i="21" s="1"/>
  <c r="AA158" i="21"/>
  <c r="AA176" i="21" s="1"/>
  <c r="AB158" i="21"/>
  <c r="AB176" i="21" s="1"/>
  <c r="AC158" i="21"/>
  <c r="AC176" i="21" s="1"/>
  <c r="AD158" i="21"/>
  <c r="AD176" i="21" s="1"/>
  <c r="AE158" i="21"/>
  <c r="AE176" i="21" s="1"/>
  <c r="AF158" i="21"/>
  <c r="AF176" i="21" s="1"/>
  <c r="B159" i="21"/>
  <c r="B177" i="21" s="1"/>
  <c r="C159" i="21"/>
  <c r="C177" i="21" s="1"/>
  <c r="D159" i="21"/>
  <c r="D177" i="21" s="1"/>
  <c r="E159" i="21"/>
  <c r="E177" i="21" s="1"/>
  <c r="F159" i="21"/>
  <c r="F177" i="21" s="1"/>
  <c r="G159" i="21"/>
  <c r="G177" i="21" s="1"/>
  <c r="H159" i="21"/>
  <c r="H177" i="21" s="1"/>
  <c r="I159" i="21"/>
  <c r="I177" i="21" s="1"/>
  <c r="J159" i="21"/>
  <c r="J177" i="21" s="1"/>
  <c r="K159" i="21"/>
  <c r="L159" i="21"/>
  <c r="M159" i="21"/>
  <c r="M177" i="21" s="1"/>
  <c r="N159" i="21"/>
  <c r="N177" i="21" s="1"/>
  <c r="O159" i="21"/>
  <c r="P159" i="21"/>
  <c r="Q159" i="21"/>
  <c r="Q177" i="21" s="1"/>
  <c r="R159" i="21"/>
  <c r="S159" i="21"/>
  <c r="S177" i="21" s="1"/>
  <c r="T159" i="21"/>
  <c r="T177" i="21" s="1"/>
  <c r="U159" i="21"/>
  <c r="V159" i="21"/>
  <c r="V177" i="21" s="1"/>
  <c r="W159" i="21"/>
  <c r="W177" i="21" s="1"/>
  <c r="X159" i="21"/>
  <c r="X177" i="21" s="1"/>
  <c r="Y159" i="21"/>
  <c r="Y177" i="21" s="1"/>
  <c r="Z159" i="21"/>
  <c r="Z177" i="21" s="1"/>
  <c r="AA159" i="21"/>
  <c r="AA177" i="21" s="1"/>
  <c r="AB159" i="21"/>
  <c r="AB177" i="21" s="1"/>
  <c r="AC159" i="21"/>
  <c r="AC177" i="21" s="1"/>
  <c r="AD159" i="21"/>
  <c r="AD177" i="21" s="1"/>
  <c r="AE159" i="21"/>
  <c r="AE177" i="21" s="1"/>
  <c r="AF159" i="21"/>
  <c r="AF177" i="21" s="1"/>
  <c r="C155" i="21"/>
  <c r="C173" i="21" s="1"/>
  <c r="D155" i="21"/>
  <c r="D173" i="21" s="1"/>
  <c r="E155" i="21"/>
  <c r="E173" i="21" s="1"/>
  <c r="F155" i="21"/>
  <c r="F173" i="21" s="1"/>
  <c r="G155" i="21"/>
  <c r="G173" i="21" s="1"/>
  <c r="H155" i="21"/>
  <c r="H173" i="21" s="1"/>
  <c r="I155" i="21"/>
  <c r="J155" i="21"/>
  <c r="K155" i="21"/>
  <c r="L155" i="21"/>
  <c r="M155" i="21"/>
  <c r="N155" i="21"/>
  <c r="O155" i="21"/>
  <c r="P155" i="21"/>
  <c r="Q155" i="21"/>
  <c r="R155" i="21"/>
  <c r="S155" i="21"/>
  <c r="S173" i="21" s="1"/>
  <c r="T155" i="21"/>
  <c r="U155" i="21"/>
  <c r="V155" i="21"/>
  <c r="V173" i="21" s="1"/>
  <c r="W155" i="21"/>
  <c r="W173" i="21" s="1"/>
  <c r="X155" i="21"/>
  <c r="X173" i="21" s="1"/>
  <c r="Y155" i="21"/>
  <c r="Y173" i="21" s="1"/>
  <c r="Z155" i="21"/>
  <c r="Z173" i="21" s="1"/>
  <c r="AA155" i="21"/>
  <c r="AA173" i="21" s="1"/>
  <c r="AB155" i="21"/>
  <c r="AB173" i="21" s="1"/>
  <c r="AC155" i="21"/>
  <c r="AC173" i="21" s="1"/>
  <c r="AD155" i="21"/>
  <c r="AD173" i="21" s="1"/>
  <c r="AE155" i="21"/>
  <c r="AE173" i="21" s="1"/>
  <c r="AF155" i="21"/>
  <c r="AF173" i="21" s="1"/>
  <c r="B155" i="21"/>
  <c r="B173" i="21" s="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B145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B118" i="21"/>
  <c r="B119" i="21"/>
  <c r="B120" i="21"/>
  <c r="B121" i="21"/>
  <c r="B122" i="21"/>
  <c r="C119" i="21"/>
  <c r="C120" i="21"/>
  <c r="C121" i="21"/>
  <c r="C122" i="21"/>
  <c r="C118" i="21"/>
  <c r="D109" i="21"/>
  <c r="D127" i="21" s="1"/>
  <c r="E109" i="21"/>
  <c r="E127" i="21" s="1"/>
  <c r="F109" i="21"/>
  <c r="F127" i="21" s="1"/>
  <c r="G109" i="21"/>
  <c r="G127" i="21" s="1"/>
  <c r="H109" i="21"/>
  <c r="I109" i="21"/>
  <c r="I127" i="21" s="1"/>
  <c r="J109" i="21"/>
  <c r="J127" i="21" s="1"/>
  <c r="K109" i="21"/>
  <c r="K127" i="21" s="1"/>
  <c r="L109" i="21"/>
  <c r="L127" i="21" s="1"/>
  <c r="M109" i="21"/>
  <c r="M127" i="21" s="1"/>
  <c r="N109" i="21"/>
  <c r="N127" i="21" s="1"/>
  <c r="O109" i="21"/>
  <c r="P109" i="21"/>
  <c r="Q109" i="21"/>
  <c r="Q127" i="21" s="1"/>
  <c r="R109" i="21"/>
  <c r="S109" i="21"/>
  <c r="T109" i="21"/>
  <c r="T127" i="21" s="1"/>
  <c r="U109" i="21"/>
  <c r="V109" i="21"/>
  <c r="V127" i="21" s="1"/>
  <c r="W109" i="21"/>
  <c r="W127" i="21" s="1"/>
  <c r="X109" i="21"/>
  <c r="X127" i="21" s="1"/>
  <c r="Y109" i="21"/>
  <c r="Y127" i="21" s="1"/>
  <c r="Z109" i="21"/>
  <c r="Z127" i="21" s="1"/>
  <c r="AA109" i="21"/>
  <c r="AB109" i="21"/>
  <c r="AB127" i="21" s="1"/>
  <c r="AC109" i="21"/>
  <c r="AD109" i="21"/>
  <c r="AD127" i="21" s="1"/>
  <c r="AE109" i="21"/>
  <c r="AE127" i="21" s="1"/>
  <c r="AF109" i="21"/>
  <c r="AF127" i="21" s="1"/>
  <c r="D110" i="21"/>
  <c r="D128" i="21" s="1"/>
  <c r="E110" i="21"/>
  <c r="E128" i="21" s="1"/>
  <c r="F110" i="21"/>
  <c r="G110" i="21"/>
  <c r="H110" i="21"/>
  <c r="H128" i="21" s="1"/>
  <c r="I110" i="21"/>
  <c r="I128" i="21" s="1"/>
  <c r="J110" i="21"/>
  <c r="J128" i="21" s="1"/>
  <c r="K110" i="21"/>
  <c r="K128" i="21" s="1"/>
  <c r="L110" i="21"/>
  <c r="L128" i="21" s="1"/>
  <c r="M110" i="21"/>
  <c r="M128" i="21" s="1"/>
  <c r="N110" i="21"/>
  <c r="N128" i="21" s="1"/>
  <c r="O110" i="21"/>
  <c r="O128" i="21" s="1"/>
  <c r="P110" i="21"/>
  <c r="Q110" i="21"/>
  <c r="Q128" i="21" s="1"/>
  <c r="R110" i="21"/>
  <c r="S110" i="21"/>
  <c r="S128" i="21" s="1"/>
  <c r="T110" i="21"/>
  <c r="T128" i="21" s="1"/>
  <c r="U110" i="21"/>
  <c r="V110" i="21"/>
  <c r="V128" i="21" s="1"/>
  <c r="W110" i="21"/>
  <c r="W128" i="21" s="1"/>
  <c r="X110" i="21"/>
  <c r="X128" i="21" s="1"/>
  <c r="Y110" i="21"/>
  <c r="Y128" i="21" s="1"/>
  <c r="Z110" i="21"/>
  <c r="AA110" i="21"/>
  <c r="AA128" i="21" s="1"/>
  <c r="AB110" i="21"/>
  <c r="AB128" i="21" s="1"/>
  <c r="AC110" i="21"/>
  <c r="AC128" i="21" s="1"/>
  <c r="AD110" i="21"/>
  <c r="AD128" i="21" s="1"/>
  <c r="AE110" i="21"/>
  <c r="AE128" i="21" s="1"/>
  <c r="AF110" i="21"/>
  <c r="AF128" i="21" s="1"/>
  <c r="D111" i="21"/>
  <c r="D129" i="21" s="1"/>
  <c r="E111" i="21"/>
  <c r="E129" i="21" s="1"/>
  <c r="F111" i="21"/>
  <c r="F129" i="21" s="1"/>
  <c r="G111" i="21"/>
  <c r="G129" i="21" s="1"/>
  <c r="H111" i="21"/>
  <c r="H129" i="21" s="1"/>
  <c r="I111" i="21"/>
  <c r="I129" i="21" s="1"/>
  <c r="J111" i="21"/>
  <c r="J129" i="21" s="1"/>
  <c r="K111" i="21"/>
  <c r="K129" i="21" s="1"/>
  <c r="L111" i="21"/>
  <c r="L129" i="21" s="1"/>
  <c r="M111" i="21"/>
  <c r="M129" i="21" s="1"/>
  <c r="N111" i="21"/>
  <c r="N129" i="21" s="1"/>
  <c r="O111" i="21"/>
  <c r="O129" i="21" s="1"/>
  <c r="P111" i="21"/>
  <c r="Q111" i="21"/>
  <c r="Q129" i="21" s="1"/>
  <c r="R111" i="21"/>
  <c r="S111" i="21"/>
  <c r="S129" i="21" s="1"/>
  <c r="T111" i="21"/>
  <c r="T129" i="21" s="1"/>
  <c r="U111" i="21"/>
  <c r="V111" i="21"/>
  <c r="V129" i="21" s="1"/>
  <c r="W111" i="21"/>
  <c r="W129" i="21" s="1"/>
  <c r="X111" i="21"/>
  <c r="X129" i="21" s="1"/>
  <c r="Y111" i="21"/>
  <c r="Y129" i="21" s="1"/>
  <c r="Z111" i="21"/>
  <c r="Z129" i="21" s="1"/>
  <c r="AA111" i="21"/>
  <c r="AA129" i="21" s="1"/>
  <c r="AB111" i="21"/>
  <c r="AB129" i="21" s="1"/>
  <c r="AC111" i="21"/>
  <c r="AC129" i="21" s="1"/>
  <c r="AD111" i="21"/>
  <c r="AD129" i="21" s="1"/>
  <c r="AE111" i="21"/>
  <c r="AE129" i="21" s="1"/>
  <c r="AF111" i="21"/>
  <c r="AF129" i="21" s="1"/>
  <c r="D112" i="21"/>
  <c r="D130" i="21" s="1"/>
  <c r="E112" i="21"/>
  <c r="E130" i="21" s="1"/>
  <c r="F112" i="21"/>
  <c r="F130" i="21" s="1"/>
  <c r="G112" i="21"/>
  <c r="G130" i="21" s="1"/>
  <c r="H112" i="21"/>
  <c r="H130" i="21" s="1"/>
  <c r="I112" i="21"/>
  <c r="I130" i="21" s="1"/>
  <c r="J112" i="21"/>
  <c r="J130" i="21" s="1"/>
  <c r="K112" i="21"/>
  <c r="K130" i="21" s="1"/>
  <c r="L112" i="21"/>
  <c r="L130" i="21" s="1"/>
  <c r="M112" i="21"/>
  <c r="M130" i="21" s="1"/>
  <c r="N112" i="21"/>
  <c r="N130" i="21" s="1"/>
  <c r="O112" i="21"/>
  <c r="O130" i="21" s="1"/>
  <c r="P112" i="21"/>
  <c r="Q112" i="21"/>
  <c r="Q130" i="21" s="1"/>
  <c r="R112" i="21"/>
  <c r="S112" i="21"/>
  <c r="S130" i="21" s="1"/>
  <c r="T112" i="21"/>
  <c r="T130" i="21" s="1"/>
  <c r="U112" i="21"/>
  <c r="V112" i="21"/>
  <c r="V130" i="21" s="1"/>
  <c r="W112" i="21"/>
  <c r="W130" i="21" s="1"/>
  <c r="X112" i="21"/>
  <c r="X130" i="21" s="1"/>
  <c r="Y112" i="21"/>
  <c r="Y130" i="21" s="1"/>
  <c r="Z112" i="21"/>
  <c r="Z130" i="21" s="1"/>
  <c r="AA112" i="21"/>
  <c r="AA130" i="21" s="1"/>
  <c r="AB112" i="21"/>
  <c r="AB130" i="21" s="1"/>
  <c r="AC112" i="21"/>
  <c r="AC130" i="21" s="1"/>
  <c r="AD112" i="21"/>
  <c r="AD130" i="21" s="1"/>
  <c r="AE112" i="21"/>
  <c r="AE130" i="21" s="1"/>
  <c r="AF112" i="21"/>
  <c r="AF130" i="21" s="1"/>
  <c r="D113" i="21"/>
  <c r="D131" i="21" s="1"/>
  <c r="E113" i="21"/>
  <c r="E131" i="21" s="1"/>
  <c r="F113" i="21"/>
  <c r="F131" i="21" s="1"/>
  <c r="G113" i="21"/>
  <c r="G131" i="21" s="1"/>
  <c r="H113" i="21"/>
  <c r="H131" i="21" s="1"/>
  <c r="I113" i="21"/>
  <c r="I131" i="21" s="1"/>
  <c r="J113" i="21"/>
  <c r="J131" i="21" s="1"/>
  <c r="K113" i="21"/>
  <c r="K131" i="21" s="1"/>
  <c r="L113" i="21"/>
  <c r="M113" i="21"/>
  <c r="M131" i="21" s="1"/>
  <c r="N113" i="21"/>
  <c r="N131" i="21" s="1"/>
  <c r="O113" i="21"/>
  <c r="O131" i="21" s="1"/>
  <c r="P113" i="21"/>
  <c r="Q113" i="21"/>
  <c r="Q131" i="21" s="1"/>
  <c r="R113" i="21"/>
  <c r="S113" i="21"/>
  <c r="S131" i="21" s="1"/>
  <c r="T113" i="21"/>
  <c r="T131" i="21" s="1"/>
  <c r="U113" i="21"/>
  <c r="V113" i="21"/>
  <c r="V131" i="21" s="1"/>
  <c r="W113" i="21"/>
  <c r="W131" i="21" s="1"/>
  <c r="X113" i="21"/>
  <c r="X131" i="21" s="1"/>
  <c r="Y113" i="21"/>
  <c r="Y131" i="21" s="1"/>
  <c r="Z113" i="21"/>
  <c r="Z131" i="21" s="1"/>
  <c r="AA113" i="21"/>
  <c r="AA131" i="21" s="1"/>
  <c r="AB113" i="21"/>
  <c r="AB131" i="21" s="1"/>
  <c r="AC113" i="21"/>
  <c r="AC131" i="21" s="1"/>
  <c r="AD113" i="21"/>
  <c r="AD131" i="21" s="1"/>
  <c r="AE113" i="21"/>
  <c r="AE131" i="21" s="1"/>
  <c r="AF113" i="21"/>
  <c r="AF131" i="21" s="1"/>
  <c r="B109" i="21"/>
  <c r="B110" i="21"/>
  <c r="B128" i="21" s="1"/>
  <c r="B111" i="21"/>
  <c r="B129" i="21" s="1"/>
  <c r="B112" i="21"/>
  <c r="B130" i="21" s="1"/>
  <c r="B113" i="21"/>
  <c r="B131" i="21" s="1"/>
  <c r="C110" i="21"/>
  <c r="C111" i="21"/>
  <c r="C112" i="21"/>
  <c r="C113" i="21"/>
  <c r="C109" i="21"/>
  <c r="B5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B73" i="21"/>
  <c r="C73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B64" i="21"/>
  <c r="B65" i="21"/>
  <c r="B66" i="21"/>
  <c r="B67" i="21"/>
  <c r="B68" i="21"/>
  <c r="C65" i="21"/>
  <c r="C66" i="21"/>
  <c r="C67" i="21"/>
  <c r="C68" i="21"/>
  <c r="C64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B99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B55" i="21"/>
  <c r="C55" i="21"/>
  <c r="B56" i="21"/>
  <c r="C56" i="21"/>
  <c r="B57" i="21"/>
  <c r="C57" i="21"/>
  <c r="B58" i="21"/>
  <c r="C58" i="21"/>
  <c r="C54" i="21"/>
  <c r="D38" i="21" l="1"/>
  <c r="D41" i="21" s="1"/>
  <c r="H36" i="21"/>
  <c r="H41" i="21" s="1"/>
  <c r="C38" i="21"/>
  <c r="C41" i="21" s="1"/>
  <c r="H39" i="21"/>
  <c r="G39" i="21"/>
  <c r="F39" i="21"/>
  <c r="U129" i="21"/>
  <c r="E39" i="21"/>
  <c r="D39" i="21"/>
  <c r="C39" i="21"/>
  <c r="H38" i="21"/>
  <c r="F38" i="21"/>
  <c r="F41" i="21"/>
  <c r="B41" i="21"/>
  <c r="I41" i="21"/>
  <c r="G41" i="21"/>
  <c r="E41" i="21"/>
  <c r="U128" i="21"/>
  <c r="B47" i="21"/>
  <c r="U131" i="21"/>
  <c r="J114" i="21"/>
  <c r="P129" i="21"/>
  <c r="R130" i="21"/>
  <c r="P130" i="21"/>
  <c r="C127" i="21"/>
  <c r="L114" i="21"/>
  <c r="B45" i="21"/>
  <c r="U127" i="21"/>
  <c r="P127" i="21"/>
  <c r="U130" i="21"/>
  <c r="C131" i="21"/>
  <c r="K114" i="21"/>
  <c r="C130" i="21"/>
  <c r="R129" i="21"/>
  <c r="R131" i="21"/>
  <c r="P131" i="21"/>
  <c r="R123" i="21"/>
  <c r="R127" i="21"/>
  <c r="C33" i="21"/>
  <c r="M114" i="21"/>
  <c r="H25" i="21"/>
  <c r="S123" i="21"/>
  <c r="D33" i="21"/>
  <c r="D150" i="21"/>
  <c r="G150" i="21"/>
  <c r="I169" i="21"/>
  <c r="P173" i="21"/>
  <c r="R128" i="21"/>
  <c r="L131" i="21"/>
  <c r="L132" i="21" s="1"/>
  <c r="O175" i="21"/>
  <c r="P174" i="21"/>
  <c r="U173" i="21"/>
  <c r="T123" i="21"/>
  <c r="C169" i="21"/>
  <c r="N132" i="21"/>
  <c r="P114" i="21"/>
  <c r="P123" i="21"/>
  <c r="M132" i="21"/>
  <c r="C129" i="21"/>
  <c r="O123" i="21"/>
  <c r="P150" i="21"/>
  <c r="R169" i="21"/>
  <c r="K132" i="21"/>
  <c r="N123" i="21"/>
  <c r="U150" i="21"/>
  <c r="Q169" i="21"/>
  <c r="Q150" i="21"/>
  <c r="S169" i="21"/>
  <c r="Y132" i="21"/>
  <c r="P128" i="21"/>
  <c r="H114" i="21"/>
  <c r="G169" i="21"/>
  <c r="D123" i="21"/>
  <c r="U174" i="21"/>
  <c r="B114" i="21"/>
  <c r="AD123" i="21"/>
  <c r="M160" i="21"/>
  <c r="S114" i="21"/>
  <c r="Q114" i="21"/>
  <c r="Q123" i="21"/>
  <c r="J123" i="21"/>
  <c r="Y150" i="21"/>
  <c r="AF169" i="21"/>
  <c r="J169" i="21"/>
  <c r="I25" i="21"/>
  <c r="Q132" i="21"/>
  <c r="T132" i="21"/>
  <c r="I132" i="21"/>
  <c r="AB132" i="21"/>
  <c r="AE132" i="21"/>
  <c r="AD132" i="21"/>
  <c r="G114" i="21"/>
  <c r="F114" i="21"/>
  <c r="K123" i="21"/>
  <c r="AE169" i="21"/>
  <c r="C123" i="21"/>
  <c r="S127" i="21"/>
  <c r="S132" i="21" s="1"/>
  <c r="AE150" i="21"/>
  <c r="J160" i="21"/>
  <c r="L160" i="21"/>
  <c r="AE114" i="21"/>
  <c r="AF114" i="21"/>
  <c r="E114" i="21"/>
  <c r="E150" i="21"/>
  <c r="I160" i="21"/>
  <c r="K160" i="21"/>
  <c r="L123" i="21"/>
  <c r="AF150" i="21"/>
  <c r="P175" i="21"/>
  <c r="B33" i="21"/>
  <c r="Q160" i="21"/>
  <c r="AC114" i="21"/>
  <c r="B123" i="21"/>
  <c r="AC150" i="21"/>
  <c r="E123" i="21"/>
  <c r="V150" i="21"/>
  <c r="Z114" i="21"/>
  <c r="W150" i="21"/>
  <c r="F33" i="21"/>
  <c r="Y114" i="21"/>
  <c r="AF123" i="21"/>
  <c r="G33" i="21"/>
  <c r="N114" i="21"/>
  <c r="X114" i="21"/>
  <c r="AC127" i="21"/>
  <c r="AC132" i="21" s="1"/>
  <c r="Z128" i="21"/>
  <c r="Z132" i="21" s="1"/>
  <c r="Q174" i="21"/>
  <c r="M150" i="21"/>
  <c r="O150" i="21"/>
  <c r="X150" i="21"/>
  <c r="H33" i="21"/>
  <c r="H123" i="21"/>
  <c r="I123" i="21"/>
  <c r="E33" i="21"/>
  <c r="AB114" i="21"/>
  <c r="D114" i="21"/>
  <c r="AA114" i="21"/>
  <c r="F123" i="21"/>
  <c r="W132" i="21"/>
  <c r="R150" i="21"/>
  <c r="AA127" i="21"/>
  <c r="AA132" i="21" s="1"/>
  <c r="X132" i="21"/>
  <c r="V132" i="21"/>
  <c r="N150" i="21"/>
  <c r="S150" i="21"/>
  <c r="U114" i="21"/>
  <c r="V114" i="21"/>
  <c r="W114" i="21"/>
  <c r="AE123" i="21"/>
  <c r="B127" i="21"/>
  <c r="L150" i="21"/>
  <c r="T150" i="21"/>
  <c r="P169" i="21"/>
  <c r="I33" i="21"/>
  <c r="M123" i="21"/>
  <c r="AD114" i="21"/>
  <c r="D169" i="21"/>
  <c r="AC123" i="21"/>
  <c r="D132" i="21"/>
  <c r="AF132" i="21"/>
  <c r="B160" i="21"/>
  <c r="AB123" i="21"/>
  <c r="M169" i="21"/>
  <c r="H150" i="21"/>
  <c r="Y123" i="21"/>
  <c r="F150" i="21"/>
  <c r="F128" i="21"/>
  <c r="F132" i="21" s="1"/>
  <c r="V123" i="21"/>
  <c r="J132" i="21"/>
  <c r="E25" i="21"/>
  <c r="I114" i="21"/>
  <c r="K177" i="21"/>
  <c r="F169" i="21"/>
  <c r="L169" i="21"/>
  <c r="O174" i="21"/>
  <c r="G25" i="21"/>
  <c r="R160" i="21"/>
  <c r="R114" i="21"/>
  <c r="C128" i="21"/>
  <c r="Z123" i="21"/>
  <c r="H127" i="21"/>
  <c r="H132" i="21" s="1"/>
  <c r="R174" i="21"/>
  <c r="O114" i="21"/>
  <c r="W123" i="21"/>
  <c r="L177" i="21"/>
  <c r="E169" i="21"/>
  <c r="H169" i="21"/>
  <c r="K169" i="21"/>
  <c r="N169" i="21"/>
  <c r="G123" i="21"/>
  <c r="T114" i="21"/>
  <c r="B25" i="21"/>
  <c r="C25" i="21"/>
  <c r="J150" i="21"/>
  <c r="D25" i="21"/>
  <c r="G128" i="21"/>
  <c r="G132" i="21" s="1"/>
  <c r="C114" i="21"/>
  <c r="C150" i="21"/>
  <c r="F25" i="21"/>
  <c r="E132" i="21"/>
  <c r="AA123" i="21"/>
  <c r="X123" i="21"/>
  <c r="U123" i="21"/>
  <c r="K150" i="21"/>
  <c r="O127" i="21"/>
  <c r="O132" i="21" s="1"/>
  <c r="N160" i="21"/>
  <c r="B17" i="21"/>
  <c r="O169" i="21"/>
  <c r="U177" i="21"/>
  <c r="B169" i="21"/>
  <c r="AD169" i="21"/>
  <c r="P177" i="21"/>
  <c r="AC169" i="21"/>
  <c r="O177" i="21"/>
  <c r="R176" i="21"/>
  <c r="U175" i="21"/>
  <c r="AB169" i="21"/>
  <c r="R177" i="21"/>
  <c r="P176" i="21"/>
  <c r="X169" i="21"/>
  <c r="U176" i="21"/>
  <c r="AA169" i="21"/>
  <c r="Z169" i="21"/>
  <c r="W169" i="21"/>
  <c r="V169" i="21"/>
  <c r="T169" i="21"/>
  <c r="O176" i="21"/>
  <c r="R175" i="21"/>
  <c r="Y169" i="21"/>
  <c r="U169" i="21"/>
  <c r="G178" i="21"/>
  <c r="H178" i="21"/>
  <c r="AE160" i="21"/>
  <c r="O160" i="21"/>
  <c r="F178" i="21"/>
  <c r="S178" i="21"/>
  <c r="U160" i="21"/>
  <c r="T160" i="21"/>
  <c r="S160" i="21"/>
  <c r="Y160" i="21"/>
  <c r="AC160" i="21"/>
  <c r="AD160" i="21"/>
  <c r="T173" i="21"/>
  <c r="T178" i="21" s="1"/>
  <c r="AD150" i="21"/>
  <c r="AB150" i="21"/>
  <c r="I150" i="21"/>
  <c r="AA150" i="21"/>
  <c r="Z150" i="21"/>
  <c r="E178" i="21"/>
  <c r="Z178" i="21"/>
  <c r="AA178" i="21"/>
  <c r="AB178" i="21"/>
  <c r="D178" i="21"/>
  <c r="V178" i="21"/>
  <c r="X178" i="21"/>
  <c r="C178" i="21"/>
  <c r="W178" i="21"/>
  <c r="AF178" i="21"/>
  <c r="Y176" i="21"/>
  <c r="Y178" i="21" s="1"/>
  <c r="AB160" i="21"/>
  <c r="AC175" i="21"/>
  <c r="AC178" i="21" s="1"/>
  <c r="J173" i="21"/>
  <c r="J178" i="21" s="1"/>
  <c r="D160" i="21"/>
  <c r="AF160" i="21"/>
  <c r="K173" i="21"/>
  <c r="E160" i="21"/>
  <c r="L173" i="21"/>
  <c r="V160" i="21"/>
  <c r="W160" i="21"/>
  <c r="B175" i="21"/>
  <c r="B178" i="21" s="1"/>
  <c r="F160" i="21"/>
  <c r="M173" i="21"/>
  <c r="M178" i="21" s="1"/>
  <c r="G160" i="21"/>
  <c r="N173" i="21"/>
  <c r="N178" i="21" s="1"/>
  <c r="H160" i="21"/>
  <c r="O173" i="21"/>
  <c r="X160" i="21"/>
  <c r="Z160" i="21"/>
  <c r="AE174" i="21"/>
  <c r="AE178" i="21" s="1"/>
  <c r="AD175" i="21"/>
  <c r="AD178" i="21" s="1"/>
  <c r="I173" i="21"/>
  <c r="I178" i="21" s="1"/>
  <c r="C160" i="21"/>
  <c r="Q173" i="21"/>
  <c r="R173" i="21"/>
  <c r="P160" i="21"/>
  <c r="AA160" i="21"/>
  <c r="B150" i="21"/>
  <c r="S104" i="21"/>
  <c r="T104" i="21"/>
  <c r="G104" i="21"/>
  <c r="V104" i="21"/>
  <c r="F104" i="21"/>
  <c r="R104" i="21"/>
  <c r="U104" i="21"/>
  <c r="Q104" i="21"/>
  <c r="P104" i="21"/>
  <c r="K104" i="21"/>
  <c r="W104" i="21"/>
  <c r="L104" i="21"/>
  <c r="D104" i="21"/>
  <c r="M104" i="21"/>
  <c r="J104" i="21"/>
  <c r="H104" i="21"/>
  <c r="E104" i="21"/>
  <c r="AF104" i="21"/>
  <c r="AC104" i="21"/>
  <c r="AB104" i="21"/>
  <c r="Z104" i="21"/>
  <c r="Y104" i="21"/>
  <c r="X104" i="21"/>
  <c r="O104" i="21"/>
  <c r="I104" i="21"/>
  <c r="N104" i="21"/>
  <c r="AD104" i="21"/>
  <c r="AA104" i="21"/>
  <c r="AE104" i="21"/>
  <c r="B104" i="21"/>
  <c r="C104" i="21"/>
  <c r="B44" i="21" l="1"/>
  <c r="B46" i="21"/>
  <c r="B48" i="21"/>
  <c r="E7" i="21" s="1"/>
  <c r="E4" i="21"/>
  <c r="U132" i="21"/>
  <c r="P132" i="21"/>
  <c r="R132" i="21"/>
  <c r="E6" i="21"/>
  <c r="L178" i="21"/>
  <c r="I17" i="21"/>
  <c r="R178" i="21"/>
  <c r="Q178" i="21"/>
  <c r="P178" i="21"/>
  <c r="B182" i="21"/>
  <c r="D4" i="21" s="1"/>
  <c r="U178" i="21"/>
  <c r="K178" i="21"/>
  <c r="B151" i="21"/>
  <c r="C132" i="21"/>
  <c r="B132" i="21"/>
  <c r="B184" i="21" s="1"/>
  <c r="D6" i="21" s="1"/>
  <c r="O178" i="21"/>
  <c r="W151" i="21"/>
  <c r="F151" i="21"/>
  <c r="AF151" i="21"/>
  <c r="P151" i="21"/>
  <c r="AB151" i="21"/>
  <c r="O151" i="21"/>
  <c r="AA151" i="21"/>
  <c r="N151" i="21"/>
  <c r="L151" i="21"/>
  <c r="B183" i="21"/>
  <c r="D5" i="21" s="1"/>
  <c r="E151" i="21"/>
  <c r="B181" i="21"/>
  <c r="D3" i="21" s="1"/>
  <c r="J151" i="21"/>
  <c r="Z151" i="21"/>
  <c r="V151" i="21"/>
  <c r="I151" i="21"/>
  <c r="U151" i="21"/>
  <c r="H151" i="21"/>
  <c r="AE151" i="21"/>
  <c r="T151" i="21"/>
  <c r="G151" i="21"/>
  <c r="S151" i="21"/>
  <c r="D151" i="21"/>
  <c r="R151" i="21"/>
  <c r="C151" i="21"/>
  <c r="M151" i="21"/>
  <c r="AD151" i="21"/>
  <c r="Q151" i="21"/>
  <c r="AC151" i="21"/>
  <c r="Y151" i="21"/>
  <c r="K151" i="21"/>
  <c r="X151" i="21"/>
  <c r="B49" i="21" l="1"/>
  <c r="E5" i="21"/>
  <c r="E3" i="21"/>
  <c r="E8" i="21" s="1"/>
  <c r="D17" i="21"/>
  <c r="F17" i="21"/>
  <c r="E17" i="21"/>
  <c r="H17" i="21"/>
  <c r="G17" i="21"/>
  <c r="C17" i="21"/>
  <c r="B5" i="13" l="1"/>
  <c r="B15" i="13" s="1"/>
  <c r="C5" i="13"/>
  <c r="C15" i="13" s="1"/>
  <c r="D5" i="13"/>
  <c r="D15" i="13" s="1"/>
  <c r="E5" i="13"/>
  <c r="E15" i="13" s="1"/>
  <c r="F5" i="13"/>
  <c r="F15" i="13" s="1"/>
  <c r="G5" i="13"/>
  <c r="G15" i="13" s="1"/>
  <c r="H5" i="13"/>
  <c r="H15" i="13" s="1"/>
  <c r="I5" i="13"/>
  <c r="I15" i="13" s="1"/>
  <c r="J5" i="13"/>
  <c r="J15" i="13" s="1"/>
  <c r="K5" i="13"/>
  <c r="K15" i="13" s="1"/>
  <c r="L5" i="13"/>
  <c r="L15" i="13" s="1"/>
  <c r="M5" i="13"/>
  <c r="M15" i="13" s="1"/>
  <c r="N5" i="13"/>
  <c r="N15" i="13" s="1"/>
  <c r="O5" i="13"/>
  <c r="O15" i="13" s="1"/>
  <c r="P5" i="13"/>
  <c r="P15" i="13" s="1"/>
  <c r="Q5" i="13"/>
  <c r="Q15" i="13" s="1"/>
  <c r="R5" i="13"/>
  <c r="R15" i="13" s="1"/>
  <c r="S5" i="13"/>
  <c r="S15" i="13" s="1"/>
  <c r="T5" i="13"/>
  <c r="T15" i="13" s="1"/>
  <c r="U5" i="13"/>
  <c r="U15" i="13" s="1"/>
  <c r="V5" i="13"/>
  <c r="V15" i="13" s="1"/>
  <c r="W5" i="13"/>
  <c r="W15" i="13" s="1"/>
  <c r="X5" i="13"/>
  <c r="X15" i="13" s="1"/>
  <c r="Y5" i="13"/>
  <c r="Y15" i="13" s="1"/>
  <c r="Z5" i="13"/>
  <c r="Z15" i="13" s="1"/>
  <c r="AA5" i="13"/>
  <c r="AA15" i="13" s="1"/>
  <c r="AB5" i="13"/>
  <c r="AB15" i="13" s="1"/>
  <c r="AC5" i="13"/>
  <c r="AC15" i="13" s="1"/>
  <c r="AD5" i="13"/>
  <c r="AD15" i="13" s="1"/>
  <c r="AE5" i="13"/>
  <c r="AE15" i="13" s="1"/>
  <c r="AF5" i="13"/>
  <c r="AF15" i="13" s="1"/>
  <c r="B6" i="13"/>
  <c r="B16" i="13" s="1"/>
  <c r="C6" i="13"/>
  <c r="C16" i="13" s="1"/>
  <c r="D6" i="13"/>
  <c r="D16" i="13" s="1"/>
  <c r="E6" i="13"/>
  <c r="E16" i="13" s="1"/>
  <c r="F6" i="13"/>
  <c r="F16" i="13" s="1"/>
  <c r="G6" i="13"/>
  <c r="G16" i="13" s="1"/>
  <c r="H6" i="13"/>
  <c r="H16" i="13" s="1"/>
  <c r="I6" i="13"/>
  <c r="I16" i="13" s="1"/>
  <c r="J6" i="13"/>
  <c r="J16" i="13" s="1"/>
  <c r="K6" i="13"/>
  <c r="K16" i="13" s="1"/>
  <c r="L6" i="13"/>
  <c r="L16" i="13" s="1"/>
  <c r="M6" i="13"/>
  <c r="M16" i="13" s="1"/>
  <c r="N6" i="13"/>
  <c r="N16" i="13" s="1"/>
  <c r="O6" i="13"/>
  <c r="O16" i="13" s="1"/>
  <c r="P6" i="13"/>
  <c r="P16" i="13" s="1"/>
  <c r="Q6" i="13"/>
  <c r="Q16" i="13" s="1"/>
  <c r="R6" i="13"/>
  <c r="R16" i="13" s="1"/>
  <c r="S6" i="13"/>
  <c r="S16" i="13" s="1"/>
  <c r="T6" i="13"/>
  <c r="T16" i="13" s="1"/>
  <c r="U6" i="13"/>
  <c r="U16" i="13" s="1"/>
  <c r="V6" i="13"/>
  <c r="V16" i="13" s="1"/>
  <c r="W6" i="13"/>
  <c r="W16" i="13" s="1"/>
  <c r="X6" i="13"/>
  <c r="X16" i="13" s="1"/>
  <c r="Y6" i="13"/>
  <c r="Y16" i="13" s="1"/>
  <c r="Z6" i="13"/>
  <c r="Z16" i="13" s="1"/>
  <c r="AA6" i="13"/>
  <c r="AA16" i="13" s="1"/>
  <c r="AB6" i="13"/>
  <c r="AB16" i="13" s="1"/>
  <c r="AC6" i="13"/>
  <c r="AC16" i="13" s="1"/>
  <c r="AD6" i="13"/>
  <c r="AD16" i="13" s="1"/>
  <c r="AE6" i="13"/>
  <c r="AE16" i="13" s="1"/>
  <c r="AF6" i="13"/>
  <c r="AF16" i="13" s="1"/>
  <c r="B7" i="13"/>
  <c r="B17" i="13" s="1"/>
  <c r="C7" i="13"/>
  <c r="C17" i="13" s="1"/>
  <c r="D7" i="13"/>
  <c r="D17" i="13" s="1"/>
  <c r="E7" i="13"/>
  <c r="E17" i="13" s="1"/>
  <c r="F7" i="13"/>
  <c r="F17" i="13" s="1"/>
  <c r="G7" i="13"/>
  <c r="G17" i="13" s="1"/>
  <c r="H7" i="13"/>
  <c r="H17" i="13" s="1"/>
  <c r="I7" i="13"/>
  <c r="I17" i="13" s="1"/>
  <c r="J7" i="13"/>
  <c r="J17" i="13" s="1"/>
  <c r="K7" i="13"/>
  <c r="K17" i="13" s="1"/>
  <c r="L7" i="13"/>
  <c r="L17" i="13" s="1"/>
  <c r="M7" i="13"/>
  <c r="M17" i="13" s="1"/>
  <c r="N7" i="13"/>
  <c r="N17" i="13" s="1"/>
  <c r="O7" i="13"/>
  <c r="O17" i="13" s="1"/>
  <c r="P7" i="13"/>
  <c r="P17" i="13" s="1"/>
  <c r="Q7" i="13"/>
  <c r="Q17" i="13" s="1"/>
  <c r="R7" i="13"/>
  <c r="R17" i="13" s="1"/>
  <c r="S7" i="13"/>
  <c r="S17" i="13" s="1"/>
  <c r="T7" i="13"/>
  <c r="T17" i="13" s="1"/>
  <c r="U7" i="13"/>
  <c r="U17" i="13" s="1"/>
  <c r="V7" i="13"/>
  <c r="V17" i="13" s="1"/>
  <c r="W7" i="13"/>
  <c r="W17" i="13" s="1"/>
  <c r="X7" i="13"/>
  <c r="X17" i="13" s="1"/>
  <c r="Y7" i="13"/>
  <c r="Y17" i="13" s="1"/>
  <c r="Z7" i="13"/>
  <c r="Z17" i="13" s="1"/>
  <c r="AA7" i="13"/>
  <c r="AA17" i="13" s="1"/>
  <c r="AB7" i="13"/>
  <c r="AB17" i="13" s="1"/>
  <c r="AC7" i="13"/>
  <c r="AC17" i="13" s="1"/>
  <c r="AD7" i="13"/>
  <c r="AD17" i="13" s="1"/>
  <c r="AE7" i="13"/>
  <c r="AE17" i="13" s="1"/>
  <c r="AF7" i="13"/>
  <c r="AF17" i="13" s="1"/>
  <c r="B8" i="13"/>
  <c r="B18" i="13" s="1"/>
  <c r="C8" i="13"/>
  <c r="C18" i="13" s="1"/>
  <c r="D8" i="13"/>
  <c r="D18" i="13" s="1"/>
  <c r="E8" i="13"/>
  <c r="E18" i="13" s="1"/>
  <c r="F8" i="13"/>
  <c r="F18" i="13" s="1"/>
  <c r="G8" i="13"/>
  <c r="G18" i="13" s="1"/>
  <c r="H8" i="13"/>
  <c r="H18" i="13" s="1"/>
  <c r="I8" i="13"/>
  <c r="I18" i="13" s="1"/>
  <c r="J8" i="13"/>
  <c r="J18" i="13" s="1"/>
  <c r="K8" i="13"/>
  <c r="K18" i="13" s="1"/>
  <c r="L8" i="13"/>
  <c r="L18" i="13" s="1"/>
  <c r="M8" i="13"/>
  <c r="M18" i="13" s="1"/>
  <c r="N8" i="13"/>
  <c r="N18" i="13" s="1"/>
  <c r="O8" i="13"/>
  <c r="O18" i="13" s="1"/>
  <c r="P8" i="13"/>
  <c r="P18" i="13" s="1"/>
  <c r="Q8" i="13"/>
  <c r="Q18" i="13" s="1"/>
  <c r="R8" i="13"/>
  <c r="R18" i="13" s="1"/>
  <c r="S8" i="13"/>
  <c r="S18" i="13" s="1"/>
  <c r="T8" i="13"/>
  <c r="T18" i="13" s="1"/>
  <c r="U8" i="13"/>
  <c r="U18" i="13" s="1"/>
  <c r="V8" i="13"/>
  <c r="V18" i="13" s="1"/>
  <c r="W8" i="13"/>
  <c r="W18" i="13" s="1"/>
  <c r="X8" i="13"/>
  <c r="X18" i="13" s="1"/>
  <c r="Y8" i="13"/>
  <c r="Y18" i="13" s="1"/>
  <c r="Z8" i="13"/>
  <c r="Z18" i="13" s="1"/>
  <c r="AA8" i="13"/>
  <c r="AA18" i="13" s="1"/>
  <c r="AB8" i="13"/>
  <c r="AB18" i="13" s="1"/>
  <c r="AC8" i="13"/>
  <c r="AC18" i="13" s="1"/>
  <c r="AD8" i="13"/>
  <c r="AD18" i="13" s="1"/>
  <c r="AE8" i="13"/>
  <c r="AE18" i="13" s="1"/>
  <c r="AF8" i="13"/>
  <c r="AF18" i="13" s="1"/>
  <c r="D4" i="13"/>
  <c r="D14" i="13" s="1"/>
  <c r="E4" i="13"/>
  <c r="E14" i="13" s="1"/>
  <c r="F4" i="13"/>
  <c r="F14" i="13" s="1"/>
  <c r="G4" i="13"/>
  <c r="G14" i="13" s="1"/>
  <c r="H4" i="13"/>
  <c r="H14" i="13" s="1"/>
  <c r="I4" i="13"/>
  <c r="I14" i="13" s="1"/>
  <c r="J4" i="13"/>
  <c r="J14" i="13" s="1"/>
  <c r="K4" i="13"/>
  <c r="K14" i="13" s="1"/>
  <c r="L4" i="13"/>
  <c r="L14" i="13" s="1"/>
  <c r="M4" i="13"/>
  <c r="M14" i="13" s="1"/>
  <c r="N4" i="13"/>
  <c r="N14" i="13" s="1"/>
  <c r="O4" i="13"/>
  <c r="O14" i="13" s="1"/>
  <c r="P4" i="13"/>
  <c r="P14" i="13" s="1"/>
  <c r="Q4" i="13"/>
  <c r="Q14" i="13" s="1"/>
  <c r="R4" i="13"/>
  <c r="R14" i="13" s="1"/>
  <c r="S4" i="13"/>
  <c r="S14" i="13" s="1"/>
  <c r="T4" i="13"/>
  <c r="T14" i="13" s="1"/>
  <c r="U4" i="13"/>
  <c r="U14" i="13" s="1"/>
  <c r="V4" i="13"/>
  <c r="V14" i="13" s="1"/>
  <c r="W4" i="13"/>
  <c r="W14" i="13" s="1"/>
  <c r="X4" i="13"/>
  <c r="X14" i="13" s="1"/>
  <c r="Y4" i="13"/>
  <c r="Y14" i="13" s="1"/>
  <c r="Z4" i="13"/>
  <c r="Z14" i="13" s="1"/>
  <c r="AA4" i="13"/>
  <c r="AA14" i="13" s="1"/>
  <c r="AB4" i="13"/>
  <c r="AB14" i="13" s="1"/>
  <c r="AC4" i="13"/>
  <c r="AC14" i="13" s="1"/>
  <c r="AD4" i="13"/>
  <c r="AD14" i="13" s="1"/>
  <c r="AE4" i="13"/>
  <c r="AE14" i="13" s="1"/>
  <c r="AF4" i="13"/>
  <c r="AF14" i="13" s="1"/>
  <c r="B4" i="13"/>
  <c r="B14" i="13" s="1"/>
  <c r="C4" i="13"/>
  <c r="C14" i="13" s="1"/>
  <c r="B34" i="13"/>
  <c r="B21" i="13" l="1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B14" i="18"/>
  <c r="B15" i="18"/>
  <c r="B16" i="18"/>
  <c r="B17" i="18"/>
  <c r="B18" i="18"/>
  <c r="C15" i="18"/>
  <c r="C16" i="18"/>
  <c r="AB26" i="18" s="1"/>
  <c r="C17" i="18"/>
  <c r="AA27" i="18" s="1"/>
  <c r="C18" i="18"/>
  <c r="Z28" i="18" s="1"/>
  <c r="C19" i="18"/>
  <c r="C14" i="18"/>
  <c r="W24" i="18" s="1"/>
  <c r="AC25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AF8" i="18"/>
  <c r="AE8" i="18"/>
  <c r="AD8" i="18"/>
  <c r="AC8" i="18"/>
  <c r="AB8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C8" i="18"/>
  <c r="B8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6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B5" i="14"/>
  <c r="B6" i="14"/>
  <c r="B7" i="14"/>
  <c r="B8" i="14"/>
  <c r="B9" i="14"/>
  <c r="C6" i="14"/>
  <c r="C7" i="14"/>
  <c r="C8" i="14"/>
  <c r="C9" i="14"/>
  <c r="C5" i="14"/>
  <c r="Q26" i="23"/>
  <c r="P26" i="23"/>
  <c r="Q25" i="23"/>
  <c r="P25" i="23"/>
  <c r="Q24" i="23"/>
  <c r="P24" i="23"/>
  <c r="Q23" i="23"/>
  <c r="P23" i="23"/>
  <c r="Q22" i="23"/>
  <c r="P22" i="23"/>
  <c r="Q21" i="23"/>
  <c r="P21" i="23"/>
  <c r="Q20" i="23"/>
  <c r="P20" i="23"/>
  <c r="Q19" i="23"/>
  <c r="P19" i="23"/>
  <c r="Q18" i="23"/>
  <c r="P18" i="23"/>
  <c r="Q17" i="23"/>
  <c r="P17" i="23"/>
  <c r="Q16" i="23"/>
  <c r="P16" i="23"/>
  <c r="Q15" i="23"/>
  <c r="P15" i="23"/>
  <c r="Q14" i="23"/>
  <c r="P14" i="23"/>
  <c r="Q13" i="23"/>
  <c r="P13" i="23"/>
  <c r="Q12" i="23"/>
  <c r="P12" i="23"/>
  <c r="Q11" i="23"/>
  <c r="P11" i="23"/>
  <c r="Q10" i="23"/>
  <c r="P10" i="23"/>
  <c r="Q9" i="23"/>
  <c r="P9" i="23"/>
  <c r="Q8" i="23"/>
  <c r="P8" i="23"/>
  <c r="Q7" i="23"/>
  <c r="P7" i="23"/>
  <c r="Q6" i="23"/>
  <c r="P6" i="23"/>
  <c r="Q5" i="23"/>
  <c r="P5" i="23"/>
  <c r="Q4" i="23"/>
  <c r="P4" i="23"/>
  <c r="Q3" i="23"/>
  <c r="P3" i="23"/>
  <c r="Q2" i="23"/>
  <c r="P2" i="23"/>
  <c r="B18" i="14"/>
  <c r="B17" i="14"/>
  <c r="B16" i="14"/>
  <c r="B15" i="14"/>
  <c r="B14" i="14"/>
  <c r="AD24" i="18" l="1"/>
  <c r="Z24" i="18"/>
  <c r="Y24" i="18"/>
  <c r="AA24" i="18"/>
  <c r="X24" i="18"/>
  <c r="Z27" i="18"/>
  <c r="Y27" i="18"/>
  <c r="X27" i="18"/>
  <c r="W27" i="18"/>
  <c r="V27" i="18"/>
  <c r="AC24" i="18"/>
  <c r="AB24" i="18"/>
  <c r="U24" i="18"/>
  <c r="S24" i="18"/>
  <c r="Q24" i="18"/>
  <c r="V24" i="18"/>
  <c r="P24" i="18"/>
  <c r="K24" i="18"/>
  <c r="T24" i="18"/>
  <c r="I24" i="18"/>
  <c r="AF25" i="18"/>
  <c r="AA25" i="18"/>
  <c r="D25" i="18"/>
  <c r="Z25" i="18"/>
  <c r="W28" i="18"/>
  <c r="R25" i="18"/>
  <c r="O24" i="18"/>
  <c r="H25" i="18"/>
  <c r="V28" i="18"/>
  <c r="Q25" i="18"/>
  <c r="N24" i="18"/>
  <c r="S25" i="18"/>
  <c r="U28" i="18"/>
  <c r="P25" i="18"/>
  <c r="M24" i="18"/>
  <c r="G25" i="18"/>
  <c r="AA26" i="18"/>
  <c r="Y25" i="18"/>
  <c r="X25" i="18"/>
  <c r="V25" i="18"/>
  <c r="Y28" i="18"/>
  <c r="T25" i="18"/>
  <c r="X28" i="18"/>
  <c r="T28" i="18"/>
  <c r="O25" i="18"/>
  <c r="L24" i="18"/>
  <c r="E25" i="18"/>
  <c r="R28" i="18"/>
  <c r="M25" i="18"/>
  <c r="J24" i="18"/>
  <c r="F25" i="18"/>
  <c r="AB25" i="18"/>
  <c r="B28" i="18"/>
  <c r="S28" i="18"/>
  <c r="H24" i="18"/>
  <c r="K28" i="18"/>
  <c r="J25" i="18"/>
  <c r="G24" i="18"/>
  <c r="Z26" i="18"/>
  <c r="B25" i="18"/>
  <c r="W25" i="18"/>
  <c r="C25" i="18"/>
  <c r="U25" i="18"/>
  <c r="N25" i="18"/>
  <c r="M28" i="18"/>
  <c r="L25" i="18"/>
  <c r="L28" i="18"/>
  <c r="K25" i="18"/>
  <c r="J28" i="18"/>
  <c r="I25" i="18"/>
  <c r="F24" i="18"/>
  <c r="U27" i="18"/>
  <c r="T27" i="18"/>
  <c r="U26" i="18"/>
  <c r="S27" i="18"/>
  <c r="T26" i="18"/>
  <c r="Q28" i="18"/>
  <c r="R27" i="18"/>
  <c r="S26" i="18"/>
  <c r="P28" i="18"/>
  <c r="Q27" i="18"/>
  <c r="R26" i="18"/>
  <c r="O28" i="18"/>
  <c r="P27" i="18"/>
  <c r="Q26" i="18"/>
  <c r="B24" i="18"/>
  <c r="N28" i="18"/>
  <c r="O27" i="18"/>
  <c r="P26" i="18"/>
  <c r="R24" i="18"/>
  <c r="Y26" i="18"/>
  <c r="X26" i="18"/>
  <c r="L27" i="18"/>
  <c r="C27" i="18"/>
  <c r="I27" i="18"/>
  <c r="J26" i="18"/>
  <c r="E28" i="18"/>
  <c r="AD27" i="18"/>
  <c r="AE26" i="18"/>
  <c r="AB28" i="18"/>
  <c r="AC27" i="18"/>
  <c r="AD26" i="18"/>
  <c r="AE25" i="18"/>
  <c r="AF24" i="18"/>
  <c r="D24" i="18"/>
  <c r="V26" i="18"/>
  <c r="N27" i="18"/>
  <c r="O26" i="18"/>
  <c r="N26" i="18"/>
  <c r="K27" i="18"/>
  <c r="C26" i="18"/>
  <c r="H27" i="18"/>
  <c r="I26" i="18"/>
  <c r="F28" i="18"/>
  <c r="H26" i="18"/>
  <c r="F27" i="18"/>
  <c r="G26" i="18"/>
  <c r="E27" i="18"/>
  <c r="AA28" i="18"/>
  <c r="AB27" i="18"/>
  <c r="AC26" i="18"/>
  <c r="AD25" i="18"/>
  <c r="AE24" i="18"/>
  <c r="W26" i="18"/>
  <c r="B27" i="18"/>
  <c r="M27" i="18"/>
  <c r="B26" i="18"/>
  <c r="M26" i="18"/>
  <c r="L26" i="18"/>
  <c r="C28" i="18"/>
  <c r="I28" i="18"/>
  <c r="J27" i="18"/>
  <c r="K26" i="18"/>
  <c r="H28" i="18"/>
  <c r="G28" i="18"/>
  <c r="G27" i="18"/>
  <c r="AF28" i="18"/>
  <c r="D28" i="18"/>
  <c r="F26" i="18"/>
  <c r="AE28" i="18"/>
  <c r="AF27" i="18"/>
  <c r="D27" i="18"/>
  <c r="E26" i="18"/>
  <c r="AD28" i="18"/>
  <c r="AE27" i="18"/>
  <c r="AF26" i="18"/>
  <c r="D26" i="18"/>
  <c r="AC28" i="18"/>
  <c r="E24" i="18"/>
  <c r="AF19" i="18"/>
  <c r="K19" i="18"/>
  <c r="T19" i="18"/>
  <c r="Z19" i="18"/>
  <c r="AA19" i="18"/>
  <c r="D19" i="18"/>
  <c r="J19" i="18"/>
  <c r="P19" i="18"/>
  <c r="Y10" i="18"/>
  <c r="AC10" i="18"/>
  <c r="AC19" i="18" s="1"/>
  <c r="Z10" i="18"/>
  <c r="AB10" i="18"/>
  <c r="AB19" i="18" s="1"/>
  <c r="AA10" i="18"/>
  <c r="J10" i="18"/>
  <c r="K10" i="18"/>
  <c r="E10" i="18"/>
  <c r="O10" i="18"/>
  <c r="F10" i="18"/>
  <c r="C10" i="18"/>
  <c r="AE10" i="18"/>
  <c r="AE19" i="18" s="1"/>
  <c r="H10" i="18"/>
  <c r="I10" i="18"/>
  <c r="G10" i="18"/>
  <c r="L10" i="18"/>
  <c r="N10" i="18"/>
  <c r="N19" i="18" s="1"/>
  <c r="R10" i="18"/>
  <c r="R19" i="18" s="1"/>
  <c r="AD10" i="18"/>
  <c r="AD19" i="18" s="1"/>
  <c r="AF10" i="18"/>
  <c r="M10" i="18"/>
  <c r="P10" i="18"/>
  <c r="Q10" i="18"/>
  <c r="T10" i="18"/>
  <c r="U10" i="18"/>
  <c r="V10" i="18"/>
  <c r="W10" i="18"/>
  <c r="X10" i="18"/>
  <c r="D10" i="18"/>
  <c r="S10" i="18"/>
  <c r="C10" i="14"/>
  <c r="M23" i="22"/>
  <c r="Q142" i="23"/>
  <c r="P142" i="23"/>
  <c r="Q141" i="23"/>
  <c r="P141" i="23"/>
  <c r="Q140" i="23"/>
  <c r="P140" i="23"/>
  <c r="Q139" i="23"/>
  <c r="P139" i="23"/>
  <c r="Q138" i="23"/>
  <c r="P138" i="23"/>
  <c r="Q137" i="23"/>
  <c r="P137" i="23"/>
  <c r="Q136" i="23"/>
  <c r="P136" i="23"/>
  <c r="Q135" i="23"/>
  <c r="P135" i="23"/>
  <c r="Q134" i="23"/>
  <c r="P134" i="23"/>
  <c r="Q133" i="23"/>
  <c r="P133" i="23"/>
  <c r="Q132" i="23"/>
  <c r="P132" i="23"/>
  <c r="Q131" i="23"/>
  <c r="P131" i="23"/>
  <c r="Q130" i="23"/>
  <c r="P130" i="23"/>
  <c r="Q129" i="23"/>
  <c r="P129" i="23"/>
  <c r="Q128" i="23"/>
  <c r="P128" i="23"/>
  <c r="Q127" i="23"/>
  <c r="P127" i="23"/>
  <c r="Q126" i="23"/>
  <c r="P126" i="23"/>
  <c r="Q125" i="23"/>
  <c r="P125" i="23"/>
  <c r="Q124" i="23"/>
  <c r="P124" i="23"/>
  <c r="Q123" i="23"/>
  <c r="P123" i="23"/>
  <c r="Q122" i="23"/>
  <c r="P122" i="23"/>
  <c r="Q121" i="23"/>
  <c r="P121" i="23"/>
  <c r="Q120" i="23"/>
  <c r="P120" i="23"/>
  <c r="Q119" i="23"/>
  <c r="P119" i="23"/>
  <c r="Q118" i="23"/>
  <c r="P118" i="23"/>
  <c r="Q117" i="23"/>
  <c r="P117" i="23"/>
  <c r="Q116" i="23"/>
  <c r="P116" i="23"/>
  <c r="Q115" i="23"/>
  <c r="P115" i="23"/>
  <c r="Q114" i="23"/>
  <c r="P114" i="23"/>
  <c r="Q113" i="23"/>
  <c r="P113" i="23"/>
  <c r="Q112" i="23"/>
  <c r="P112" i="23"/>
  <c r="Q111" i="23"/>
  <c r="P111" i="23"/>
  <c r="Q110" i="23"/>
  <c r="P110" i="23"/>
  <c r="Q109" i="23"/>
  <c r="P109" i="23"/>
  <c r="Q108" i="23"/>
  <c r="P108" i="23"/>
  <c r="Q107" i="23"/>
  <c r="P107" i="23"/>
  <c r="Q106" i="23"/>
  <c r="P106" i="23"/>
  <c r="Q105" i="23"/>
  <c r="P105" i="23"/>
  <c r="Q104" i="23"/>
  <c r="P104" i="23"/>
  <c r="Q103" i="23"/>
  <c r="P103" i="23"/>
  <c r="Q102" i="23"/>
  <c r="P102" i="23"/>
  <c r="Q101" i="23"/>
  <c r="P101" i="23"/>
  <c r="Q100" i="23"/>
  <c r="P100" i="23"/>
  <c r="Q99" i="23"/>
  <c r="P99" i="23"/>
  <c r="Q98" i="23"/>
  <c r="P98" i="23"/>
  <c r="Q97" i="23"/>
  <c r="P97" i="23"/>
  <c r="Q96" i="23"/>
  <c r="P96" i="23"/>
  <c r="Q95" i="23"/>
  <c r="P95" i="23"/>
  <c r="Q94" i="23"/>
  <c r="P94" i="23"/>
  <c r="Q93" i="23"/>
  <c r="P93" i="23"/>
  <c r="Q92" i="23"/>
  <c r="P92" i="23"/>
  <c r="Q91" i="23"/>
  <c r="P91" i="23"/>
  <c r="Q90" i="23"/>
  <c r="P90" i="23"/>
  <c r="Q89" i="23"/>
  <c r="P89" i="23"/>
  <c r="Q88" i="23"/>
  <c r="P88" i="23"/>
  <c r="Q87" i="23"/>
  <c r="P87" i="23"/>
  <c r="Q86" i="23"/>
  <c r="P86" i="23"/>
  <c r="Q85" i="23"/>
  <c r="P85" i="23"/>
  <c r="Q84" i="23"/>
  <c r="P84" i="23"/>
  <c r="Q83" i="23"/>
  <c r="P83" i="23"/>
  <c r="Q82" i="23"/>
  <c r="P82" i="23"/>
  <c r="Q81" i="23"/>
  <c r="P81" i="23"/>
  <c r="Q80" i="23"/>
  <c r="P80" i="23"/>
  <c r="Q79" i="23"/>
  <c r="P79" i="23"/>
  <c r="Q78" i="23"/>
  <c r="P78" i="23"/>
  <c r="Q77" i="23"/>
  <c r="P77" i="23"/>
  <c r="Q76" i="23"/>
  <c r="P76" i="23"/>
  <c r="Q75" i="23"/>
  <c r="P75" i="23"/>
  <c r="Q74" i="23"/>
  <c r="P74" i="23"/>
  <c r="Q73" i="23"/>
  <c r="P73" i="23"/>
  <c r="Q72" i="23"/>
  <c r="P72" i="23"/>
  <c r="Q71" i="23"/>
  <c r="P71" i="23"/>
  <c r="Q70" i="23"/>
  <c r="P70" i="23"/>
  <c r="Q69" i="23"/>
  <c r="P69" i="23"/>
  <c r="Q68" i="23"/>
  <c r="P68" i="23"/>
  <c r="Q67" i="23"/>
  <c r="P67" i="23"/>
  <c r="Q66" i="23"/>
  <c r="P66" i="23"/>
  <c r="Q65" i="23"/>
  <c r="P65" i="23"/>
  <c r="Q64" i="23"/>
  <c r="P64" i="23"/>
  <c r="Q63" i="23"/>
  <c r="P63" i="23"/>
  <c r="Q62" i="23"/>
  <c r="P62" i="23"/>
  <c r="Q61" i="23"/>
  <c r="P61" i="23"/>
  <c r="Q60" i="23"/>
  <c r="P60" i="23"/>
  <c r="Q59" i="23"/>
  <c r="P59" i="23"/>
  <c r="Q58" i="23"/>
  <c r="P58" i="23"/>
  <c r="Q57" i="23"/>
  <c r="P57" i="23"/>
  <c r="Q56" i="23"/>
  <c r="P56" i="23"/>
  <c r="Q55" i="23"/>
  <c r="P55" i="23"/>
  <c r="Q54" i="23"/>
  <c r="P54" i="23"/>
  <c r="Q53" i="23"/>
  <c r="P53" i="23"/>
  <c r="Q52" i="23"/>
  <c r="P52" i="23"/>
  <c r="Q51" i="23"/>
  <c r="P51" i="23"/>
  <c r="S26" i="23"/>
  <c r="S25" i="23"/>
  <c r="S24" i="23"/>
  <c r="S23" i="23"/>
  <c r="S22" i="23"/>
  <c r="S21" i="23"/>
  <c r="S20" i="23"/>
  <c r="S19" i="23"/>
  <c r="S18" i="23"/>
  <c r="S17" i="23"/>
  <c r="S16" i="23"/>
  <c r="S15" i="23"/>
  <c r="S14" i="23"/>
  <c r="S13" i="23"/>
  <c r="S12" i="23"/>
  <c r="S11" i="23"/>
  <c r="S10" i="23"/>
  <c r="S9" i="23"/>
  <c r="S8" i="23"/>
  <c r="S7" i="23"/>
  <c r="S6" i="23"/>
  <c r="S5" i="23"/>
  <c r="S4" i="23"/>
  <c r="S3" i="23"/>
  <c r="S2" i="23"/>
  <c r="B83" i="21"/>
  <c r="D83" i="21"/>
  <c r="E83" i="21"/>
  <c r="F83" i="21"/>
  <c r="G83" i="21"/>
  <c r="H83" i="21"/>
  <c r="I83" i="21"/>
  <c r="J83" i="21"/>
  <c r="K83" i="21"/>
  <c r="M83" i="21"/>
  <c r="N83" i="21"/>
  <c r="Q83" i="21"/>
  <c r="S83" i="21"/>
  <c r="T83" i="21"/>
  <c r="V83" i="21"/>
  <c r="W83" i="21"/>
  <c r="X83" i="21"/>
  <c r="Y83" i="21"/>
  <c r="Z83" i="21"/>
  <c r="AA83" i="21"/>
  <c r="AB83" i="21"/>
  <c r="AC83" i="21"/>
  <c r="AD83" i="21"/>
  <c r="AE83" i="21"/>
  <c r="AF83" i="21"/>
  <c r="B84" i="21"/>
  <c r="D84" i="21"/>
  <c r="E84" i="21"/>
  <c r="F84" i="21"/>
  <c r="G84" i="21"/>
  <c r="H84" i="21"/>
  <c r="I84" i="21"/>
  <c r="J84" i="21"/>
  <c r="K84" i="21"/>
  <c r="L84" i="21"/>
  <c r="Q84" i="21"/>
  <c r="S84" i="21"/>
  <c r="T84" i="21"/>
  <c r="V84" i="21"/>
  <c r="W84" i="21"/>
  <c r="X84" i="21"/>
  <c r="Y84" i="21"/>
  <c r="Z84" i="21"/>
  <c r="AA84" i="21"/>
  <c r="AB84" i="21"/>
  <c r="AC84" i="21"/>
  <c r="AD84" i="21"/>
  <c r="AE84" i="21"/>
  <c r="AF84" i="21"/>
  <c r="B85" i="21"/>
  <c r="D85" i="21"/>
  <c r="E85" i="21"/>
  <c r="F85" i="21"/>
  <c r="G85" i="21"/>
  <c r="H85" i="21"/>
  <c r="I85" i="21"/>
  <c r="J85" i="21"/>
  <c r="K85" i="21"/>
  <c r="L85" i="21"/>
  <c r="M85" i="21"/>
  <c r="N85" i="21"/>
  <c r="Q85" i="21"/>
  <c r="S85" i="21"/>
  <c r="T85" i="21"/>
  <c r="V85" i="21"/>
  <c r="W85" i="21"/>
  <c r="X85" i="21"/>
  <c r="Y85" i="21"/>
  <c r="Z85" i="21"/>
  <c r="AA85" i="21"/>
  <c r="AB85" i="21"/>
  <c r="AC85" i="21"/>
  <c r="AD85" i="21"/>
  <c r="AE85" i="21"/>
  <c r="AF85" i="21"/>
  <c r="B86" i="21"/>
  <c r="D86" i="21"/>
  <c r="G86" i="21"/>
  <c r="H86" i="21"/>
  <c r="I86" i="21"/>
  <c r="J86" i="21"/>
  <c r="K86" i="21"/>
  <c r="L86" i="21"/>
  <c r="M86" i="21"/>
  <c r="N86" i="21"/>
  <c r="Q86" i="21"/>
  <c r="S86" i="21"/>
  <c r="T86" i="21"/>
  <c r="V86" i="21"/>
  <c r="W86" i="21"/>
  <c r="X86" i="21"/>
  <c r="Y86" i="21"/>
  <c r="Z86" i="21"/>
  <c r="AA86" i="21"/>
  <c r="AB86" i="21"/>
  <c r="AD86" i="21"/>
  <c r="AE86" i="21"/>
  <c r="AF86" i="21"/>
  <c r="D82" i="21"/>
  <c r="E82" i="21"/>
  <c r="F82" i="21"/>
  <c r="G82" i="21"/>
  <c r="I82" i="21"/>
  <c r="K82" i="21"/>
  <c r="L82" i="21"/>
  <c r="M82" i="21"/>
  <c r="N82" i="21"/>
  <c r="Q82" i="21"/>
  <c r="S82" i="21"/>
  <c r="W82" i="21"/>
  <c r="X82" i="21"/>
  <c r="AE82" i="21"/>
  <c r="AF82" i="21"/>
  <c r="M84" i="21"/>
  <c r="N84" i="21"/>
  <c r="E86" i="21"/>
  <c r="F86" i="21"/>
  <c r="AC86" i="21"/>
  <c r="B5" i="15"/>
  <c r="C5" i="15"/>
  <c r="D5" i="15"/>
  <c r="E5" i="15"/>
  <c r="B6" i="15"/>
  <c r="C6" i="15"/>
  <c r="D6" i="15"/>
  <c r="E6" i="15"/>
  <c r="B7" i="15"/>
  <c r="C7" i="15"/>
  <c r="D7" i="15"/>
  <c r="E7" i="15"/>
  <c r="B8" i="15"/>
  <c r="C8" i="15"/>
  <c r="D8" i="15"/>
  <c r="E8" i="15"/>
  <c r="C4" i="15"/>
  <c r="D4" i="15"/>
  <c r="E4" i="15"/>
  <c r="B4" i="15"/>
  <c r="B11" i="17"/>
  <c r="C11" i="17"/>
  <c r="D11" i="17"/>
  <c r="E11" i="17"/>
  <c r="F11" i="17"/>
  <c r="G11" i="17"/>
  <c r="H11" i="17"/>
  <c r="I11" i="17"/>
  <c r="B12" i="17"/>
  <c r="C12" i="17"/>
  <c r="D12" i="17"/>
  <c r="E12" i="17"/>
  <c r="F12" i="17"/>
  <c r="G12" i="17"/>
  <c r="H12" i="17"/>
  <c r="I12" i="17"/>
  <c r="B13" i="17"/>
  <c r="C13" i="17"/>
  <c r="D13" i="17"/>
  <c r="E13" i="17"/>
  <c r="F13" i="17"/>
  <c r="G13" i="17"/>
  <c r="H13" i="17"/>
  <c r="I13" i="17"/>
  <c r="B14" i="17"/>
  <c r="C14" i="17"/>
  <c r="D14" i="17"/>
  <c r="E14" i="17"/>
  <c r="F14" i="17"/>
  <c r="G14" i="17"/>
  <c r="H14" i="17"/>
  <c r="I14" i="17"/>
  <c r="C10" i="17"/>
  <c r="D10" i="17"/>
  <c r="E10" i="17"/>
  <c r="F10" i="17"/>
  <c r="G10" i="17"/>
  <c r="H10" i="17"/>
  <c r="I10" i="17"/>
  <c r="B10" i="17"/>
  <c r="M78" i="21" l="1"/>
  <c r="J78" i="21"/>
  <c r="N78" i="21"/>
  <c r="F78" i="21"/>
  <c r="AF78" i="21"/>
  <c r="D78" i="21"/>
  <c r="L78" i="21"/>
  <c r="I78" i="21"/>
  <c r="H78" i="21"/>
  <c r="P84" i="21"/>
  <c r="G78" i="21"/>
  <c r="O84" i="21"/>
  <c r="C84" i="21"/>
  <c r="B136" i="21" s="1"/>
  <c r="C4" i="21" s="1"/>
  <c r="U82" i="21"/>
  <c r="B22" i="13"/>
  <c r="B23" i="13"/>
  <c r="B25" i="13"/>
  <c r="B24" i="13"/>
  <c r="Q29" i="18"/>
  <c r="V29" i="18"/>
  <c r="AD29" i="18"/>
  <c r="Z29" i="18"/>
  <c r="N29" i="18"/>
  <c r="C29" i="18"/>
  <c r="O29" i="18"/>
  <c r="AC29" i="18"/>
  <c r="AB29" i="18"/>
  <c r="X29" i="18"/>
  <c r="AA29" i="18"/>
  <c r="Y29" i="18"/>
  <c r="R29" i="18"/>
  <c r="U29" i="18"/>
  <c r="G29" i="18"/>
  <c r="P29" i="18"/>
  <c r="S29" i="18"/>
  <c r="T29" i="18"/>
  <c r="B34" i="18"/>
  <c r="M29" i="18"/>
  <c r="W29" i="18"/>
  <c r="J29" i="18"/>
  <c r="B33" i="18"/>
  <c r="F29" i="18"/>
  <c r="K29" i="18"/>
  <c r="D29" i="18"/>
  <c r="AF29" i="18"/>
  <c r="L29" i="18"/>
  <c r="AE29" i="18"/>
  <c r="E29" i="18"/>
  <c r="H29" i="18"/>
  <c r="I29" i="18"/>
  <c r="F19" i="18"/>
  <c r="S19" i="18"/>
  <c r="E19" i="18"/>
  <c r="M19" i="18"/>
  <c r="O19" i="18"/>
  <c r="U19" i="18"/>
  <c r="Q19" i="18"/>
  <c r="W19" i="18"/>
  <c r="G19" i="18"/>
  <c r="I19" i="18"/>
  <c r="L19" i="18"/>
  <c r="Y19" i="18"/>
  <c r="H19" i="18"/>
  <c r="V19" i="18"/>
  <c r="X19" i="18"/>
  <c r="B36" i="18"/>
  <c r="B32" i="18"/>
  <c r="B35" i="18"/>
  <c r="AE18" i="14"/>
  <c r="C18" i="14"/>
  <c r="F17" i="14"/>
  <c r="I16" i="14"/>
  <c r="L15" i="14"/>
  <c r="AD18" i="14"/>
  <c r="E17" i="14"/>
  <c r="H16" i="14"/>
  <c r="K15" i="14"/>
  <c r="AA18" i="14"/>
  <c r="AD17" i="14"/>
  <c r="E16" i="14"/>
  <c r="H15" i="14"/>
  <c r="Z18" i="14"/>
  <c r="AC17" i="14"/>
  <c r="AF16" i="14"/>
  <c r="D16" i="14"/>
  <c r="G15" i="14"/>
  <c r="W17" i="14"/>
  <c r="AF14" i="14"/>
  <c r="S18" i="14"/>
  <c r="Y16" i="14"/>
  <c r="X16" i="14"/>
  <c r="T17" i="14"/>
  <c r="Z15" i="14"/>
  <c r="S17" i="14"/>
  <c r="Y15" i="14"/>
  <c r="R15" i="14"/>
  <c r="J17" i="14"/>
  <c r="O15" i="14"/>
  <c r="AF18" i="14"/>
  <c r="M15" i="14"/>
  <c r="AB18" i="14"/>
  <c r="F16" i="14"/>
  <c r="Y18" i="14"/>
  <c r="AB17" i="14"/>
  <c r="AE16" i="14"/>
  <c r="C16" i="14"/>
  <c r="F15" i="14"/>
  <c r="X18" i="14"/>
  <c r="AA17" i="14"/>
  <c r="AD16" i="14"/>
  <c r="E15" i="14"/>
  <c r="W18" i="14"/>
  <c r="Z17" i="14"/>
  <c r="AB16" i="14"/>
  <c r="AE15" i="14"/>
  <c r="C15" i="14"/>
  <c r="U18" i="14"/>
  <c r="X17" i="14"/>
  <c r="AD15" i="14"/>
  <c r="T18" i="14"/>
  <c r="Z16" i="14"/>
  <c r="AC15" i="14"/>
  <c r="D14" i="14"/>
  <c r="V17" i="14"/>
  <c r="AB15" i="14"/>
  <c r="R18" i="14"/>
  <c r="U17" i="14"/>
  <c r="AA15" i="14"/>
  <c r="Q18" i="14"/>
  <c r="W16" i="14"/>
  <c r="AC14" i="14"/>
  <c r="P18" i="14"/>
  <c r="V16" i="14"/>
  <c r="I18" i="14"/>
  <c r="O16" i="14"/>
  <c r="K17" i="14"/>
  <c r="Q15" i="14"/>
  <c r="P15" i="14"/>
  <c r="F18" i="14"/>
  <c r="L16" i="14"/>
  <c r="N15" i="14"/>
  <c r="G17" i="14"/>
  <c r="AF17" i="14"/>
  <c r="G16" i="14"/>
  <c r="H17" i="14"/>
  <c r="AC18" i="14"/>
  <c r="J15" i="14"/>
  <c r="C17" i="14"/>
  <c r="O18" i="14"/>
  <c r="R17" i="14"/>
  <c r="U16" i="14"/>
  <c r="X15" i="14"/>
  <c r="AA14" i="14"/>
  <c r="N18" i="14"/>
  <c r="Q17" i="14"/>
  <c r="T16" i="14"/>
  <c r="W15" i="14"/>
  <c r="M18" i="14"/>
  <c r="P17" i="14"/>
  <c r="S16" i="14"/>
  <c r="V15" i="14"/>
  <c r="Y14" i="14"/>
  <c r="L18" i="14"/>
  <c r="O17" i="14"/>
  <c r="R16" i="14"/>
  <c r="U15" i="14"/>
  <c r="K18" i="14"/>
  <c r="N17" i="14"/>
  <c r="Q16" i="14"/>
  <c r="T15" i="14"/>
  <c r="J18" i="14"/>
  <c r="M17" i="14"/>
  <c r="P16" i="14"/>
  <c r="S15" i="14"/>
  <c r="V14" i="14"/>
  <c r="L17" i="14"/>
  <c r="H18" i="14"/>
  <c r="N16" i="14"/>
  <c r="G18" i="14"/>
  <c r="M16" i="14"/>
  <c r="I17" i="14"/>
  <c r="E18" i="14"/>
  <c r="D18" i="14"/>
  <c r="J16" i="14"/>
  <c r="D17" i="14"/>
  <c r="AE17" i="14"/>
  <c r="I15" i="14"/>
  <c r="K16" i="14"/>
  <c r="P78" i="21"/>
  <c r="O78" i="21"/>
  <c r="H59" i="21"/>
  <c r="E78" i="21"/>
  <c r="AE78" i="21"/>
  <c r="S78" i="21"/>
  <c r="U86" i="21"/>
  <c r="B78" i="21"/>
  <c r="R78" i="21"/>
  <c r="AC78" i="21"/>
  <c r="Q78" i="21"/>
  <c r="AB78" i="21"/>
  <c r="U78" i="21"/>
  <c r="T78" i="21"/>
  <c r="C83" i="21"/>
  <c r="B135" i="21" s="1"/>
  <c r="K78" i="21"/>
  <c r="V78" i="21"/>
  <c r="AD78" i="21"/>
  <c r="O86" i="21"/>
  <c r="R85" i="21"/>
  <c r="U84" i="21"/>
  <c r="P85" i="21"/>
  <c r="O85" i="21"/>
  <c r="R84" i="21"/>
  <c r="B92" i="21" s="1"/>
  <c r="B5" i="21" s="1"/>
  <c r="U83" i="21"/>
  <c r="R59" i="21"/>
  <c r="J69" i="21"/>
  <c r="H69" i="21"/>
  <c r="R83" i="21"/>
  <c r="W78" i="21"/>
  <c r="N59" i="21"/>
  <c r="P83" i="21"/>
  <c r="O83" i="21"/>
  <c r="Z78" i="21"/>
  <c r="AF69" i="21"/>
  <c r="AA78" i="21"/>
  <c r="X78" i="21"/>
  <c r="Y78" i="21"/>
  <c r="J82" i="21"/>
  <c r="J87" i="21" s="1"/>
  <c r="V59" i="21"/>
  <c r="L69" i="21"/>
  <c r="I69" i="21"/>
  <c r="H82" i="21"/>
  <c r="H87" i="21" s="1"/>
  <c r="K69" i="21"/>
  <c r="I59" i="21"/>
  <c r="O82" i="21"/>
  <c r="S59" i="21"/>
  <c r="AD69" i="21"/>
  <c r="C86" i="21"/>
  <c r="B138" i="21" s="1"/>
  <c r="C6" i="21" s="1"/>
  <c r="P59" i="21"/>
  <c r="C85" i="21"/>
  <c r="B137" i="21" s="1"/>
  <c r="C5" i="21" s="1"/>
  <c r="F69" i="21"/>
  <c r="F87" i="21"/>
  <c r="B59" i="21"/>
  <c r="L59" i="21"/>
  <c r="L83" i="21"/>
  <c r="L87" i="21" s="1"/>
  <c r="N69" i="21"/>
  <c r="X59" i="21"/>
  <c r="K59" i="21"/>
  <c r="C78" i="21"/>
  <c r="P69" i="21"/>
  <c r="O69" i="21"/>
  <c r="G69" i="21"/>
  <c r="O59" i="21"/>
  <c r="R82" i="21"/>
  <c r="R86" i="21"/>
  <c r="U85" i="21"/>
  <c r="F59" i="21"/>
  <c r="M69" i="21"/>
  <c r="D69" i="21"/>
  <c r="J59" i="21"/>
  <c r="P82" i="21"/>
  <c r="E69" i="21"/>
  <c r="M59" i="21"/>
  <c r="U59" i="21"/>
  <c r="P86" i="21"/>
  <c r="Q69" i="21"/>
  <c r="R69" i="21"/>
  <c r="C69" i="21"/>
  <c r="B69" i="21"/>
  <c r="AB69" i="21"/>
  <c r="AC69" i="21"/>
  <c r="S69" i="21"/>
  <c r="M87" i="21"/>
  <c r="AA69" i="21"/>
  <c r="G87" i="21"/>
  <c r="V69" i="21"/>
  <c r="Z69" i="21"/>
  <c r="E87" i="21"/>
  <c r="N87" i="21"/>
  <c r="Y69" i="21"/>
  <c r="T69" i="21"/>
  <c r="T82" i="21"/>
  <c r="T87" i="21" s="1"/>
  <c r="AD82" i="21"/>
  <c r="AD87" i="21" s="1"/>
  <c r="X69" i="21"/>
  <c r="W69" i="21"/>
  <c r="X87" i="21"/>
  <c r="AB82" i="21"/>
  <c r="AB87" i="21" s="1"/>
  <c r="AE69" i="21"/>
  <c r="AA82" i="21"/>
  <c r="AA87" i="21" s="1"/>
  <c r="Z82" i="21"/>
  <c r="Z87" i="21" s="1"/>
  <c r="W87" i="21"/>
  <c r="U69" i="21"/>
  <c r="K87" i="21"/>
  <c r="AC82" i="21"/>
  <c r="AC87" i="21" s="1"/>
  <c r="Y82" i="21"/>
  <c r="Y87" i="21" s="1"/>
  <c r="V82" i="21"/>
  <c r="V87" i="21" s="1"/>
  <c r="Q87" i="21"/>
  <c r="B82" i="21"/>
  <c r="C82" i="21"/>
  <c r="S87" i="21"/>
  <c r="AF87" i="21"/>
  <c r="D87" i="21"/>
  <c r="I87" i="21"/>
  <c r="AE87" i="21"/>
  <c r="G59" i="21"/>
  <c r="C59" i="21"/>
  <c r="E59" i="21"/>
  <c r="AF59" i="21"/>
  <c r="D59" i="21"/>
  <c r="AE59" i="21"/>
  <c r="AD59" i="21"/>
  <c r="AB59" i="21"/>
  <c r="Z59" i="21"/>
  <c r="Y59" i="21"/>
  <c r="AA59" i="21"/>
  <c r="W59" i="21"/>
  <c r="AC59" i="21"/>
  <c r="T59" i="21"/>
  <c r="Q59" i="21"/>
  <c r="C3" i="21" l="1"/>
  <c r="B139" i="21"/>
  <c r="C7" i="21" s="1"/>
  <c r="C87" i="21"/>
  <c r="U87" i="21"/>
  <c r="B90" i="21"/>
  <c r="B3" i="21" s="1"/>
  <c r="B87" i="21"/>
  <c r="B37" i="18"/>
  <c r="L14" i="14"/>
  <c r="L19" i="14" s="1"/>
  <c r="L10" i="14"/>
  <c r="J14" i="14"/>
  <c r="J19" i="14" s="1"/>
  <c r="J10" i="14"/>
  <c r="K14" i="14"/>
  <c r="K19" i="14" s="1"/>
  <c r="K10" i="14"/>
  <c r="C14" i="14"/>
  <c r="C19" i="14" s="1"/>
  <c r="E14" i="14"/>
  <c r="E19" i="14" s="1"/>
  <c r="E10" i="14"/>
  <c r="I14" i="14"/>
  <c r="I19" i="14" s="1"/>
  <c r="I10" i="14"/>
  <c r="W14" i="14"/>
  <c r="W19" i="14" s="1"/>
  <c r="W10" i="14"/>
  <c r="P14" i="14"/>
  <c r="P19" i="14" s="1"/>
  <c r="P10" i="14"/>
  <c r="X14" i="14"/>
  <c r="X19" i="14" s="1"/>
  <c r="X10" i="14"/>
  <c r="U10" i="14"/>
  <c r="U14" i="14"/>
  <c r="U19" i="14" s="1"/>
  <c r="AD14" i="14"/>
  <c r="AD19" i="14" s="1"/>
  <c r="AD10" i="14"/>
  <c r="R10" i="14"/>
  <c r="R14" i="14"/>
  <c r="R19" i="14" s="1"/>
  <c r="M14" i="14"/>
  <c r="M19" i="14" s="1"/>
  <c r="M10" i="14"/>
  <c r="F14" i="14"/>
  <c r="F19" i="14" s="1"/>
  <c r="F10" i="14"/>
  <c r="AE14" i="14"/>
  <c r="AE19" i="14" s="1"/>
  <c r="AE10" i="14"/>
  <c r="AA10" i="14"/>
  <c r="AA16" i="14"/>
  <c r="N14" i="14"/>
  <c r="N19" i="14" s="1"/>
  <c r="N10" i="14"/>
  <c r="S10" i="14"/>
  <c r="S14" i="14"/>
  <c r="S19" i="14" s="1"/>
  <c r="Q10" i="14"/>
  <c r="Q14" i="14"/>
  <c r="Q19" i="14" s="1"/>
  <c r="Y10" i="14"/>
  <c r="Y17" i="14"/>
  <c r="Y19" i="14" s="1"/>
  <c r="Z14" i="14"/>
  <c r="Z19" i="14" s="1"/>
  <c r="Z10" i="14"/>
  <c r="AB14" i="14"/>
  <c r="AB19" i="14" s="1"/>
  <c r="AB10" i="14"/>
  <c r="G14" i="14"/>
  <c r="G19" i="14" s="1"/>
  <c r="G10" i="14"/>
  <c r="V10" i="14"/>
  <c r="V18" i="14"/>
  <c r="V19" i="14" s="1"/>
  <c r="D10" i="14"/>
  <c r="D15" i="14"/>
  <c r="D19" i="14" s="1"/>
  <c r="O14" i="14"/>
  <c r="O19" i="14" s="1"/>
  <c r="O10" i="14"/>
  <c r="AF10" i="14"/>
  <c r="AF15" i="14"/>
  <c r="AF19" i="14" s="1"/>
  <c r="T10" i="14"/>
  <c r="T14" i="14"/>
  <c r="T19" i="14" s="1"/>
  <c r="AC10" i="14"/>
  <c r="AC16" i="14"/>
  <c r="AC19" i="14" s="1"/>
  <c r="H14" i="14"/>
  <c r="H19" i="14" s="1"/>
  <c r="H10" i="14"/>
  <c r="B93" i="21"/>
  <c r="B6" i="21" s="1"/>
  <c r="B94" i="21"/>
  <c r="B7" i="21" s="1"/>
  <c r="O87" i="21"/>
  <c r="B91" i="21"/>
  <c r="B4" i="21" s="1"/>
  <c r="R87" i="21"/>
  <c r="Q60" i="21"/>
  <c r="P87" i="21"/>
  <c r="T60" i="21"/>
  <c r="AE60" i="21"/>
  <c r="AB60" i="21"/>
  <c r="U60" i="21"/>
  <c r="I60" i="21"/>
  <c r="AC60" i="21"/>
  <c r="D60" i="21"/>
  <c r="B60" i="21"/>
  <c r="S60" i="21"/>
  <c r="AF60" i="21"/>
  <c r="AA60" i="21"/>
  <c r="Y60" i="21"/>
  <c r="X60" i="21"/>
  <c r="C60" i="21"/>
  <c r="V60" i="21"/>
  <c r="G60" i="21"/>
  <c r="Z60" i="21"/>
  <c r="L60" i="21"/>
  <c r="H60" i="21"/>
  <c r="AD60" i="21"/>
  <c r="P60" i="21"/>
  <c r="R60" i="21"/>
  <c r="F60" i="21"/>
  <c r="M60" i="21"/>
  <c r="O60" i="21"/>
  <c r="K60" i="21"/>
  <c r="N60" i="21"/>
  <c r="J60" i="21"/>
  <c r="W60" i="21"/>
  <c r="E60" i="21"/>
  <c r="U105" i="21" l="1"/>
  <c r="D105" i="21"/>
  <c r="AC105" i="21"/>
  <c r="Q105" i="21"/>
  <c r="R105" i="21"/>
  <c r="W105" i="21"/>
  <c r="Y105" i="21"/>
  <c r="P105" i="21"/>
  <c r="C105" i="21"/>
  <c r="O105" i="21"/>
  <c r="M105" i="21"/>
  <c r="H105" i="21"/>
  <c r="G105" i="21"/>
  <c r="F105" i="21"/>
  <c r="E105" i="21"/>
  <c r="AF105" i="21"/>
  <c r="AD105" i="21"/>
  <c r="B105" i="21"/>
  <c r="B185" i="21" s="1"/>
  <c r="AA105" i="21"/>
  <c r="X105" i="21"/>
  <c r="T105" i="21"/>
  <c r="S105" i="21"/>
  <c r="N105" i="21"/>
  <c r="L105" i="21"/>
  <c r="K105" i="21"/>
  <c r="J105" i="21"/>
  <c r="I105" i="21"/>
  <c r="AE105" i="21"/>
  <c r="Z105" i="21"/>
  <c r="V105" i="21"/>
  <c r="AB105" i="21"/>
  <c r="B140" i="21"/>
  <c r="C8" i="21"/>
  <c r="B8" i="21"/>
  <c r="B95" i="21"/>
  <c r="B24" i="14"/>
  <c r="B23" i="14"/>
  <c r="B25" i="14"/>
  <c r="AA19" i="14"/>
  <c r="B26" i="14"/>
  <c r="B22" i="14"/>
  <c r="B11" i="16"/>
  <c r="C11" i="16"/>
  <c r="D11" i="16"/>
  <c r="E11" i="16"/>
  <c r="F11" i="16"/>
  <c r="G11" i="16"/>
  <c r="H11" i="16"/>
  <c r="I11" i="16"/>
  <c r="B12" i="16"/>
  <c r="C12" i="16"/>
  <c r="D12" i="16"/>
  <c r="E12" i="16"/>
  <c r="F12" i="16"/>
  <c r="G12" i="16"/>
  <c r="H12" i="16"/>
  <c r="I12" i="16"/>
  <c r="B13" i="16"/>
  <c r="C13" i="16"/>
  <c r="D13" i="16"/>
  <c r="E13" i="16"/>
  <c r="F13" i="16"/>
  <c r="G13" i="16"/>
  <c r="H13" i="16"/>
  <c r="I13" i="16"/>
  <c r="B14" i="16"/>
  <c r="C14" i="16"/>
  <c r="D14" i="16"/>
  <c r="E14" i="16"/>
  <c r="F14" i="16"/>
  <c r="G14" i="16"/>
  <c r="H14" i="16"/>
  <c r="I14" i="16"/>
  <c r="C10" i="16"/>
  <c r="D10" i="16"/>
  <c r="E10" i="16"/>
  <c r="F10" i="16"/>
  <c r="G10" i="16"/>
  <c r="H10" i="16"/>
  <c r="I10" i="16"/>
  <c r="B10" i="16"/>
  <c r="A62" i="15" a="1"/>
  <c r="A62" i="15" s="1"/>
  <c r="E9" i="15"/>
  <c r="D9" i="15"/>
  <c r="C9" i="15"/>
  <c r="B9" i="15"/>
  <c r="D7" i="21" l="1"/>
  <c r="D8" i="21" s="1"/>
  <c r="B186" i="21"/>
  <c r="B27" i="14"/>
  <c r="AF67" i="13"/>
  <c r="AF77" i="13" s="1"/>
  <c r="AE67" i="13"/>
  <c r="AE77" i="13" s="1"/>
  <c r="AD67" i="13"/>
  <c r="AD77" i="13" s="1"/>
  <c r="AC67" i="13"/>
  <c r="AC77" i="13" s="1"/>
  <c r="AB67" i="13"/>
  <c r="AB77" i="13" s="1"/>
  <c r="AA67" i="13"/>
  <c r="AA77" i="13" s="1"/>
  <c r="Z67" i="13"/>
  <c r="Z77" i="13" s="1"/>
  <c r="Y67" i="13"/>
  <c r="Y77" i="13" s="1"/>
  <c r="X67" i="13"/>
  <c r="X77" i="13" s="1"/>
  <c r="W67" i="13"/>
  <c r="W77" i="13" s="1"/>
  <c r="V67" i="13"/>
  <c r="V77" i="13" s="1"/>
  <c r="U67" i="13"/>
  <c r="U77" i="13" s="1"/>
  <c r="T67" i="13"/>
  <c r="T77" i="13" s="1"/>
  <c r="S67" i="13"/>
  <c r="S77" i="13" s="1"/>
  <c r="R67" i="13"/>
  <c r="R77" i="13" s="1"/>
  <c r="Q67" i="13"/>
  <c r="Q77" i="13" s="1"/>
  <c r="P67" i="13"/>
  <c r="P77" i="13" s="1"/>
  <c r="O67" i="13"/>
  <c r="O77" i="13" s="1"/>
  <c r="N67" i="13"/>
  <c r="N77" i="13" s="1"/>
  <c r="M67" i="13"/>
  <c r="M77" i="13" s="1"/>
  <c r="L67" i="13"/>
  <c r="L77" i="13" s="1"/>
  <c r="K67" i="13"/>
  <c r="K77" i="13" s="1"/>
  <c r="J67" i="13"/>
  <c r="J77" i="13" s="1"/>
  <c r="I67" i="13"/>
  <c r="I77" i="13" s="1"/>
  <c r="H67" i="13"/>
  <c r="G67" i="13"/>
  <c r="G77" i="13" s="1"/>
  <c r="F67" i="13"/>
  <c r="F77" i="13" s="1"/>
  <c r="E67" i="13"/>
  <c r="E77" i="13" s="1"/>
  <c r="D67" i="13"/>
  <c r="D77" i="13" s="1"/>
  <c r="C67" i="13"/>
  <c r="C77" i="13" s="1"/>
  <c r="B67" i="13"/>
  <c r="B77" i="13" s="1"/>
  <c r="AF66" i="13"/>
  <c r="AF76" i="13" s="1"/>
  <c r="AE66" i="13"/>
  <c r="AE76" i="13" s="1"/>
  <c r="AD66" i="13"/>
  <c r="AD76" i="13" s="1"/>
  <c r="AC66" i="13"/>
  <c r="AC76" i="13" s="1"/>
  <c r="AB66" i="13"/>
  <c r="AB76" i="13" s="1"/>
  <c r="AA66" i="13"/>
  <c r="AA76" i="13" s="1"/>
  <c r="Z66" i="13"/>
  <c r="Z76" i="13" s="1"/>
  <c r="Y66" i="13"/>
  <c r="Y76" i="13" s="1"/>
  <c r="X66" i="13"/>
  <c r="X76" i="13" s="1"/>
  <c r="W66" i="13"/>
  <c r="W76" i="13" s="1"/>
  <c r="V66" i="13"/>
  <c r="V76" i="13" s="1"/>
  <c r="U66" i="13"/>
  <c r="U76" i="13" s="1"/>
  <c r="T66" i="13"/>
  <c r="T76" i="13" s="1"/>
  <c r="S66" i="13"/>
  <c r="S76" i="13" s="1"/>
  <c r="R66" i="13"/>
  <c r="R76" i="13" s="1"/>
  <c r="Q66" i="13"/>
  <c r="Q76" i="13" s="1"/>
  <c r="P66" i="13"/>
  <c r="P76" i="13" s="1"/>
  <c r="O66" i="13"/>
  <c r="O76" i="13" s="1"/>
  <c r="N66" i="13"/>
  <c r="N76" i="13" s="1"/>
  <c r="M66" i="13"/>
  <c r="M76" i="13" s="1"/>
  <c r="L66" i="13"/>
  <c r="L76" i="13" s="1"/>
  <c r="K66" i="13"/>
  <c r="K76" i="13" s="1"/>
  <c r="J66" i="13"/>
  <c r="J76" i="13" s="1"/>
  <c r="I66" i="13"/>
  <c r="I76" i="13" s="1"/>
  <c r="H66" i="13"/>
  <c r="H76" i="13" s="1"/>
  <c r="G66" i="13"/>
  <c r="G76" i="13" s="1"/>
  <c r="F66" i="13"/>
  <c r="F76" i="13" s="1"/>
  <c r="E66" i="13"/>
  <c r="E76" i="13" s="1"/>
  <c r="D66" i="13"/>
  <c r="D76" i="13" s="1"/>
  <c r="C66" i="13"/>
  <c r="C76" i="13" s="1"/>
  <c r="B66" i="13"/>
  <c r="AF65" i="13"/>
  <c r="AF75" i="13" s="1"/>
  <c r="AE65" i="13"/>
  <c r="AE75" i="13" s="1"/>
  <c r="AD65" i="13"/>
  <c r="AD75" i="13" s="1"/>
  <c r="AC65" i="13"/>
  <c r="AC75" i="13" s="1"/>
  <c r="AB65" i="13"/>
  <c r="AB75" i="13" s="1"/>
  <c r="AA65" i="13"/>
  <c r="AA75" i="13" s="1"/>
  <c r="Z65" i="13"/>
  <c r="Z75" i="13" s="1"/>
  <c r="Y65" i="13"/>
  <c r="Y75" i="13" s="1"/>
  <c r="X65" i="13"/>
  <c r="X75" i="13" s="1"/>
  <c r="W65" i="13"/>
  <c r="W75" i="13" s="1"/>
  <c r="V65" i="13"/>
  <c r="V75" i="13" s="1"/>
  <c r="U65" i="13"/>
  <c r="U75" i="13" s="1"/>
  <c r="T65" i="13"/>
  <c r="T75" i="13" s="1"/>
  <c r="S65" i="13"/>
  <c r="S75" i="13" s="1"/>
  <c r="R65" i="13"/>
  <c r="R75" i="13" s="1"/>
  <c r="Q65" i="13"/>
  <c r="Q75" i="13" s="1"/>
  <c r="P65" i="13"/>
  <c r="P75" i="13" s="1"/>
  <c r="O65" i="13"/>
  <c r="O75" i="13" s="1"/>
  <c r="N65" i="13"/>
  <c r="N75" i="13" s="1"/>
  <c r="M65" i="13"/>
  <c r="M75" i="13" s="1"/>
  <c r="L65" i="13"/>
  <c r="L75" i="13" s="1"/>
  <c r="K65" i="13"/>
  <c r="K75" i="13" s="1"/>
  <c r="J65" i="13"/>
  <c r="J75" i="13" s="1"/>
  <c r="I65" i="13"/>
  <c r="I75" i="13" s="1"/>
  <c r="H65" i="13"/>
  <c r="H75" i="13" s="1"/>
  <c r="G65" i="13"/>
  <c r="G75" i="13" s="1"/>
  <c r="F65" i="13"/>
  <c r="F75" i="13" s="1"/>
  <c r="E65" i="13"/>
  <c r="E75" i="13" s="1"/>
  <c r="D65" i="13"/>
  <c r="D75" i="13" s="1"/>
  <c r="C65" i="13"/>
  <c r="C75" i="13" s="1"/>
  <c r="B65" i="13"/>
  <c r="AF64" i="13"/>
  <c r="AF74" i="13" s="1"/>
  <c r="AE64" i="13"/>
  <c r="AE74" i="13" s="1"/>
  <c r="AD64" i="13"/>
  <c r="AD74" i="13" s="1"/>
  <c r="AC64" i="13"/>
  <c r="AC74" i="13" s="1"/>
  <c r="AB64" i="13"/>
  <c r="AB74" i="13" s="1"/>
  <c r="AA64" i="13"/>
  <c r="AA74" i="13" s="1"/>
  <c r="Z64" i="13"/>
  <c r="Z74" i="13" s="1"/>
  <c r="Y64" i="13"/>
  <c r="Y74" i="13" s="1"/>
  <c r="X64" i="13"/>
  <c r="X74" i="13" s="1"/>
  <c r="W64" i="13"/>
  <c r="W74" i="13" s="1"/>
  <c r="V64" i="13"/>
  <c r="V74" i="13" s="1"/>
  <c r="U64" i="13"/>
  <c r="U74" i="13" s="1"/>
  <c r="T64" i="13"/>
  <c r="T74" i="13" s="1"/>
  <c r="S64" i="13"/>
  <c r="S74" i="13" s="1"/>
  <c r="R64" i="13"/>
  <c r="R74" i="13" s="1"/>
  <c r="Q64" i="13"/>
  <c r="Q74" i="13" s="1"/>
  <c r="P64" i="13"/>
  <c r="P74" i="13" s="1"/>
  <c r="O64" i="13"/>
  <c r="O74" i="13" s="1"/>
  <c r="N64" i="13"/>
  <c r="N74" i="13" s="1"/>
  <c r="M64" i="13"/>
  <c r="M74" i="13" s="1"/>
  <c r="L64" i="13"/>
  <c r="L74" i="13" s="1"/>
  <c r="K64" i="13"/>
  <c r="K74" i="13" s="1"/>
  <c r="J64" i="13"/>
  <c r="J74" i="13" s="1"/>
  <c r="I64" i="13"/>
  <c r="I74" i="13" s="1"/>
  <c r="H64" i="13"/>
  <c r="H74" i="13" s="1"/>
  <c r="G64" i="13"/>
  <c r="G74" i="13" s="1"/>
  <c r="F64" i="13"/>
  <c r="F74" i="13" s="1"/>
  <c r="E64" i="13"/>
  <c r="E74" i="13" s="1"/>
  <c r="D64" i="13"/>
  <c r="D74" i="13" s="1"/>
  <c r="C64" i="13"/>
  <c r="C74" i="13" s="1"/>
  <c r="B64" i="13"/>
  <c r="AF63" i="13"/>
  <c r="AF73" i="13" s="1"/>
  <c r="AE63" i="13"/>
  <c r="AE73" i="13" s="1"/>
  <c r="AD63" i="13"/>
  <c r="AD68" i="13" s="1"/>
  <c r="AC63" i="13"/>
  <c r="AC68" i="13" s="1"/>
  <c r="AB63" i="13"/>
  <c r="AB68" i="13" s="1"/>
  <c r="AA63" i="13"/>
  <c r="AA68" i="13" s="1"/>
  <c r="Z63" i="13"/>
  <c r="Z68" i="13" s="1"/>
  <c r="Y63" i="13"/>
  <c r="Y68" i="13" s="1"/>
  <c r="X63" i="13"/>
  <c r="X68" i="13" s="1"/>
  <c r="W63" i="13"/>
  <c r="W68" i="13" s="1"/>
  <c r="V63" i="13"/>
  <c r="V73" i="13" s="1"/>
  <c r="U63" i="13"/>
  <c r="U73" i="13" s="1"/>
  <c r="T63" i="13"/>
  <c r="T73" i="13" s="1"/>
  <c r="S63" i="13"/>
  <c r="S68" i="13" s="1"/>
  <c r="R63" i="13"/>
  <c r="R73" i="13" s="1"/>
  <c r="Q63" i="13"/>
  <c r="Q73" i="13" s="1"/>
  <c r="P63" i="13"/>
  <c r="P73" i="13" s="1"/>
  <c r="O63" i="13"/>
  <c r="O73" i="13" s="1"/>
  <c r="N63" i="13"/>
  <c r="N73" i="13" s="1"/>
  <c r="M63" i="13"/>
  <c r="M73" i="13" s="1"/>
  <c r="L63" i="13"/>
  <c r="L73" i="13" s="1"/>
  <c r="K63" i="13"/>
  <c r="K73" i="13" s="1"/>
  <c r="J63" i="13"/>
  <c r="J73" i="13" s="1"/>
  <c r="I63" i="13"/>
  <c r="I73" i="13" s="1"/>
  <c r="H63" i="13"/>
  <c r="H73" i="13" s="1"/>
  <c r="G63" i="13"/>
  <c r="G73" i="13" s="1"/>
  <c r="F63" i="13"/>
  <c r="F73" i="13" s="1"/>
  <c r="E63" i="13"/>
  <c r="E73" i="13" s="1"/>
  <c r="D63" i="13"/>
  <c r="D73" i="13" s="1"/>
  <c r="C63" i="13"/>
  <c r="C73" i="13" s="1"/>
  <c r="B63" i="13"/>
  <c r="B47" i="13"/>
  <c r="U46" i="13"/>
  <c r="O46" i="13"/>
  <c r="R45" i="13"/>
  <c r="Q45" i="13"/>
  <c r="AF38" i="13"/>
  <c r="AF48" i="13" s="1"/>
  <c r="AE38" i="13"/>
  <c r="AE48" i="13" s="1"/>
  <c r="AD38" i="13"/>
  <c r="AD48" i="13" s="1"/>
  <c r="AC38" i="13"/>
  <c r="AC48" i="13" s="1"/>
  <c r="AB38" i="13"/>
  <c r="AB48" i="13" s="1"/>
  <c r="AA38" i="13"/>
  <c r="AA48" i="13" s="1"/>
  <c r="Z38" i="13"/>
  <c r="Z48" i="13" s="1"/>
  <c r="Y38" i="13"/>
  <c r="Y48" i="13" s="1"/>
  <c r="X38" i="13"/>
  <c r="X48" i="13" s="1"/>
  <c r="W38" i="13"/>
  <c r="W48" i="13" s="1"/>
  <c r="V38" i="13"/>
  <c r="V48" i="13" s="1"/>
  <c r="U38" i="13"/>
  <c r="U48" i="13" s="1"/>
  <c r="T38" i="13"/>
  <c r="T48" i="13" s="1"/>
  <c r="S38" i="13"/>
  <c r="S48" i="13" s="1"/>
  <c r="R38" i="13"/>
  <c r="R48" i="13" s="1"/>
  <c r="Q38" i="13"/>
  <c r="Q48" i="13" s="1"/>
  <c r="P38" i="13"/>
  <c r="P48" i="13" s="1"/>
  <c r="O38" i="13"/>
  <c r="O48" i="13" s="1"/>
  <c r="N38" i="13"/>
  <c r="N48" i="13" s="1"/>
  <c r="M38" i="13"/>
  <c r="M48" i="13" s="1"/>
  <c r="L38" i="13"/>
  <c r="L48" i="13" s="1"/>
  <c r="K38" i="13"/>
  <c r="K48" i="13" s="1"/>
  <c r="J38" i="13"/>
  <c r="J48" i="13" s="1"/>
  <c r="I38" i="13"/>
  <c r="I48" i="13" s="1"/>
  <c r="H38" i="13"/>
  <c r="H48" i="13" s="1"/>
  <c r="G38" i="13"/>
  <c r="G48" i="13" s="1"/>
  <c r="F38" i="13"/>
  <c r="F48" i="13" s="1"/>
  <c r="E38" i="13"/>
  <c r="E48" i="13" s="1"/>
  <c r="D38" i="13"/>
  <c r="D48" i="13" s="1"/>
  <c r="C38" i="13"/>
  <c r="C48" i="13" s="1"/>
  <c r="B38" i="13"/>
  <c r="B48" i="13" s="1"/>
  <c r="AF37" i="13"/>
  <c r="AF47" i="13" s="1"/>
  <c r="AE37" i="13"/>
  <c r="AE47" i="13" s="1"/>
  <c r="AD37" i="13"/>
  <c r="AD47" i="13" s="1"/>
  <c r="AC37" i="13"/>
  <c r="AC47" i="13" s="1"/>
  <c r="AB37" i="13"/>
  <c r="AB47" i="13" s="1"/>
  <c r="AA37" i="13"/>
  <c r="AA47" i="13" s="1"/>
  <c r="Z37" i="13"/>
  <c r="Z47" i="13" s="1"/>
  <c r="Y37" i="13"/>
  <c r="Y47" i="13" s="1"/>
  <c r="X37" i="13"/>
  <c r="X47" i="13" s="1"/>
  <c r="W37" i="13"/>
  <c r="W47" i="13" s="1"/>
  <c r="V37" i="13"/>
  <c r="V47" i="13" s="1"/>
  <c r="U37" i="13"/>
  <c r="U47" i="13" s="1"/>
  <c r="T37" i="13"/>
  <c r="T47" i="13" s="1"/>
  <c r="S37" i="13"/>
  <c r="S47" i="13" s="1"/>
  <c r="R37" i="13"/>
  <c r="R47" i="13" s="1"/>
  <c r="Q37" i="13"/>
  <c r="Q47" i="13" s="1"/>
  <c r="P37" i="13"/>
  <c r="P47" i="13" s="1"/>
  <c r="O37" i="13"/>
  <c r="O47" i="13" s="1"/>
  <c r="N37" i="13"/>
  <c r="N47" i="13" s="1"/>
  <c r="M37" i="13"/>
  <c r="M47" i="13" s="1"/>
  <c r="L37" i="13"/>
  <c r="L47" i="13" s="1"/>
  <c r="K37" i="13"/>
  <c r="K47" i="13" s="1"/>
  <c r="J37" i="13"/>
  <c r="J47" i="13" s="1"/>
  <c r="I37" i="13"/>
  <c r="I47" i="13" s="1"/>
  <c r="H37" i="13"/>
  <c r="H47" i="13" s="1"/>
  <c r="G37" i="13"/>
  <c r="G47" i="13" s="1"/>
  <c r="F37" i="13"/>
  <c r="F47" i="13" s="1"/>
  <c r="E37" i="13"/>
  <c r="E47" i="13" s="1"/>
  <c r="D37" i="13"/>
  <c r="D47" i="13" s="1"/>
  <c r="C37" i="13"/>
  <c r="C47" i="13" s="1"/>
  <c r="B37" i="13"/>
  <c r="AF36" i="13"/>
  <c r="AF46" i="13" s="1"/>
  <c r="AE36" i="13"/>
  <c r="AE46" i="13" s="1"/>
  <c r="AD36" i="13"/>
  <c r="AD46" i="13" s="1"/>
  <c r="AC36" i="13"/>
  <c r="AC46" i="13" s="1"/>
  <c r="AB36" i="13"/>
  <c r="AB46" i="13" s="1"/>
  <c r="AA36" i="13"/>
  <c r="AA46" i="13" s="1"/>
  <c r="Z36" i="13"/>
  <c r="Y36" i="13"/>
  <c r="Y46" i="13" s="1"/>
  <c r="X36" i="13"/>
  <c r="X46" i="13" s="1"/>
  <c r="W36" i="13"/>
  <c r="W46" i="13" s="1"/>
  <c r="V36" i="13"/>
  <c r="V46" i="13" s="1"/>
  <c r="U36" i="13"/>
  <c r="T36" i="13"/>
  <c r="T46" i="13" s="1"/>
  <c r="S36" i="13"/>
  <c r="S46" i="13" s="1"/>
  <c r="R36" i="13"/>
  <c r="R46" i="13" s="1"/>
  <c r="Q36" i="13"/>
  <c r="Q46" i="13" s="1"/>
  <c r="P36" i="13"/>
  <c r="P46" i="13" s="1"/>
  <c r="O36" i="13"/>
  <c r="N36" i="13"/>
  <c r="N46" i="13" s="1"/>
  <c r="M36" i="13"/>
  <c r="M46" i="13" s="1"/>
  <c r="L36" i="13"/>
  <c r="L46" i="13" s="1"/>
  <c r="K36" i="13"/>
  <c r="K46" i="13" s="1"/>
  <c r="J36" i="13"/>
  <c r="J46" i="13" s="1"/>
  <c r="I36" i="13"/>
  <c r="I46" i="13" s="1"/>
  <c r="H36" i="13"/>
  <c r="H46" i="13" s="1"/>
  <c r="G36" i="13"/>
  <c r="G46" i="13" s="1"/>
  <c r="F36" i="13"/>
  <c r="F46" i="13" s="1"/>
  <c r="E36" i="13"/>
  <c r="E46" i="13" s="1"/>
  <c r="D36" i="13"/>
  <c r="D46" i="13" s="1"/>
  <c r="C36" i="13"/>
  <c r="C46" i="13" s="1"/>
  <c r="B36" i="13"/>
  <c r="B46" i="13" s="1"/>
  <c r="AF35" i="13"/>
  <c r="AF45" i="13" s="1"/>
  <c r="AE35" i="13"/>
  <c r="AE45" i="13" s="1"/>
  <c r="AD35" i="13"/>
  <c r="AD45" i="13" s="1"/>
  <c r="AC35" i="13"/>
  <c r="AC45" i="13" s="1"/>
  <c r="AB35" i="13"/>
  <c r="AB45" i="13" s="1"/>
  <c r="AA35" i="13"/>
  <c r="AA45" i="13" s="1"/>
  <c r="Z35" i="13"/>
  <c r="Z45" i="13" s="1"/>
  <c r="Y35" i="13"/>
  <c r="Y45" i="13" s="1"/>
  <c r="X35" i="13"/>
  <c r="X45" i="13" s="1"/>
  <c r="W35" i="13"/>
  <c r="W45" i="13" s="1"/>
  <c r="V35" i="13"/>
  <c r="V45" i="13" s="1"/>
  <c r="U35" i="13"/>
  <c r="U45" i="13" s="1"/>
  <c r="T35" i="13"/>
  <c r="T45" i="13" s="1"/>
  <c r="S35" i="13"/>
  <c r="S45" i="13" s="1"/>
  <c r="R35" i="13"/>
  <c r="Q35" i="13"/>
  <c r="P35" i="13"/>
  <c r="P45" i="13" s="1"/>
  <c r="O35" i="13"/>
  <c r="O45" i="13" s="1"/>
  <c r="N35" i="13"/>
  <c r="N45" i="13" s="1"/>
  <c r="M35" i="13"/>
  <c r="M45" i="13" s="1"/>
  <c r="L35" i="13"/>
  <c r="L45" i="13" s="1"/>
  <c r="K35" i="13"/>
  <c r="K45" i="13" s="1"/>
  <c r="J35" i="13"/>
  <c r="J45" i="13" s="1"/>
  <c r="I35" i="13"/>
  <c r="I45" i="13" s="1"/>
  <c r="H35" i="13"/>
  <c r="H45" i="13" s="1"/>
  <c r="G35" i="13"/>
  <c r="G45" i="13" s="1"/>
  <c r="F35" i="13"/>
  <c r="F45" i="13" s="1"/>
  <c r="E35" i="13"/>
  <c r="E45" i="13" s="1"/>
  <c r="D35" i="13"/>
  <c r="D45" i="13" s="1"/>
  <c r="C35" i="13"/>
  <c r="C45" i="13" s="1"/>
  <c r="B35" i="13"/>
  <c r="B45" i="13" s="1"/>
  <c r="AF34" i="13"/>
  <c r="AF44" i="13" s="1"/>
  <c r="AE34" i="13"/>
  <c r="AE44" i="13" s="1"/>
  <c r="AD34" i="13"/>
  <c r="AD44" i="13" s="1"/>
  <c r="AC34" i="13"/>
  <c r="AC44" i="13" s="1"/>
  <c r="AB34" i="13"/>
  <c r="AB44" i="13" s="1"/>
  <c r="AA34" i="13"/>
  <c r="AA44" i="13" s="1"/>
  <c r="Z34" i="13"/>
  <c r="Z44" i="13" s="1"/>
  <c r="Y34" i="13"/>
  <c r="Y44" i="13" s="1"/>
  <c r="X34" i="13"/>
  <c r="X44" i="13" s="1"/>
  <c r="W34" i="13"/>
  <c r="W44" i="13" s="1"/>
  <c r="V34" i="13"/>
  <c r="V44" i="13" s="1"/>
  <c r="U34" i="13"/>
  <c r="U44" i="13" s="1"/>
  <c r="T34" i="13"/>
  <c r="T44" i="13" s="1"/>
  <c r="S34" i="13"/>
  <c r="S44" i="13" s="1"/>
  <c r="R34" i="13"/>
  <c r="R44" i="13" s="1"/>
  <c r="Q34" i="13"/>
  <c r="Q39" i="13" s="1"/>
  <c r="P34" i="13"/>
  <c r="P39" i="13" s="1"/>
  <c r="O34" i="13"/>
  <c r="O39" i="13" s="1"/>
  <c r="N34" i="13"/>
  <c r="N39" i="13" s="1"/>
  <c r="M34" i="13"/>
  <c r="M39" i="13" s="1"/>
  <c r="L34" i="13"/>
  <c r="L39" i="13" s="1"/>
  <c r="K34" i="13"/>
  <c r="K39" i="13" s="1"/>
  <c r="J34" i="13"/>
  <c r="J39" i="13" s="1"/>
  <c r="I34" i="13"/>
  <c r="I39" i="13" s="1"/>
  <c r="H34" i="13"/>
  <c r="H44" i="13" s="1"/>
  <c r="G34" i="13"/>
  <c r="G44" i="13" s="1"/>
  <c r="F34" i="13"/>
  <c r="F44" i="13" s="1"/>
  <c r="E34" i="13"/>
  <c r="E44" i="13" s="1"/>
  <c r="D34" i="13"/>
  <c r="D44" i="13" s="1"/>
  <c r="C34" i="13"/>
  <c r="C44" i="13" s="1"/>
  <c r="B44" i="13"/>
  <c r="AF9" i="13"/>
  <c r="AE9" i="13"/>
  <c r="E9" i="13"/>
  <c r="D9" i="13"/>
  <c r="C9" i="13"/>
  <c r="H9" i="13"/>
  <c r="G9" i="13"/>
  <c r="F9" i="13"/>
  <c r="K9" i="13"/>
  <c r="J9" i="13"/>
  <c r="M9" i="13"/>
  <c r="AD9" i="13"/>
  <c r="AC9" i="13"/>
  <c r="AB9" i="13"/>
  <c r="AA9" i="13"/>
  <c r="Z9" i="13"/>
  <c r="Y9" i="13"/>
  <c r="X9" i="13"/>
  <c r="W9" i="13"/>
  <c r="B9" i="13"/>
  <c r="B68" i="13" l="1"/>
  <c r="C68" i="13"/>
  <c r="D68" i="13"/>
  <c r="E68" i="13"/>
  <c r="H68" i="13"/>
  <c r="AE68" i="13"/>
  <c r="AF68" i="13"/>
  <c r="B73" i="13"/>
  <c r="M44" i="13"/>
  <c r="AD73" i="13"/>
  <c r="B80" i="13"/>
  <c r="B85" i="13" s="1"/>
  <c r="N44" i="13"/>
  <c r="R39" i="13"/>
  <c r="S39" i="13"/>
  <c r="O44" i="13"/>
  <c r="B81" i="13"/>
  <c r="P44" i="13"/>
  <c r="B51" i="13" s="1"/>
  <c r="B74" i="13"/>
  <c r="Q44" i="13"/>
  <c r="Z73" i="13"/>
  <c r="B84" i="13"/>
  <c r="Y73" i="13"/>
  <c r="AA73" i="13"/>
  <c r="L44" i="13"/>
  <c r="AC73" i="13"/>
  <c r="C39" i="13"/>
  <c r="AE39" i="13"/>
  <c r="K44" i="13"/>
  <c r="AB73" i="13"/>
  <c r="Z39" i="13"/>
  <c r="B54" i="13"/>
  <c r="B55" i="13"/>
  <c r="B82" i="13"/>
  <c r="B83" i="13"/>
  <c r="I9" i="13"/>
  <c r="I44" i="13"/>
  <c r="W73" i="13"/>
  <c r="W39" i="13"/>
  <c r="X39" i="13"/>
  <c r="J44" i="13"/>
  <c r="X73" i="13"/>
  <c r="AA39" i="13"/>
  <c r="AC39" i="13"/>
  <c r="O68" i="13"/>
  <c r="F68" i="13"/>
  <c r="I68" i="13"/>
  <c r="L9" i="13"/>
  <c r="L68" i="13"/>
  <c r="M68" i="13"/>
  <c r="AB39" i="13"/>
  <c r="O9" i="13"/>
  <c r="B39" i="13"/>
  <c r="Q9" i="13"/>
  <c r="Q68" i="13"/>
  <c r="B76" i="13"/>
  <c r="T39" i="13"/>
  <c r="U39" i="13"/>
  <c r="G68" i="13"/>
  <c r="J68" i="13"/>
  <c r="N9" i="13"/>
  <c r="N68" i="13"/>
  <c r="B75" i="13"/>
  <c r="P9" i="13"/>
  <c r="AD39" i="13"/>
  <c r="P68" i="13"/>
  <c r="R9" i="13"/>
  <c r="D39" i="13"/>
  <c r="AF39" i="13"/>
  <c r="R68" i="13"/>
  <c r="S9" i="13"/>
  <c r="T9" i="13"/>
  <c r="F39" i="13"/>
  <c r="T68" i="13"/>
  <c r="V9" i="13"/>
  <c r="H39" i="13"/>
  <c r="V68" i="13"/>
  <c r="Y39" i="13"/>
  <c r="B52" i="13"/>
  <c r="Z46" i="13"/>
  <c r="B53" i="13" s="1"/>
  <c r="V39" i="13"/>
  <c r="E39" i="13"/>
  <c r="S73" i="13"/>
  <c r="K68" i="13"/>
  <c r="G39" i="13"/>
  <c r="U68" i="13"/>
  <c r="H77" i="13"/>
  <c r="U9" i="13"/>
  <c r="U40" i="13" l="1"/>
  <c r="E40" i="13"/>
  <c r="Q69" i="13"/>
  <c r="S69" i="13"/>
  <c r="B26" i="13"/>
  <c r="F10" i="13"/>
  <c r="W10" i="13"/>
  <c r="E10" i="13"/>
  <c r="C10" i="13"/>
  <c r="AB10" i="13"/>
  <c r="Q10" i="13"/>
  <c r="K10" i="13"/>
  <c r="T40" i="13"/>
  <c r="L69" i="13"/>
  <c r="V10" i="13"/>
  <c r="Z69" i="13"/>
  <c r="AF69" i="13"/>
  <c r="AC40" i="13"/>
  <c r="Z10" i="13"/>
  <c r="J10" i="13"/>
  <c r="O10" i="13"/>
  <c r="Y40" i="13"/>
  <c r="D10" i="13"/>
  <c r="H40" i="13"/>
  <c r="B40" i="13"/>
  <c r="AD69" i="13"/>
  <c r="AB40" i="13"/>
  <c r="M69" i="13"/>
  <c r="AE40" i="13"/>
  <c r="V40" i="13"/>
  <c r="G10" i="13"/>
  <c r="V69" i="13"/>
  <c r="B10" i="13"/>
  <c r="F69" i="13"/>
  <c r="I40" i="13"/>
  <c r="O69" i="13"/>
  <c r="Y10" i="13"/>
  <c r="AA10" i="13"/>
  <c r="AA40" i="13"/>
  <c r="X10" i="13"/>
  <c r="U10" i="13"/>
  <c r="D40" i="13"/>
  <c r="P40" i="13"/>
  <c r="AA69" i="13"/>
  <c r="R10" i="13"/>
  <c r="P69" i="13"/>
  <c r="X40" i="13"/>
  <c r="AC69" i="13"/>
  <c r="AD40" i="13"/>
  <c r="S40" i="13"/>
  <c r="C40" i="13"/>
  <c r="B56" i="13"/>
  <c r="M10" i="13"/>
  <c r="R40" i="13"/>
  <c r="L10" i="13"/>
  <c r="O40" i="13"/>
  <c r="I69" i="13"/>
  <c r="T69" i="13"/>
  <c r="AC10" i="13"/>
  <c r="F40" i="13"/>
  <c r="L40" i="13"/>
  <c r="T10" i="13"/>
  <c r="AE69" i="13"/>
  <c r="S10" i="13"/>
  <c r="J40" i="13"/>
  <c r="Y69" i="13"/>
  <c r="R69" i="13"/>
  <c r="B69" i="13"/>
  <c r="AF40" i="13"/>
  <c r="W40" i="13"/>
  <c r="N40" i="13"/>
  <c r="Q40" i="13"/>
  <c r="U69" i="13"/>
  <c r="P10" i="13"/>
  <c r="M40" i="13"/>
  <c r="AB69" i="13"/>
  <c r="G40" i="13"/>
  <c r="X69" i="13"/>
  <c r="AD10" i="13"/>
  <c r="K69" i="13"/>
  <c r="N69" i="13"/>
  <c r="I10" i="13"/>
  <c r="W69" i="13"/>
  <c r="D69" i="13"/>
  <c r="N10" i="13"/>
  <c r="Z40" i="13"/>
  <c r="K40" i="13"/>
  <c r="J69" i="13"/>
  <c r="AE10" i="13"/>
  <c r="H69" i="13"/>
  <c r="C69" i="13"/>
  <c r="G69" i="13"/>
  <c r="H10" i="13"/>
  <c r="E69" i="13"/>
  <c r="AF10" i="13"/>
  <c r="E19" i="16" l="1"/>
  <c r="D19" i="16"/>
  <c r="C19" i="16"/>
  <c r="B19" i="16"/>
  <c r="I18" i="16"/>
  <c r="H18" i="16"/>
  <c r="G18" i="16"/>
  <c r="F18" i="16"/>
  <c r="I22" i="16"/>
  <c r="H22" i="16"/>
  <c r="G22" i="16"/>
  <c r="F22" i="16"/>
  <c r="E22" i="16"/>
  <c r="D22" i="16"/>
  <c r="C22" i="16"/>
  <c r="B22" i="16"/>
  <c r="I21" i="16"/>
  <c r="H21" i="16"/>
  <c r="G21" i="16"/>
  <c r="F21" i="16"/>
  <c r="E21" i="16"/>
  <c r="D21" i="16"/>
  <c r="C21" i="16"/>
  <c r="B21" i="16"/>
  <c r="I20" i="16"/>
  <c r="H20" i="16"/>
  <c r="G20" i="16"/>
  <c r="F20" i="16"/>
  <c r="E20" i="16"/>
  <c r="D20" i="16"/>
  <c r="C20" i="16"/>
  <c r="B20" i="16"/>
  <c r="I19" i="16"/>
  <c r="H19" i="16"/>
  <c r="G19" i="16"/>
  <c r="F19" i="16"/>
  <c r="E18" i="16"/>
  <c r="D18" i="16"/>
  <c r="C18" i="16"/>
  <c r="B30" i="16" l="1"/>
  <c r="C30" i="16" s="1"/>
  <c r="I23" i="16"/>
  <c r="B29" i="16"/>
  <c r="C29" i="16" s="1"/>
  <c r="B15" i="16"/>
  <c r="F15" i="16"/>
  <c r="H23" i="16"/>
  <c r="G15" i="16"/>
  <c r="H15" i="16"/>
  <c r="F23" i="16"/>
  <c r="B27" i="16"/>
  <c r="C27" i="16" s="1"/>
  <c r="I15" i="16"/>
  <c r="G23" i="16"/>
  <c r="C23" i="16"/>
  <c r="E23" i="16"/>
  <c r="B28" i="16"/>
  <c r="C28" i="16" s="1"/>
  <c r="D23" i="16"/>
  <c r="C15" i="16"/>
  <c r="D15" i="16"/>
  <c r="E15" i="16"/>
  <c r="B18" i="16"/>
  <c r="B26" i="16" l="1"/>
  <c r="B23" i="16"/>
  <c r="B31" i="16" l="1"/>
  <c r="C26" i="16"/>
  <c r="C31" i="16" s="1"/>
  <c r="I30" i="17"/>
  <c r="H30" i="17"/>
  <c r="G30" i="17"/>
  <c r="F30" i="17"/>
  <c r="E22" i="17"/>
  <c r="D22" i="17"/>
  <c r="C22" i="17"/>
  <c r="B30" i="17"/>
  <c r="I21" i="17"/>
  <c r="H29" i="17"/>
  <c r="G29" i="17"/>
  <c r="F29" i="17"/>
  <c r="E29" i="17"/>
  <c r="D29" i="17"/>
  <c r="C29" i="17"/>
  <c r="B21" i="17"/>
  <c r="I20" i="17"/>
  <c r="H20" i="17"/>
  <c r="G28" i="17"/>
  <c r="F28" i="17"/>
  <c r="E28" i="17"/>
  <c r="D28" i="17"/>
  <c r="C28" i="17"/>
  <c r="B28" i="17"/>
  <c r="I19" i="17"/>
  <c r="H27" i="17"/>
  <c r="G27" i="17"/>
  <c r="F27" i="17"/>
  <c r="E27" i="17"/>
  <c r="D27" i="17"/>
  <c r="C19" i="17"/>
  <c r="B27" i="17"/>
  <c r="I18" i="17"/>
  <c r="G18" i="17"/>
  <c r="F26" i="17"/>
  <c r="E26" i="17"/>
  <c r="D26" i="17"/>
  <c r="C26" i="17"/>
  <c r="B26" i="17"/>
  <c r="B20" i="17" l="1"/>
  <c r="C20" i="17"/>
  <c r="D20" i="17"/>
  <c r="E20" i="17"/>
  <c r="F20" i="17"/>
  <c r="C21" i="17"/>
  <c r="D21" i="17"/>
  <c r="E21" i="17"/>
  <c r="F21" i="17"/>
  <c r="G21" i="17"/>
  <c r="H21" i="17"/>
  <c r="H15" i="17"/>
  <c r="F22" i="17"/>
  <c r="G22" i="17"/>
  <c r="H22" i="17"/>
  <c r="I22" i="17"/>
  <c r="I23" i="17" s="1"/>
  <c r="G26" i="17"/>
  <c r="G31" i="17" s="1"/>
  <c r="I27" i="17"/>
  <c r="B18" i="17"/>
  <c r="C18" i="17"/>
  <c r="C23" i="17" s="1"/>
  <c r="D18" i="17"/>
  <c r="E18" i="17"/>
  <c r="F18" i="17"/>
  <c r="B19" i="17"/>
  <c r="D19" i="17"/>
  <c r="E19" i="17"/>
  <c r="F19" i="17"/>
  <c r="J12" i="17"/>
  <c r="H19" i="17"/>
  <c r="F31" i="17"/>
  <c r="G19" i="17"/>
  <c r="H28" i="17"/>
  <c r="I28" i="17"/>
  <c r="J14" i="17"/>
  <c r="J11" i="17"/>
  <c r="B15" i="17"/>
  <c r="B29" i="17"/>
  <c r="C15" i="17"/>
  <c r="D15" i="17"/>
  <c r="G20" i="17"/>
  <c r="E15" i="17"/>
  <c r="F15" i="17"/>
  <c r="G15" i="17"/>
  <c r="C30" i="17"/>
  <c r="J13" i="17"/>
  <c r="I15" i="17"/>
  <c r="H26" i="17"/>
  <c r="I29" i="17"/>
  <c r="C27" i="17"/>
  <c r="C31" i="17" s="1"/>
  <c r="D30" i="17"/>
  <c r="D31" i="17" s="1"/>
  <c r="E30" i="17"/>
  <c r="E31" i="17" s="1"/>
  <c r="B22" i="17"/>
  <c r="H18" i="17"/>
  <c r="J10" i="17"/>
  <c r="I26" i="17"/>
  <c r="D23" i="17" l="1"/>
  <c r="B35" i="17"/>
  <c r="C35" i="17" s="1"/>
  <c r="J29" i="17"/>
  <c r="B23" i="17"/>
  <c r="B37" i="17"/>
  <c r="C37" i="17" s="1"/>
  <c r="G23" i="17"/>
  <c r="H23" i="17"/>
  <c r="J28" i="17"/>
  <c r="B38" i="17"/>
  <c r="C38" i="17" s="1"/>
  <c r="F23" i="17"/>
  <c r="E23" i="17"/>
  <c r="J27" i="17"/>
  <c r="B36" i="17"/>
  <c r="C36" i="17" s="1"/>
  <c r="J15" i="17"/>
  <c r="I31" i="17"/>
  <c r="B34" i="17"/>
  <c r="J30" i="17"/>
  <c r="H31" i="17"/>
  <c r="B31" i="17"/>
  <c r="J31" i="17" s="1"/>
  <c r="J26" i="17"/>
  <c r="B39" i="17" l="1"/>
  <c r="C34" i="17"/>
  <c r="C39" i="17" s="1"/>
  <c r="C7" i="1" l="1"/>
  <c r="T71" i="2" l="1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R9" i="5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72" i="2"/>
  <c r="T166" i="2"/>
  <c r="T189" i="2"/>
  <c r="T186" i="2"/>
  <c r="T180" i="2"/>
  <c r="T188" i="2"/>
  <c r="T185" i="2"/>
  <c r="T187" i="2"/>
  <c r="T184" i="2"/>
  <c r="T195" i="2"/>
  <c r="T175" i="2"/>
  <c r="T173" i="2"/>
  <c r="T177" i="2"/>
  <c r="T132" i="2"/>
  <c r="T126" i="2"/>
  <c r="T151" i="2"/>
  <c r="T148" i="2"/>
  <c r="T142" i="2"/>
  <c r="T150" i="2"/>
  <c r="T147" i="2"/>
  <c r="T149" i="2"/>
  <c r="T146" i="2"/>
  <c r="T157" i="2"/>
  <c r="T136" i="2"/>
  <c r="T134" i="2"/>
  <c r="T159" i="2"/>
  <c r="T139" i="2"/>
  <c r="T92" i="2"/>
  <c r="T86" i="2"/>
  <c r="T112" i="2"/>
  <c r="T109" i="2"/>
  <c r="T103" i="2"/>
  <c r="T111" i="2"/>
  <c r="T108" i="2"/>
  <c r="T110" i="2"/>
  <c r="T107" i="2"/>
  <c r="T102" i="2"/>
  <c r="T118" i="2"/>
  <c r="T96" i="2"/>
  <c r="T94" i="2"/>
  <c r="T119" i="2"/>
  <c r="T99" i="2"/>
  <c r="T50" i="2"/>
  <c r="T44" i="2"/>
  <c r="T70" i="2"/>
  <c r="T67" i="2"/>
  <c r="T61" i="2"/>
  <c r="T69" i="2"/>
  <c r="T66" i="2"/>
  <c r="T68" i="2"/>
  <c r="T65" i="2"/>
  <c r="T60" i="2"/>
  <c r="T76" i="2"/>
  <c r="T54" i="2"/>
  <c r="T52" i="2"/>
  <c r="T78" i="2"/>
  <c r="T57" i="2"/>
  <c r="T13" i="2"/>
  <c r="T7" i="2"/>
  <c r="T32" i="2"/>
  <c r="T29" i="2"/>
  <c r="T23" i="2"/>
  <c r="T31" i="2"/>
  <c r="T28" i="2"/>
  <c r="T30" i="2"/>
  <c r="T27" i="2"/>
  <c r="T22" i="2"/>
  <c r="T38" i="2"/>
  <c r="T17" i="2"/>
  <c r="T15" i="2"/>
  <c r="T19" i="2"/>
  <c r="T171" i="2"/>
  <c r="T165" i="2"/>
  <c r="T193" i="2"/>
  <c r="T170" i="2"/>
  <c r="T164" i="2"/>
  <c r="T192" i="2"/>
  <c r="T131" i="2"/>
  <c r="T125" i="2"/>
  <c r="T155" i="2"/>
  <c r="T130" i="2"/>
  <c r="T124" i="2"/>
  <c r="T154" i="2"/>
  <c r="T91" i="2"/>
  <c r="T85" i="2"/>
  <c r="T116" i="2"/>
  <c r="T90" i="2"/>
  <c r="T84" i="2"/>
  <c r="T115" i="2"/>
  <c r="T49" i="2"/>
  <c r="T43" i="2"/>
  <c r="T74" i="2"/>
  <c r="T48" i="2"/>
  <c r="T42" i="2"/>
  <c r="T73" i="2"/>
  <c r="T12" i="2"/>
  <c r="T6" i="2"/>
  <c r="T36" i="2"/>
  <c r="T11" i="2"/>
  <c r="T5" i="2"/>
  <c r="T35" i="2"/>
  <c r="T194" i="2"/>
  <c r="T174" i="2"/>
  <c r="T176" i="2"/>
  <c r="T183" i="2"/>
  <c r="T179" i="2"/>
  <c r="T182" i="2"/>
  <c r="T169" i="2"/>
  <c r="T163" i="2"/>
  <c r="T181" i="2"/>
  <c r="T178" i="2"/>
  <c r="T156" i="2"/>
  <c r="T133" i="2"/>
  <c r="T135" i="2"/>
  <c r="T160" i="2"/>
  <c r="T158" i="2"/>
  <c r="T138" i="2"/>
  <c r="T137" i="2"/>
  <c r="T145" i="2"/>
  <c r="T144" i="2"/>
  <c r="T141" i="2"/>
  <c r="T129" i="2"/>
  <c r="T140" i="2"/>
  <c r="T123" i="2"/>
  <c r="T143" i="2"/>
  <c r="T117" i="2"/>
  <c r="T120" i="2"/>
  <c r="T97" i="2"/>
  <c r="T95" i="2"/>
  <c r="T93" i="2"/>
  <c r="T98" i="2"/>
  <c r="T106" i="2"/>
  <c r="T101" i="2"/>
  <c r="T105" i="2"/>
  <c r="T89" i="2"/>
  <c r="T83" i="2"/>
  <c r="T104" i="2"/>
  <c r="T100" i="2"/>
  <c r="T64" i="2"/>
  <c r="T59" i="2"/>
  <c r="T75" i="2"/>
  <c r="T79" i="2"/>
  <c r="T55" i="2"/>
  <c r="T53" i="2"/>
  <c r="T51" i="2"/>
  <c r="T80" i="2"/>
  <c r="T77" i="2"/>
  <c r="T56" i="2"/>
  <c r="T63" i="2"/>
  <c r="T47" i="2"/>
  <c r="T41" i="2"/>
  <c r="T62" i="2"/>
  <c r="T58" i="2"/>
  <c r="T37" i="2"/>
  <c r="T14" i="2"/>
  <c r="T16" i="2"/>
  <c r="T18" i="2"/>
  <c r="T26" i="2"/>
  <c r="T21" i="2"/>
  <c r="T25" i="2"/>
  <c r="T10" i="2"/>
  <c r="T20" i="2"/>
  <c r="T4" i="2"/>
  <c r="T24" i="2"/>
  <c r="T168" i="2"/>
  <c r="T162" i="2"/>
  <c r="T191" i="2"/>
  <c r="T167" i="2"/>
  <c r="T161" i="2"/>
  <c r="T190" i="2"/>
  <c r="T128" i="2"/>
  <c r="T122" i="2"/>
  <c r="T153" i="2"/>
  <c r="T127" i="2"/>
  <c r="T152" i="2"/>
  <c r="T121" i="2"/>
  <c r="T88" i="2"/>
  <c r="T82" i="2"/>
  <c r="T114" i="2"/>
  <c r="T87" i="2"/>
  <c r="T81" i="2"/>
  <c r="T113" i="2"/>
  <c r="T46" i="2"/>
  <c r="T40" i="2"/>
  <c r="T72" i="2"/>
  <c r="T45" i="2"/>
  <c r="T39" i="2"/>
  <c r="T9" i="2"/>
  <c r="T34" i="2"/>
  <c r="T3" i="2"/>
  <c r="T33" i="2"/>
  <c r="T8" i="2"/>
  <c r="T2" i="2"/>
  <c r="V40" i="6"/>
  <c r="W40" i="6"/>
  <c r="X40" i="6"/>
  <c r="Y40" i="6"/>
  <c r="Z40" i="6"/>
  <c r="AA40" i="6"/>
  <c r="V35" i="6"/>
  <c r="W35" i="6"/>
  <c r="X35" i="6"/>
  <c r="Y35" i="6"/>
  <c r="Z35" i="6"/>
  <c r="AA35" i="6"/>
  <c r="V36" i="6"/>
  <c r="W36" i="6"/>
  <c r="X36" i="6"/>
  <c r="Y36" i="6"/>
  <c r="Z36" i="6"/>
  <c r="AA36" i="6"/>
  <c r="V37" i="6"/>
  <c r="W37" i="6"/>
  <c r="X37" i="6"/>
  <c r="Y37" i="6"/>
  <c r="Z37" i="6"/>
  <c r="AA37" i="6"/>
  <c r="V38" i="6"/>
  <c r="W38" i="6"/>
  <c r="X38" i="6"/>
  <c r="Y38" i="6"/>
  <c r="Z38" i="6"/>
  <c r="AA38" i="6"/>
  <c r="V39" i="6"/>
  <c r="W39" i="6"/>
  <c r="X39" i="6"/>
  <c r="Y39" i="6"/>
  <c r="Z39" i="6"/>
  <c r="AA39" i="6"/>
  <c r="V22" i="6"/>
  <c r="W22" i="6"/>
  <c r="X22" i="6"/>
  <c r="Y22" i="6"/>
  <c r="Z22" i="6"/>
  <c r="AA22" i="6"/>
  <c r="V23" i="6"/>
  <c r="W23" i="6"/>
  <c r="X23" i="6"/>
  <c r="Y23" i="6"/>
  <c r="Z23" i="6"/>
  <c r="AA23" i="6"/>
  <c r="V24" i="6"/>
  <c r="W24" i="6"/>
  <c r="X24" i="6"/>
  <c r="Y24" i="6"/>
  <c r="Z24" i="6"/>
  <c r="AA24" i="6"/>
  <c r="V25" i="6"/>
  <c r="W25" i="6"/>
  <c r="X25" i="6"/>
  <c r="Y25" i="6"/>
  <c r="Z25" i="6"/>
  <c r="AA25" i="6"/>
  <c r="V26" i="6"/>
  <c r="W26" i="6"/>
  <c r="X26" i="6"/>
  <c r="Y26" i="6"/>
  <c r="Z26" i="6"/>
  <c r="AA26" i="6"/>
  <c r="V27" i="6"/>
  <c r="W27" i="6"/>
  <c r="X27" i="6"/>
  <c r="Y27" i="6"/>
  <c r="Z27" i="6"/>
  <c r="AA27" i="6"/>
  <c r="V28" i="6"/>
  <c r="W28" i="6"/>
  <c r="X28" i="6"/>
  <c r="Y28" i="6"/>
  <c r="Z28" i="6"/>
  <c r="AA28" i="6"/>
  <c r="V29" i="6"/>
  <c r="W29" i="6"/>
  <c r="X29" i="6"/>
  <c r="Y29" i="6"/>
  <c r="Z29" i="6"/>
  <c r="AA29" i="6"/>
  <c r="V30" i="6"/>
  <c r="W30" i="6"/>
  <c r="X30" i="6"/>
  <c r="Y30" i="6"/>
  <c r="Z30" i="6"/>
  <c r="AA30" i="6"/>
  <c r="V31" i="6"/>
  <c r="W31" i="6"/>
  <c r="X31" i="6"/>
  <c r="Y31" i="6"/>
  <c r="Z31" i="6"/>
  <c r="AA31" i="6"/>
  <c r="V32" i="6"/>
  <c r="W32" i="6"/>
  <c r="X32" i="6"/>
  <c r="Y32" i="6"/>
  <c r="Z32" i="6"/>
  <c r="AA32" i="6"/>
  <c r="V33" i="6"/>
  <c r="W33" i="6"/>
  <c r="X33" i="6"/>
  <c r="Y33" i="6"/>
  <c r="Z33" i="6"/>
  <c r="AA33" i="6"/>
  <c r="V34" i="6"/>
  <c r="W34" i="6"/>
  <c r="X34" i="6"/>
  <c r="Y34" i="6"/>
  <c r="Z34" i="6"/>
  <c r="AA34" i="6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5" i="7"/>
  <c r="B5" i="7"/>
  <c r="B6" i="7" l="1"/>
  <c r="F6" i="7" s="1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Z10" i="6"/>
  <c r="AA10" i="6"/>
  <c r="Z11" i="6"/>
  <c r="AA11" i="6"/>
  <c r="Z12" i="6"/>
  <c r="AA12" i="6"/>
  <c r="Z13" i="6"/>
  <c r="AA13" i="6"/>
  <c r="Z14" i="6"/>
  <c r="AA14" i="6"/>
  <c r="Z15" i="6"/>
  <c r="AA15" i="6"/>
  <c r="Z16" i="6"/>
  <c r="AA16" i="6"/>
  <c r="Z17" i="6"/>
  <c r="AA17" i="6"/>
  <c r="Z18" i="6"/>
  <c r="AA18" i="6"/>
  <c r="Z19" i="6"/>
  <c r="AA19" i="6"/>
  <c r="Z20" i="6"/>
  <c r="AA20" i="6"/>
  <c r="Z21" i="6"/>
  <c r="AA21" i="6"/>
  <c r="AA9" i="6"/>
  <c r="Z9" i="6"/>
  <c r="Y21" i="6"/>
  <c r="X21" i="6"/>
  <c r="W21" i="6"/>
  <c r="V21" i="6"/>
  <c r="Y20" i="6"/>
  <c r="X20" i="6"/>
  <c r="W20" i="6"/>
  <c r="V20" i="6"/>
  <c r="Y19" i="6"/>
  <c r="X19" i="6"/>
  <c r="W19" i="6"/>
  <c r="V19" i="6"/>
  <c r="Y18" i="6"/>
  <c r="X18" i="6"/>
  <c r="W18" i="6"/>
  <c r="V18" i="6"/>
  <c r="Y17" i="6"/>
  <c r="X17" i="6"/>
  <c r="W17" i="6"/>
  <c r="V17" i="6"/>
  <c r="Y16" i="6"/>
  <c r="X16" i="6"/>
  <c r="W16" i="6"/>
  <c r="V16" i="6"/>
  <c r="Y15" i="6"/>
  <c r="X15" i="6"/>
  <c r="W15" i="6"/>
  <c r="V15" i="6"/>
  <c r="Y14" i="6"/>
  <c r="X14" i="6"/>
  <c r="W14" i="6"/>
  <c r="V14" i="6"/>
  <c r="Y13" i="6"/>
  <c r="X13" i="6"/>
  <c r="W13" i="6"/>
  <c r="V13" i="6"/>
  <c r="Y12" i="6"/>
  <c r="X12" i="6"/>
  <c r="W12" i="6"/>
  <c r="V12" i="6"/>
  <c r="Y11" i="6"/>
  <c r="X11" i="6"/>
  <c r="W11" i="6"/>
  <c r="V11" i="6"/>
  <c r="Y10" i="6"/>
  <c r="X10" i="6"/>
  <c r="W10" i="6"/>
  <c r="V10" i="6"/>
  <c r="Y9" i="6"/>
  <c r="X9" i="6"/>
  <c r="W9" i="6"/>
  <c r="V9" i="6"/>
  <c r="F12" i="7" l="1"/>
  <c r="F13" i="7"/>
  <c r="F14" i="7"/>
  <c r="F17" i="7"/>
  <c r="F16" i="7"/>
  <c r="F19" i="7"/>
  <c r="F15" i="7"/>
  <c r="Q12" i="5" l="1"/>
  <c r="Q14" i="5"/>
  <c r="F11" i="9" s="1"/>
  <c r="R12" i="5" l="1"/>
  <c r="G9" i="9" s="1"/>
  <c r="F9" i="9"/>
  <c r="Q11" i="5" l="1"/>
  <c r="F8" i="9" s="1"/>
  <c r="Q15" i="5"/>
  <c r="F12" i="9" s="1"/>
  <c r="Q16" i="5"/>
  <c r="F13" i="9" s="1"/>
  <c r="Q13" i="5" l="1"/>
  <c r="F10" i="9" s="1"/>
  <c r="Q18" i="5" l="1"/>
  <c r="Q17" i="5"/>
  <c r="F16" i="9"/>
  <c r="B1" i="9"/>
  <c r="C1" i="9"/>
  <c r="D1" i="9"/>
  <c r="E1" i="9"/>
  <c r="F1" i="9"/>
  <c r="B2" i="9"/>
  <c r="C2" i="9"/>
  <c r="D2" i="9"/>
  <c r="E2" i="9"/>
  <c r="B3" i="9"/>
  <c r="C3" i="9"/>
  <c r="D3" i="9"/>
  <c r="E3" i="9"/>
  <c r="C4" i="9"/>
  <c r="D4" i="9"/>
  <c r="E4" i="9"/>
  <c r="B5" i="9"/>
  <c r="C5" i="9"/>
  <c r="D5" i="9"/>
  <c r="E5" i="9"/>
  <c r="B6" i="9"/>
  <c r="C6" i="9"/>
  <c r="D6" i="9"/>
  <c r="E6" i="9"/>
  <c r="B7" i="9"/>
  <c r="C7" i="9"/>
  <c r="B14" i="9"/>
  <c r="C14" i="9"/>
  <c r="D14" i="9"/>
  <c r="E14" i="9"/>
  <c r="B15" i="9"/>
  <c r="C15" i="9"/>
  <c r="D15" i="9"/>
  <c r="E15" i="9"/>
  <c r="A2" i="9"/>
  <c r="A3" i="9"/>
  <c r="A4" i="9"/>
  <c r="A5" i="9"/>
  <c r="A6" i="9"/>
  <c r="A7" i="9"/>
  <c r="A14" i="9"/>
  <c r="A15" i="9"/>
  <c r="A1" i="9"/>
  <c r="F7" i="7" l="1"/>
  <c r="F8" i="7"/>
  <c r="F9" i="7"/>
  <c r="F10" i="7"/>
  <c r="F11" i="7"/>
  <c r="F5" i="7"/>
  <c r="R16" i="5" l="1"/>
  <c r="G13" i="9" s="1"/>
  <c r="R13" i="5" l="1"/>
  <c r="G10" i="9" s="1"/>
  <c r="R15" i="5"/>
  <c r="G12" i="9" s="1"/>
  <c r="R11" i="5" l="1"/>
  <c r="G8" i="9" s="1"/>
  <c r="R14" i="5"/>
  <c r="G11" i="9" s="1"/>
  <c r="R17" i="5"/>
  <c r="G14" i="9" s="1"/>
  <c r="F14" i="9"/>
  <c r="R10" i="5" l="1"/>
  <c r="G7" i="9" s="1"/>
  <c r="R18" i="5"/>
  <c r="G15" i="9" s="1"/>
  <c r="F15" i="9"/>
  <c r="Q8" i="5" l="1"/>
  <c r="F6" i="9" s="1"/>
  <c r="Q9" i="5"/>
  <c r="Q6" i="5"/>
  <c r="Q7" i="5" l="1"/>
  <c r="R7" i="5" s="1"/>
  <c r="R8" i="5"/>
  <c r="G6" i="9" s="1"/>
  <c r="Q4" i="5"/>
  <c r="F3" i="9" s="1"/>
  <c r="G13" i="1"/>
  <c r="Q3" i="5" l="1"/>
  <c r="F5" i="9"/>
  <c r="R4" i="5"/>
  <c r="G3" i="9" s="1"/>
  <c r="G5" i="9"/>
  <c r="Q5" i="5" l="1"/>
  <c r="R5" i="5" s="1"/>
  <c r="F2" i="9"/>
  <c r="R3" i="5"/>
  <c r="G2" i="9" s="1"/>
  <c r="G4" i="9" l="1"/>
  <c r="G16" i="9" s="1"/>
  <c r="R20" i="5"/>
  <c r="F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tc={FBCA4655-38AD-F24D-B932-58B922300DD2}</author>
    <author>tc={C5893B76-CD35-024F-83B7-FF8EEBE87849}</author>
  </authors>
  <commentList>
    <comment ref="B5" authorId="0" shapeId="0" xr:uid="{FBCA4655-38AD-F24D-B932-58B922300DD2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that was identified as cropped at least once during the 5-year period</t>
      </text>
    </comment>
    <comment ref="B6" authorId="1" shapeId="0" xr:uid="{C5893B76-CD35-024F-83B7-FF8EEBE87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that was identified as irrigated at least once during the 5-year period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<sst xmlns="http://schemas.openxmlformats.org/spreadsheetml/2006/main" count="1980" uniqueCount="214">
  <si>
    <t>Adequacy</t>
  </si>
  <si>
    <t>Reliability</t>
  </si>
  <si>
    <t>Equity</t>
  </si>
  <si>
    <t>Productivity</t>
  </si>
  <si>
    <t>Indicator</t>
  </si>
  <si>
    <t>Cropping Intensity</t>
  </si>
  <si>
    <t>Irrigated Area</t>
  </si>
  <si>
    <t>Comment</t>
  </si>
  <si>
    <t>Water Productivity (in terms of yield)</t>
  </si>
  <si>
    <t>Temporal Resolution</t>
  </si>
  <si>
    <t>Annual</t>
  </si>
  <si>
    <t>Unit</t>
  </si>
  <si>
    <t>-</t>
  </si>
  <si>
    <t>%</t>
  </si>
  <si>
    <t>Yield Gap due to water stress</t>
  </si>
  <si>
    <t>Description</t>
  </si>
  <si>
    <t>Standard deviation of ETa over irrigated areas divided by average ETa</t>
  </si>
  <si>
    <t>kg/m3</t>
  </si>
  <si>
    <t>Range of average crop-specific monthly Relative
ET (ET/ETp), considering for each scheme the
most common irrigated crop(s) and the corresponding
cropping season</t>
  </si>
  <si>
    <t>(Ypotential​−Yactual​​)/(Ypotential​)×100</t>
  </si>
  <si>
    <t>RWD=1-(Eta/Etp)</t>
  </si>
  <si>
    <t>Area</t>
  </si>
  <si>
    <t>Area%</t>
  </si>
  <si>
    <t>Crop Type</t>
  </si>
  <si>
    <t>CropID</t>
  </si>
  <si>
    <t>ETa</t>
  </si>
  <si>
    <t>ETblue</t>
  </si>
  <si>
    <t>ETcv</t>
  </si>
  <si>
    <t>ETgreen</t>
  </si>
  <si>
    <t>Name</t>
  </si>
  <si>
    <t>Precip</t>
  </si>
  <si>
    <t>RETmax</t>
  </si>
  <si>
    <t>RETmin</t>
  </si>
  <si>
    <t>Season</t>
  </si>
  <si>
    <t>TBP</t>
  </si>
  <si>
    <t>TBP_P</t>
  </si>
  <si>
    <t>status</t>
  </si>
  <si>
    <t>year</t>
  </si>
  <si>
    <t>Kharif Crop</t>
  </si>
  <si>
    <t>IRRIGATED</t>
  </si>
  <si>
    <t>Rabi Crop</t>
  </si>
  <si>
    <t>Zaid Crop</t>
  </si>
  <si>
    <t>Double Crop Kharif/Rabi</t>
  </si>
  <si>
    <t>Double Crop Kharif/Zaid</t>
  </si>
  <si>
    <t>Double Crop Rabi/Zaid</t>
  </si>
  <si>
    <t>Triple Crop</t>
  </si>
  <si>
    <t>Perennial Crops</t>
  </si>
  <si>
    <t>Cotton</t>
  </si>
  <si>
    <t>Sugarcane</t>
  </si>
  <si>
    <t>Other Irrigated (Less Water Intensive)</t>
  </si>
  <si>
    <t>Wheat</t>
  </si>
  <si>
    <t>Chickpea</t>
  </si>
  <si>
    <t>Jowar</t>
  </si>
  <si>
    <t>Other Irrigated (High Water Intensive)</t>
  </si>
  <si>
    <t>Groundnut</t>
  </si>
  <si>
    <t>RAINFED</t>
  </si>
  <si>
    <t>Other Rainfed</t>
  </si>
  <si>
    <t>Paddy</t>
  </si>
  <si>
    <t>Redgram</t>
  </si>
  <si>
    <t>Chili</t>
  </si>
  <si>
    <t>Kharif</t>
  </si>
  <si>
    <t>Rabi</t>
  </si>
  <si>
    <t>Zaid</t>
  </si>
  <si>
    <t>AVERAGE</t>
  </si>
  <si>
    <t>Total</t>
  </si>
  <si>
    <t>Cropped Area</t>
  </si>
  <si>
    <t>Low Water Intensive Crops</t>
  </si>
  <si>
    <t>Water Intensive</t>
  </si>
  <si>
    <t>Descending/Ascending</t>
  </si>
  <si>
    <t>A</t>
  </si>
  <si>
    <t>D</t>
  </si>
  <si>
    <t>Season (s)</t>
  </si>
  <si>
    <t>All Annual Crops</t>
  </si>
  <si>
    <t>All Irrigated Crops</t>
  </si>
  <si>
    <t>AVERAGE SCORE</t>
  </si>
  <si>
    <t>Weighted mean of all crops (weighted by irrigated area per crop)</t>
  </si>
  <si>
    <t>Seasonal or Annual</t>
  </si>
  <si>
    <t>Annual (per crop)</t>
  </si>
  <si>
    <t>Crop Types</t>
  </si>
  <si>
    <t>Indicator Weight</t>
  </si>
  <si>
    <t>N</t>
  </si>
  <si>
    <t>Y</t>
  </si>
  <si>
    <t>Crop Specific (Y/N)</t>
  </si>
  <si>
    <t>Units</t>
  </si>
  <si>
    <t>%/100</t>
  </si>
  <si>
    <t>Target Value</t>
  </si>
  <si>
    <t>Water Intensive (based on Etp)</t>
  </si>
  <si>
    <t>Parameter</t>
  </si>
  <si>
    <t>Parameter value</t>
  </si>
  <si>
    <t>Crop Type (irrigated)</t>
  </si>
  <si>
    <t>Area (ha)</t>
  </si>
  <si>
    <t>Range of average crop-specific monthly Relative
ET (ET/ETp)</t>
  </si>
  <si>
    <t>Planting Date (month)</t>
  </si>
  <si>
    <t>ETc-Crop (FAO Aquastat)</t>
  </si>
  <si>
    <t>Critical Value</t>
  </si>
  <si>
    <t>CCA</t>
  </si>
  <si>
    <t>ETcv_blue</t>
  </si>
  <si>
    <t>Mustard</t>
  </si>
  <si>
    <t>Other Unirrigated</t>
  </si>
  <si>
    <t>Standard deviation of ETblue over irrigated areas divided by average ETblue</t>
  </si>
  <si>
    <t>Mustard (Forage)</t>
  </si>
  <si>
    <t>Class3</t>
  </si>
  <si>
    <t>Class1</t>
  </si>
  <si>
    <t>Class2</t>
  </si>
  <si>
    <t>Class10</t>
  </si>
  <si>
    <t>Class15</t>
  </si>
  <si>
    <t>Class4</t>
  </si>
  <si>
    <t>Class9</t>
  </si>
  <si>
    <t>Class14</t>
  </si>
  <si>
    <t>ETa90</t>
  </si>
  <si>
    <t>Maize</t>
  </si>
  <si>
    <t>Orchard</t>
  </si>
  <si>
    <t>Potato</t>
  </si>
  <si>
    <t>Class5</t>
  </si>
  <si>
    <t>Class6</t>
  </si>
  <si>
    <t>Class7</t>
  </si>
  <si>
    <t>Class8</t>
  </si>
  <si>
    <t>Class11</t>
  </si>
  <si>
    <t>Class12</t>
  </si>
  <si>
    <t>Class13</t>
  </si>
  <si>
    <t>Value</t>
  </si>
  <si>
    <t>Yield Gap</t>
  </si>
  <si>
    <t>Fraction of low water intensive irrigated crops, based on FAO-AQUASTAT crop water requirements</t>
  </si>
  <si>
    <t>All irrigated Crops, based on FAO-AQUASTAT crop water requirements</t>
  </si>
  <si>
    <t>Irrigation Utilization</t>
  </si>
  <si>
    <t>Fraction of command area irrigated</t>
  </si>
  <si>
    <t>Fraction of low water intensive irrigated crops</t>
  </si>
  <si>
    <t>Name of scheme</t>
  </si>
  <si>
    <t>Sheets</t>
  </si>
  <si>
    <t>SCORES</t>
  </si>
  <si>
    <t>Indicators</t>
  </si>
  <si>
    <t>Data(FAO-AQUASTAT)</t>
  </si>
  <si>
    <t>Data(perSeason,perCrop)</t>
  </si>
  <si>
    <t>Data(perCrop)</t>
  </si>
  <si>
    <t>Indicators(perCrop)</t>
  </si>
  <si>
    <t>SummaryTable</t>
  </si>
  <si>
    <t>Figures</t>
  </si>
  <si>
    <t>Crop water requirements according to FAO-AQUASTAT</t>
  </si>
  <si>
    <t>Inputs Required</t>
  </si>
  <si>
    <t>Optional Inputs</t>
  </si>
  <si>
    <t>Yes</t>
  </si>
  <si>
    <t>Data exported from GEE (per crop and per year)</t>
  </si>
  <si>
    <t>Data exported from GEE (per season, per crop, per year)</t>
  </si>
  <si>
    <t>Annual benchmarking indicators, overall</t>
  </si>
  <si>
    <t>Annual benchmarking indicators, per crop type</t>
  </si>
  <si>
    <t>Benchmarking: final values and scores</t>
  </si>
  <si>
    <t>Summary table of benchmarking statistics</t>
  </si>
  <si>
    <t>Score</t>
  </si>
  <si>
    <t>Comments</t>
  </si>
  <si>
    <t>Fraction of irrigated area currently represented:</t>
  </si>
  <si>
    <t>Required Inputs</t>
  </si>
  <si>
    <t>"Data(perSeason,perCrop)": Area</t>
  </si>
  <si>
    <t>"Data(FAO-AQUASTAT)": ETc-Crop 
"Data(perCrop)": Area</t>
  </si>
  <si>
    <t>https://aquastat.fao.org/</t>
  </si>
  <si>
    <t>"Data(perCrop)": Area, ETa, ETaMax</t>
  </si>
  <si>
    <t>"Data(perSeason,perCrop)": ETcv or Etcv_blue</t>
  </si>
  <si>
    <t>"Data(perCrop)": TBP, ETa</t>
  </si>
  <si>
    <t>"Data(perSeason,perCrop)": RETmax, RETmin 
"Data(perCrop)": Area</t>
  </si>
  <si>
    <t>"Data(perCrop)": TBP, TBP_P</t>
  </si>
  <si>
    <t>ID</t>
  </si>
  <si>
    <t>Fraction of CCA irrigated</t>
  </si>
  <si>
    <t>All irrigated Crops, based on Etp (90th percentile of ETa according to RS analysis)</t>
  </si>
  <si>
    <t>Threshold value to identify water intensive crops, per season [mm]</t>
  </si>
  <si>
    <t>Threshold value to identify water intensive crops, per full cropping period [mm]</t>
  </si>
  <si>
    <t>Arable Land (ha)</t>
  </si>
  <si>
    <t>Irrigable Land (ha)</t>
  </si>
  <si>
    <t>CCA (ha)</t>
  </si>
  <si>
    <t>Total Command Area (ha)</t>
  </si>
  <si>
    <t>Number of Years</t>
  </si>
  <si>
    <t>Consider years within the period 2018-2022 only</t>
  </si>
  <si>
    <t>Cropping Intensity, considering CCA</t>
  </si>
  <si>
    <t>Calculate based on CCA</t>
  </si>
  <si>
    <t>ETa (90th percentile)</t>
  </si>
  <si>
    <t>Ong</t>
  </si>
  <si>
    <t>User Specified</t>
  </si>
  <si>
    <t>Season (Annual)</t>
  </si>
  <si>
    <t>2018-2022</t>
  </si>
  <si>
    <t>Based on CCA</t>
  </si>
  <si>
    <t xml:space="preserve">Irrigated Area Fraction </t>
  </si>
  <si>
    <t>Total Irrigated Area</t>
  </si>
  <si>
    <t xml:space="preserve">Cropping Intensity </t>
  </si>
  <si>
    <t>Total Cropped Area</t>
  </si>
  <si>
    <t>Season (KHARIF)</t>
  </si>
  <si>
    <t>Crop ID</t>
  </si>
  <si>
    <t>Average</t>
  </si>
  <si>
    <t>Weight</t>
  </si>
  <si>
    <t>Adequecy (Per Crop)</t>
  </si>
  <si>
    <t>Adequecy (Kharif)</t>
  </si>
  <si>
    <t>Adequecy</t>
  </si>
  <si>
    <t/>
  </si>
  <si>
    <t>Season (RABI)</t>
  </si>
  <si>
    <t>Season (Zaid)</t>
  </si>
  <si>
    <t>PRODUCTIVITY (Kharif)</t>
  </si>
  <si>
    <t>Adequecy (RABI)</t>
  </si>
  <si>
    <t>Season ID</t>
  </si>
  <si>
    <t>KHARIF</t>
  </si>
  <si>
    <t>RABI</t>
  </si>
  <si>
    <t>ZAID</t>
  </si>
  <si>
    <t>ANNUAL</t>
  </si>
  <si>
    <t>Seasons</t>
  </si>
  <si>
    <t>EQUIT Y</t>
  </si>
  <si>
    <t>ETaMax</t>
  </si>
  <si>
    <t>cropping_intensity</t>
  </si>
  <si>
    <t>Etblue Vol</t>
  </si>
  <si>
    <t>Annual (%)</t>
  </si>
  <si>
    <t>CROPPED AREA (ha)</t>
  </si>
  <si>
    <t>ET (mm)</t>
  </si>
  <si>
    <t>Yeild_GAP</t>
  </si>
  <si>
    <t>Yield GAP</t>
  </si>
  <si>
    <t>Crop Type (KHARIF)</t>
  </si>
  <si>
    <t xml:space="preserve">PRODUCTIVITY </t>
  </si>
  <si>
    <t>PRODUCTIVITY (RABI)</t>
  </si>
  <si>
    <t>PRODUCTIVITY (ZAID)</t>
  </si>
  <si>
    <t>PRODUCTIVITY (ANNUAL)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</si>
</sst>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"/>
  </numFmts>
  <fonts count="3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0000"/>
      <name val="Aptos Narrow"/>
      <scheme val="minor"/>
    </font>
    <font>
      <sz val="8"/>
      <name val="Aptos Narrow"/>
      <family val="2"/>
      <scheme val="minor"/>
    </font>
    <font>
      <sz val="12"/>
      <color theme="2" tint="-9.9978637043366805E-2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2" fillId="0" borderId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4" applyNumberFormat="0" applyAlignment="0" applyProtection="0"/>
    <xf numFmtId="0" fontId="22" fillId="10" borderId="5" applyNumberFormat="0" applyAlignment="0" applyProtection="0"/>
    <xf numFmtId="0" fontId="23" fillId="10" borderId="4" applyNumberFormat="0" applyAlignment="0" applyProtection="0"/>
    <xf numFmtId="0" fontId="24" fillId="0" borderId="6" applyNumberFormat="0" applyFill="0" applyAlignment="0" applyProtection="0"/>
    <xf numFmtId="0" fontId="25" fillId="11" borderId="7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9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9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9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9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9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8" applyNumberFormat="0" applyFont="0" applyAlignment="0" applyProtection="0"/>
  </cellStyleXfs>
  <cellXfs count="7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" fontId="5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2" fontId="10" fillId="2" borderId="0" xfId="0" applyNumberFormat="1" applyFont="1" applyFill="1"/>
    <xf numFmtId="165" fontId="5" fillId="0" borderId="0" xfId="0" applyNumberFormat="1" applyFont="1"/>
    <xf numFmtId="2" fontId="10" fillId="0" borderId="0" xfId="0" applyNumberFormat="1" applyFont="1"/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1" fillId="0" borderId="0" xfId="0" applyFont="1"/>
    <xf numFmtId="1" fontId="10" fillId="2" borderId="0" xfId="0" applyNumberFormat="1" applyFont="1" applyFill="1"/>
    <xf numFmtId="0" fontId="5" fillId="0" borderId="0" xfId="0" applyFont="1" applyAlignment="1">
      <alignment vertical="top" wrapText="1"/>
    </xf>
    <xf numFmtId="0" fontId="12" fillId="0" borderId="0" xfId="1"/>
    <xf numFmtId="1" fontId="12" fillId="0" borderId="0" xfId="1" applyNumberFormat="1"/>
    <xf numFmtId="9" fontId="12" fillId="0" borderId="0" xfId="1" applyNumberFormat="1"/>
    <xf numFmtId="10" fontId="0" fillId="0" borderId="0" xfId="0" applyNumberFormat="1"/>
    <xf numFmtId="165" fontId="0" fillId="0" borderId="0" xfId="0" applyNumberFormat="1"/>
    <xf numFmtId="165" fontId="10" fillId="0" borderId="0" xfId="0" applyNumberFormat="1" applyFont="1"/>
    <xf numFmtId="0" fontId="0" fillId="3" borderId="0" xfId="0" applyFill="1"/>
    <xf numFmtId="1" fontId="10" fillId="0" borderId="0" xfId="0" applyNumberFormat="1" applyFont="1"/>
    <xf numFmtId="0" fontId="3" fillId="3" borderId="0" xfId="0" applyFont="1" applyFill="1"/>
    <xf numFmtId="3" fontId="0" fillId="3" borderId="0" xfId="0" applyNumberFormat="1" applyFill="1"/>
    <xf numFmtId="0" fontId="0" fillId="4" borderId="0" xfId="0" applyFill="1"/>
    <xf numFmtId="0" fontId="13" fillId="0" borderId="0" xfId="2"/>
    <xf numFmtId="0" fontId="5" fillId="3" borderId="0" xfId="0" applyFont="1" applyFill="1"/>
    <xf numFmtId="0" fontId="5" fillId="2" borderId="0" xfId="0" applyFont="1" applyFill="1"/>
    <xf numFmtId="0" fontId="0" fillId="0" borderId="0" xfId="0" quotePrefix="1" applyAlignment="1">
      <alignment wrapText="1"/>
    </xf>
    <xf numFmtId="0" fontId="0" fillId="5" borderId="0" xfId="0" applyFill="1"/>
    <xf numFmtId="0" fontId="4" fillId="5" borderId="0" xfId="0" applyFont="1" applyFill="1"/>
    <xf numFmtId="0" fontId="5" fillId="5" borderId="0" xfId="0" applyFont="1" applyFill="1"/>
    <xf numFmtId="0" fontId="30" fillId="37" borderId="10" xfId="0" applyFont="1" applyFill="1" applyBorder="1" applyAlignment="1">
      <alignment horizontal="center"/>
    </xf>
    <xf numFmtId="0" fontId="31" fillId="37" borderId="10" xfId="0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" fontId="30" fillId="37" borderId="10" xfId="0" applyNumberFormat="1" applyFont="1" applyFill="1" applyBorder="1" applyAlignment="1">
      <alignment horizontal="center"/>
    </xf>
    <xf numFmtId="1" fontId="31" fillId="38" borderId="10" xfId="0" applyNumberFormat="1" applyFont="1" applyFill="1" applyBorder="1" applyAlignment="1">
      <alignment horizontal="center"/>
    </xf>
    <xf numFmtId="0" fontId="30" fillId="39" borderId="10" xfId="0" applyFont="1" applyFill="1" applyBorder="1" applyAlignment="1">
      <alignment horizontal="center"/>
    </xf>
    <xf numFmtId="1" fontId="30" fillId="39" borderId="10" xfId="0" applyNumberFormat="1" applyFont="1" applyFill="1" applyBorder="1" applyAlignment="1">
      <alignment horizontal="center"/>
    </xf>
    <xf numFmtId="166" fontId="31" fillId="38" borderId="10" xfId="0" applyNumberFormat="1" applyFont="1" applyFill="1" applyBorder="1" applyAlignment="1">
      <alignment horizontal="center"/>
    </xf>
    <xf numFmtId="166" fontId="31" fillId="39" borderId="10" xfId="0" applyNumberFormat="1" applyFont="1" applyFill="1" applyBorder="1" applyAlignment="1">
      <alignment horizontal="center"/>
    </xf>
    <xf numFmtId="2" fontId="31" fillId="38" borderId="10" xfId="0" applyNumberFormat="1" applyFont="1" applyFill="1" applyBorder="1" applyAlignment="1">
      <alignment horizontal="center"/>
    </xf>
    <xf numFmtId="2" fontId="30" fillId="39" borderId="10" xfId="0" applyNumberFormat="1" applyFont="1" applyFill="1" applyBorder="1" applyAlignment="1">
      <alignment horizontal="center"/>
    </xf>
    <xf numFmtId="2" fontId="31" fillId="0" borderId="0" xfId="0" applyNumberFormat="1" applyFont="1" applyAlignment="1">
      <alignment horizontal="center"/>
    </xf>
    <xf numFmtId="1" fontId="31" fillId="0" borderId="0" xfId="0" applyNumberFormat="1" applyFont="1" applyAlignment="1">
      <alignment horizontal="center"/>
    </xf>
    <xf numFmtId="166" fontId="31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0" fillId="40" borderId="10" xfId="0" applyFont="1" applyFill="1" applyBorder="1" applyAlignment="1">
      <alignment horizontal="center"/>
    </xf>
    <xf numFmtId="0" fontId="28" fillId="37" borderId="10" xfId="0" applyFont="1" applyFill="1" applyBorder="1" applyAlignment="1">
      <alignment horizontal="center"/>
    </xf>
    <xf numFmtId="1" fontId="0" fillId="41" borderId="10" xfId="0" applyNumberFormat="1" applyFill="1" applyBorder="1" applyAlignment="1">
      <alignment horizontal="center"/>
    </xf>
    <xf numFmtId="1" fontId="0" fillId="41" borderId="10" xfId="0" applyNumberFormat="1" applyFill="1" applyBorder="1"/>
    <xf numFmtId="165" fontId="30" fillId="39" borderId="10" xfId="0" applyNumberFormat="1" applyFont="1" applyFill="1" applyBorder="1" applyAlignment="1">
      <alignment horizontal="center"/>
    </xf>
    <xf numFmtId="2" fontId="0" fillId="41" borderId="10" xfId="0" applyNumberFormat="1" applyFill="1" applyBorder="1"/>
    <xf numFmtId="2" fontId="31" fillId="41" borderId="10" xfId="0" applyNumberFormat="1" applyFont="1" applyFill="1" applyBorder="1" applyAlignment="1">
      <alignment horizontal="center"/>
    </xf>
    <xf numFmtId="0" fontId="30" fillId="42" borderId="10" xfId="0" applyFont="1" applyFill="1" applyBorder="1" applyAlignment="1">
      <alignment horizontal="center"/>
    </xf>
    <xf numFmtId="0" fontId="30" fillId="39" borderId="0" xfId="0" applyFont="1" applyFill="1" applyAlignment="1">
      <alignment horizontal="center"/>
    </xf>
    <xf numFmtId="2" fontId="30" fillId="39" borderId="0" xfId="0" applyNumberFormat="1" applyFont="1" applyFill="1" applyAlignment="1">
      <alignment horizontal="center"/>
    </xf>
    <xf numFmtId="166" fontId="30" fillId="39" borderId="10" xfId="0" applyNumberFormat="1" applyFont="1" applyFill="1" applyBorder="1" applyAlignment="1">
      <alignment horizontal="center"/>
    </xf>
    <xf numFmtId="2" fontId="0" fillId="43" borderId="10" xfId="0" applyNumberFormat="1" applyFill="1" applyBorder="1"/>
    <xf numFmtId="0" fontId="2" fillId="0" borderId="0" xfId="43"/>
    <xf numFmtId="2" fontId="5" fillId="0" borderId="0" xfId="0" applyNumberFormat="1" applyFont="1"/>
    <xf numFmtId="0" fontId="33" fillId="3" borderId="0" xfId="0" applyFont="1" applyFill="1"/>
    <xf numFmtId="1" fontId="32" fillId="0" borderId="0" xfId="1" applyNumberFormat="1" applyFont="1"/>
    <xf numFmtId="0" fontId="1" fillId="0" borderId="0" xfId="43" applyFont="1"/>
    <xf numFmtId="0" fontId="34" fillId="2" borderId="0" xfId="0" applyFont="1" applyFill="1"/>
    <xf numFmtId="0" fontId="30" fillId="44" borderId="0" xfId="0" applyFont="1" applyFill="1" applyAlignment="1">
      <alignment horizontal="center"/>
    </xf>
    <xf numFmtId="2" fontId="30" fillId="44" borderId="0" xfId="0" applyNumberFormat="1" applyFont="1" applyFill="1" applyAlignment="1">
      <alignment horizontal="center"/>
    </xf>
    <xf numFmtId="0" fontId="0" fillId="44" borderId="0" xfId="0" applyFill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2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EC087250-C66C-4E9C-A116-B51D0B71D6CD}"/>
    <cellStyle name="Normal 4" xfId="1" xr:uid="{F9CF7D86-26F3-F248-B171-D55BDA047A54}"/>
    <cellStyle name="Note 2" xfId="44" xr:uid="{BABF8B49-E14C-4FAE-ADFB-17CB262AE64A}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A5E27F"/>
      <color rgb="FFFF3D49"/>
      <color rgb="FF1700FF"/>
      <color rgb="FFB23F3D"/>
      <color rgb="FF435189"/>
      <color rgb="FFB341FF"/>
      <color rgb="FFF8A640"/>
      <color rgb="FFFFA5E0"/>
      <color rgb="FF00AAEB"/>
      <color rgb="FFA8B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Irrigation Utilization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03183643187571"/>
          <c:y val="7.5957872017266878E-2"/>
          <c:w val="0.76919808850484417"/>
          <c:h val="0.571968903633238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ECB-6F45-BB1C-BD589C53F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8758368"/>
        <c:axId val="489183168"/>
      </c:bar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Irrigated Area Fraction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Adequacy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75651302605208"/>
          <c:y val="4.5501133786848079E-2"/>
          <c:w val="0.69190324458469932"/>
          <c:h val="0.79664879656000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6-8F45-BB4C-4F0F2A9D7641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C6-8F45-BB4C-4F0F2A9D7641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6-8F45-BB4C-4F0F2A9D7641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C6-8F45-BB4C-4F0F2A9D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8758368"/>
        <c:axId val="489183168"/>
      </c:barChart>
      <c:lineChart>
        <c:grouping val="standard"/>
        <c:varyColors val="0"/>
        <c:ser>
          <c:idx val="4"/>
          <c:order val="4"/>
          <c:tx>
            <c:strRef>
              <c:f>Figures!$V$8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Figures!$V$9:$V$14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C6-8F45-BB4C-4F0F2A9D7641}"/>
            </c:ext>
          </c:extLst>
        </c:ser>
        <c:ser>
          <c:idx val="5"/>
          <c:order val="5"/>
          <c:tx>
            <c:strRef>
              <c:f>Figures!$W$8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Figures!$U$27:$U$32</c:f>
              <c:strCach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AVERAGE</c:v>
                </c:pt>
              </c:strCache>
            </c:strRef>
          </c:cat>
          <c:val>
            <c:numRef>
              <c:f>Figures!$W$9:$W$14</c:f>
              <c:numCache>
                <c:formatCode>0.00</c:formatCode>
                <c:ptCount val="6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2C6-8F45-BB4C-4F0F2A9D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Water Deficit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13947823156346703"/>
          <c:y val="5.1725023733735408E-2"/>
          <c:w val="0.34850985303941218"/>
          <c:h val="0.161943374099514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Reliability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9A9-1940-AEA6-B0E50F9193EC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9A9-1940-AEA6-B0E50F9193EC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A9-1940-AEA6-B0E50F9193EC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D9A9-1940-AEA6-B0E50F9193EC}"/>
            </c:ext>
          </c:extLst>
        </c:ser>
        <c:ser>
          <c:idx val="6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9A9-1940-AEA6-B0E50F9193EC}"/>
            </c:ext>
          </c:extLst>
        </c:ser>
        <c:ser>
          <c:idx val="7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D9A9-1940-AEA6-B0E50F91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Figures!$X$8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Figures!$X$9:$X$21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9A9-1940-AEA6-B0E50F9193EC}"/>
            </c:ext>
          </c:extLst>
        </c:ser>
        <c:ser>
          <c:idx val="5"/>
          <c:order val="7"/>
          <c:tx>
            <c:strRef>
              <c:f>Figures!$Y$8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Figures!$Y$9:$Y$21</c:f>
              <c:numCache>
                <c:formatCode>0.00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D9A9-1940-AEA6-B0E50F919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ΔETa/ETp*100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Adequacy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742053532370953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931-C84C-85DA-CAE86044B659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931-C84C-85DA-CAE86044B659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931-C84C-85DA-CAE86044B659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931-C84C-85DA-CAE86044B659}"/>
            </c:ext>
          </c:extLst>
        </c:ser>
        <c:ser>
          <c:idx val="6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931-C84C-85DA-CAE86044B659}"/>
            </c:ext>
          </c:extLst>
        </c:ser>
        <c:ser>
          <c:idx val="7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931-C84C-85DA-CAE86044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Figures!$V$8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Figures!$V$9:$V$21</c:f>
              <c:numCache>
                <c:formatCode>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931-C84C-85DA-CAE86044B659}"/>
            </c:ext>
          </c:extLst>
        </c:ser>
        <c:ser>
          <c:idx val="5"/>
          <c:order val="7"/>
          <c:tx>
            <c:strRef>
              <c:f>Figures!$W$8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Figures!$W$9:$W$21</c:f>
              <c:numCache>
                <c:formatCode>0.00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931-C84C-85DA-CAE86044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Water Deficit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856458160121283E-2"/>
          <c:y val="4.1955101357011228E-2"/>
          <c:w val="0.89531508289724682"/>
          <c:h val="0.4321715706589308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867-0041-9C24-60F0EC467F7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867-0041-9C24-60F0EC467F7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867-0041-9C24-60F0EC467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8758368"/>
        <c:axId val="489183168"/>
      </c:bar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Crop</a:t>
                </a:r>
                <a:r>
                  <a:rPr lang="en-GB" baseline="0"/>
                  <a:t> Irrigation Water Use [mm]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134163936029735E-2"/>
          <c:y val="3.0672468573007317E-2"/>
          <c:w val="6.1485150015535832E-2"/>
          <c:h val="0.24938168255283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ET blue by Crop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46741032370957"/>
          <c:y val="0.15466076696165193"/>
          <c:w val="0.59905036812393808"/>
          <c:h val="0.76162450932571479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33-944C-9D35-036977D1C9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33-944C-9D35-036977D1C9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33-944C-9D35-036977D1C9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33-944C-9D35-036977D1C9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33-944C-9D35-036977D1C9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33-944C-9D35-036977D1C9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133-944C-9D35-036977D1C9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133-944C-9D35-036977D1C9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133-944C-9D35-036977D1C9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133-944C-9D35-036977D1C99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133-944C-9D35-036977D1C99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133-944C-9D35-036977D1C99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133-944C-9D35-036977D1C99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133-944C-9D35-036977D1C99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133-944C-9D35-036977D1C99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133-944C-9D35-036977D1C99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133-944C-9D35-036977D1C99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133-944C-9D35-036977D1C99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133-944C-9D35-036977D1C99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133-944C-9D35-036977D1C99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133-944C-9D35-036977D1C99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7133-944C-9D35-036977D1C99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7133-944C-9D35-036977D1C99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7133-944C-9D35-036977D1C99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7133-944C-9D35-036977D1C99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7133-944C-9D35-036977D1C99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7133-944C-9D35-036977D1C99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7133-944C-9D35-036977D1C99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7133-944C-9D35-036977D1C99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7133-944C-9D35-036977D1C99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7133-944C-9D35-036977D1C996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E-7133-944C-9D35-036977D1C99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Yield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D91-8D4C-B577-B193F6153ACB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D91-8D4C-B577-B193F6153ACB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D91-8D4C-B577-B193F6153ACB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D91-8D4C-B577-B193F6153ACB}"/>
            </c:ext>
          </c:extLst>
        </c:ser>
        <c:ser>
          <c:idx val="6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D91-8D4C-B577-B193F6153ACB}"/>
            </c:ext>
          </c:extLst>
        </c:ser>
        <c:ser>
          <c:idx val="7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D91-8D4C-B577-B193F615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Figures!$Z$8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Figures!$Z$9:$Z$21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D91-8D4C-B577-B193F6153ACB}"/>
            </c:ext>
          </c:extLst>
        </c:ser>
        <c:ser>
          <c:idx val="5"/>
          <c:order val="7"/>
          <c:tx>
            <c:strRef>
              <c:f>Figures!$AA$8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Figures!$AA$9:$AA$21</c:f>
              <c:numCache>
                <c:formatCode>General</c:formatCode>
                <c:ptCount val="13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D91-8D4C-B577-B193F615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 Gap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3055861331863"/>
          <c:y val="9.4027561607482962E-2"/>
          <c:w val="0.7855730955608391"/>
          <c:h val="0.83732247859148301"/>
        </c:manualLayout>
      </c:layout>
      <c:doughnutChart>
        <c:varyColors val="1"/>
        <c:ser>
          <c:idx val="0"/>
          <c:order val="0"/>
          <c:spPr>
            <a:ln w="381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A6-CF48-BAE5-FDB097DB93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A6-CF48-BAE5-FDB097DB93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A6-CF48-BAE5-FDB097DB93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A6-CF48-BAE5-FDB097DB93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A6-CF48-BAE5-FDB097DB93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7A6-CF48-BAE5-FDB097DB93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7A6-CF48-BAE5-FDB097DB93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7A6-CF48-BAE5-FDB097DB93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7A6-CF48-BAE5-FDB097DB93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7A6-CF48-BAE5-FDB097DB93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7A6-CF48-BAE5-FDB097DB93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7A6-CF48-BAE5-FDB097DB937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7A6-CF48-BAE5-FDB097DB937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7A6-CF48-BAE5-FDB097DB937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7A6-CF48-BAE5-FDB097DB937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7A6-CF48-BAE5-FDB097DB937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7A6-CF48-BAE5-FDB097DB937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7A6-CF48-BAE5-FDB097DB937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7A6-CF48-BAE5-FDB097DB937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7A6-CF48-BAE5-FDB097DB937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7A6-CF48-BAE5-FDB097DB937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7A6-CF48-BAE5-FDB097DB93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7A6-CF48-BAE5-FDB097DB937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7A6-CF48-BAE5-FDB097DB937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7A6-CF48-BAE5-FDB097DB937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7A6-CF48-BAE5-FDB097DB937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7A6-CF48-BAE5-FDB097DB937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7A6-CF48-BAE5-FDB097DB937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7A6-CF48-BAE5-FDB097DB937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7A6-CF48-BAE5-FDB097DB9376}"/>
              </c:ext>
            </c:extLst>
          </c:dPt>
          <c:dLbls>
            <c:numFmt formatCode="0%" sourceLinked="0"/>
            <c:spPr>
              <a:solidFill>
                <a:sysClr val="window" lastClr="FFFFFF">
                  <a:alpha val="41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C-67A6-CF48-BAE5-FDB097DB9376}"/>
            </c:ext>
          </c:extLst>
        </c:ser>
        <c:ser>
          <c:idx val="1"/>
          <c:order val="1"/>
          <c:spPr>
            <a:ln w="381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E-67A6-CF48-BAE5-FDB097DB93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0-67A6-CF48-BAE5-FDB097DB93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2-67A6-CF48-BAE5-FDB097DB93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4-67A6-CF48-BAE5-FDB097DB93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6-67A6-CF48-BAE5-FDB097DB93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8-67A6-CF48-BAE5-FDB097DB93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A-67A6-CF48-BAE5-FDB097DB93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67A6-CF48-BAE5-FDB097DB93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E-67A6-CF48-BAE5-FDB097DB93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0-67A6-CF48-BAE5-FDB097DB93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67A6-CF48-BAE5-FDB097DB93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67A6-CF48-BAE5-FDB097DB937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67A6-CF48-BAE5-FDB097DB937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8-67A6-CF48-BAE5-FDB097DB937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A-67A6-CF48-BAE5-FDB097DB937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C-67A6-CF48-BAE5-FDB097DB937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67A6-CF48-BAE5-FDB097DB937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0-67A6-CF48-BAE5-FDB097DB937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2-67A6-CF48-BAE5-FDB097DB937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4-67A6-CF48-BAE5-FDB097DB937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6-67A6-CF48-BAE5-FDB097DB937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8-67A6-CF48-BAE5-FDB097DB93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A-67A6-CF48-BAE5-FDB097DB937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C-67A6-CF48-BAE5-FDB097DB937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E-67A6-CF48-BAE5-FDB097DB937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0-67A6-CF48-BAE5-FDB097DB937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2-67A6-CF48-BAE5-FDB097DB937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4-67A6-CF48-BAE5-FDB097DB937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6-67A6-CF48-BAE5-FDB097DB937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810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8-67A6-CF48-BAE5-FDB097DB9376}"/>
              </c:ext>
            </c:extLst>
          </c:dPt>
          <c:dLbls>
            <c:numFmt formatCode="0%" sourceLinked="0"/>
            <c:spPr>
              <a:solidFill>
                <a:sysClr val="window" lastClr="FFFFFF">
                  <a:alpha val="41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79-67A6-CF48-BAE5-FDB097DB9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Adequacy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742053532370953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15B-CC48-9142-BD21E4E25C70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15B-CC48-9142-BD21E4E25C70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15B-CC48-9142-BD21E4E25C70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15B-CC48-9142-BD21E4E25C70}"/>
            </c:ext>
          </c:extLst>
        </c:ser>
        <c:ser>
          <c:idx val="6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15B-CC48-9142-BD21E4E25C70}"/>
            </c:ext>
          </c:extLst>
        </c:ser>
        <c:ser>
          <c:idx val="7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15B-CC48-9142-BD21E4E25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Figures!$V$8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Figures!$V$9:$V$40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15B-CC48-9142-BD21E4E25C70}"/>
            </c:ext>
          </c:extLst>
        </c:ser>
        <c:ser>
          <c:idx val="5"/>
          <c:order val="7"/>
          <c:tx>
            <c:strRef>
              <c:f>Figures!$W$8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Figures!$W$9:$W$40</c:f>
              <c:numCache>
                <c:formatCode>0.00</c:formatCode>
                <c:ptCount val="3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315B-CC48-9142-BD21E4E25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Relative Water Deficit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Reliability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445-9D4B-AC7A-692C4EB4A8CE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445-9D4B-AC7A-692C4EB4A8CE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445-9D4B-AC7A-692C4EB4A8CE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445-9D4B-AC7A-692C4EB4A8CE}"/>
            </c:ext>
          </c:extLst>
        </c:ser>
        <c:ser>
          <c:idx val="6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445-9D4B-AC7A-692C4EB4A8CE}"/>
            </c:ext>
          </c:extLst>
        </c:ser>
        <c:ser>
          <c:idx val="7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445-9D4B-AC7A-692C4EB4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Figures!$X$8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Figures!$X$9:$X$40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445-9D4B-AC7A-692C4EB4A8CE}"/>
            </c:ext>
          </c:extLst>
        </c:ser>
        <c:ser>
          <c:idx val="5"/>
          <c:order val="7"/>
          <c:tx>
            <c:strRef>
              <c:f>Figures!$Y$8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Figures!$Y$9:$Y$40</c:f>
              <c:numCache>
                <c:formatCode>0.00</c:formatCode>
                <c:ptCount val="3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445-9D4B-AC7A-692C4EB4A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ΔETa/ETp*100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/>
              <a:t>Yield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90302173766741"/>
          <c:y val="4.5501133786848079E-2"/>
          <c:w val="0.73052821046135574"/>
          <c:h val="0.67608142067347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46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3D2-5E4C-A026-2C5A43F36939}"/>
            </c:ext>
          </c:extLst>
        </c:ser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62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3D2-5E4C-A026-2C5A43F36939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3D2-5E4C-A026-2C5A43F36939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tint val="93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3D2-5E4C-A026-2C5A43F36939}"/>
            </c:ext>
          </c:extLst>
        </c:ser>
        <c:ser>
          <c:idx val="6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61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3D2-5E4C-A026-2C5A43F36939}"/>
            </c:ext>
          </c:extLst>
        </c:ser>
        <c:ser>
          <c:idx val="7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shade val="45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A3D2-5E4C-A026-2C5A43F36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0"/>
        <c:axId val="488758368"/>
        <c:axId val="489183168"/>
      </c:barChart>
      <c:lineChart>
        <c:grouping val="standard"/>
        <c:varyColors val="0"/>
        <c:ser>
          <c:idx val="4"/>
          <c:order val="6"/>
          <c:tx>
            <c:strRef>
              <c:f>Figures!$Z$8</c:f>
              <c:strCache>
                <c:ptCount val="1"/>
                <c:pt idx="0">
                  <c:v>Target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Figures!$Z$9:$Z$40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A3D2-5E4C-A026-2C5A43F36939}"/>
            </c:ext>
          </c:extLst>
        </c:ser>
        <c:ser>
          <c:idx val="5"/>
          <c:order val="7"/>
          <c:tx>
            <c:strRef>
              <c:f>Figures!$AA$8</c:f>
              <c:strCache>
                <c:ptCount val="1"/>
                <c:pt idx="0">
                  <c:v>Critical Value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Figures!$AA$9:$AA$40</c:f>
              <c:numCache>
                <c:formatCode>General</c:formatCode>
                <c:ptCount val="32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A3D2-5E4C-A026-2C5A43F36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8758368"/>
        <c:axId val="489183168"/>
      </c:lineChart>
      <c:catAx>
        <c:axId val="48875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9183168"/>
        <c:crosses val="autoZero"/>
        <c:auto val="1"/>
        <c:lblAlgn val="ctr"/>
        <c:lblOffset val="0"/>
        <c:noMultiLvlLbl val="0"/>
      </c:catAx>
      <c:valAx>
        <c:axId val="489183168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200" b="0" i="0" u="none" strike="noStrike" kern="1200" baseline="0" dirty="0">
                    <a:solidFill>
                      <a:prstClr val="black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 Gap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875836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180976652229065"/>
          <c:y val="0.2432143854358631"/>
          <c:w val="0.1397382946870393"/>
          <c:h val="0.3212620762830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ETblue per Season</a:t>
            </a:r>
            <a:r>
              <a:rPr lang="en-GB" baseline="0"/>
              <a:t> </a:t>
            </a:r>
            <a:r>
              <a:rPr lang="en-GB"/>
              <a:t>[Mm3 per year]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4E-8545-AE01-9EBC5B3A94A4}"/>
              </c:ext>
            </c:extLst>
          </c:dP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B4E-8545-AE01-9EBC5B3A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166688</xdr:colOff>
      <xdr:row>45</xdr:row>
      <xdr:rowOff>142875</xdr:rowOff>
    </xdr:from>
    <xdr:to>
      <xdr:col>31</xdr:col>
      <xdr:colOff>601408</xdr:colOff>
      <xdr:row>59</xdr:row>
      <xdr:rowOff>129739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6D6AB6-DF40-2608-ED5A-773E96CB5D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2834"/>
        <a:stretch>
          <a:fillRect/>
        </a:stretch>
      </xdr:blipFill>
      <xdr:spPr>
        <a:xfrm>
          <a:off x="31646813" y="10691813"/>
          <a:ext cx="2506408" cy="32729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</xdr:row>
      <xdr:rowOff>38100</xdr:rowOff>
    </xdr:from>
    <xdr:to>
      <xdr:col>6</xdr:col>
      <xdr:colOff>336500</xdr:colOff>
      <xdr:row>14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50DB30-F18E-334A-9D89-194A25069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40</xdr:row>
      <xdr:rowOff>63500</xdr:rowOff>
    </xdr:from>
    <xdr:to>
      <xdr:col>18</xdr:col>
      <xdr:colOff>203200</xdr:colOff>
      <xdr:row>57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A8FA4E-BA13-4446-BF32-FCC2901915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609600</xdr:colOff>
      <xdr:row>40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3F66AB-AEE6-C04C-B10B-EAEC7A51A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40</xdr:row>
      <xdr:rowOff>50800</xdr:rowOff>
    </xdr:from>
    <xdr:to>
      <xdr:col>9</xdr:col>
      <xdr:colOff>698500</xdr:colOff>
      <xdr:row>58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0DE9C55-A2BA-D445-A9EC-D57065E68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58</xdr:row>
      <xdr:rowOff>165100</xdr:rowOff>
    </xdr:from>
    <xdr:to>
      <xdr:col>16</xdr:col>
      <xdr:colOff>177800</xdr:colOff>
      <xdr:row>76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90FE025-8187-4A4D-9792-C3791F46C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457200</xdr:colOff>
      <xdr:row>0</xdr:row>
      <xdr:rowOff>101600</xdr:rowOff>
    </xdr:from>
    <xdr:to>
      <xdr:col>13</xdr:col>
      <xdr:colOff>152400</xdr:colOff>
      <xdr:row>21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BA8E3F-AA1A-314C-ABA6-3C55521E3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482600</xdr:colOff>
      <xdr:row>22</xdr:row>
      <xdr:rowOff>50800</xdr:rowOff>
    </xdr:from>
    <xdr:to>
      <xdr:col>19</xdr:col>
      <xdr:colOff>266700</xdr:colOff>
      <xdr:row>40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2143C38-AC07-8E45-8D49-66B694A2E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330200</xdr:colOff>
      <xdr:row>77</xdr:row>
      <xdr:rowOff>139700</xdr:rowOff>
    </xdr:from>
    <xdr:to>
      <xdr:col>8</xdr:col>
      <xdr:colOff>101594</xdr:colOff>
      <xdr:row>104</xdr:row>
      <xdr:rowOff>203194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9BC09-E7F9-FC44-92DB-C9AB6E73D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342900</xdr:colOff>
      <xdr:row>123</xdr:row>
      <xdr:rowOff>63500</xdr:rowOff>
    </xdr:from>
    <xdr:to>
      <xdr:col>16</xdr:col>
      <xdr:colOff>254000</xdr:colOff>
      <xdr:row>141</xdr:row>
      <xdr:rowOff>25400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AAB5744-6FAD-2F44-BE15-0B90F1CA4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15</xdr:col>
      <xdr:colOff>203200</xdr:colOff>
      <xdr:row>124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38D2EEF-A6B3-A54F-8E50-E28BC7BD8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143</xdr:row>
      <xdr:rowOff>0</xdr:rowOff>
    </xdr:from>
    <xdr:to>
      <xdr:col>16</xdr:col>
      <xdr:colOff>63500</xdr:colOff>
      <xdr:row>161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6693DE8-9E82-4D46-A886-96F1420C5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317500</xdr:colOff>
      <xdr:row>2</xdr:row>
      <xdr:rowOff>38100</xdr:rowOff>
    </xdr:from>
    <xdr:to>
      <xdr:col>18</xdr:col>
      <xdr:colOff>762000</xdr:colOff>
      <xdr:row>15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CF89C06-7E82-D54B-90E5-2D51CEB290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0.80178</cdr:x>
      <cdr:y>0.24823</cdr:y>
    </cdr:from>
    <cdr:to>
      <cdr:x>0.98443</cdr:x>
      <cdr:y>0.32979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5233868" y="889011"/>
          <a:ext cx="1192303" cy="292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0.78988</cdr:x>
      <cdr:y>0.79078</cdr:y>
    </cdr:from>
    <cdr:to>
      <cdr:x>0.97253</cdr:x>
      <cdr:y>0.87234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5156196" y="2832093"/>
          <a:ext cx="1192302" cy="2920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2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2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0.63474</cdr:y>
    </cdr:from>
    <cdr:to>
      <cdr:x>1</cdr:x>
      <cdr:y>0.7234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273267"/>
          <a:ext cx="1506802" cy="317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0.05378</cdr:x>
      <cdr:y>0.05263</cdr:y>
    </cdr:from>
    <cdr:to>
      <cdr:x>0.23904</cdr:x>
      <cdr:y>0.17162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6AC24F-D002-E019-A74B-4AE3DCA10BE9}"/>
            </a:ext>
          </a:extLst>
        </cdr:cNvPr>
        <cdr:cNvSpPr txBox="1"/>
      </cdr:nvSpPr>
      <cdr:spPr>
        <a:xfrm xmlns:a="http://schemas.openxmlformats.org/drawingml/2006/main">
          <a:off x="342900" y="292100"/>
          <a:ext cx="1181100" cy="660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600">
              <a:latin typeface="Arial" panose="020B0604020202020204" pitchFamily="34" charset="0"/>
              <a:cs typeface="Arial" panose="020B0604020202020204" pitchFamily="34" charset="0"/>
            </a:rPr>
            <a:t>Irrigation Volume</a:t>
          </a:r>
        </a:p>
      </cdr:txBody>
    </cdr:sp>
  </cdr:relSizeAnchor>
  <cdr:relSizeAnchor xmlns:cdr="http://schemas.openxmlformats.org/drawingml/2006/chartDrawing">
    <cdr:from>
      <cdr:x>0.14542</cdr:x>
      <cdr:y>0.15103</cdr:y>
    </cdr:from>
    <cdr:to>
      <cdr:x>0.25299</cdr:x>
      <cdr:y>0.24256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81DF3C2-2457-AEB6-6ECD-B58C477353FD}"/>
            </a:ext>
          </a:extLst>
        </cdr:cNvPr>
        <cdr:cNvCxnSpPr/>
      </cdr:nvCxnSpPr>
      <cdr:spPr>
        <a:xfrm xmlns:a="http://schemas.openxmlformats.org/drawingml/2006/main">
          <a:off x="927100" y="838200"/>
          <a:ext cx="685800" cy="5080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0.47211</cdr:x>
      <cdr:y>0.39588</cdr:y>
    </cdr:from>
    <cdr:to>
      <cdr:x>0.65737</cdr:x>
      <cdr:y>0.51487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D5C6B7B-4746-21BE-E62B-318081272E28}"/>
            </a:ext>
          </a:extLst>
        </cdr:cNvPr>
        <cdr:cNvSpPr txBox="1"/>
      </cdr:nvSpPr>
      <cdr:spPr>
        <a:xfrm xmlns:a="http://schemas.openxmlformats.org/drawingml/2006/main">
          <a:off x="3009900" y="2197100"/>
          <a:ext cx="1181100" cy="660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600">
              <a:latin typeface="Arial" panose="020B0604020202020204" pitchFamily="34" charset="0"/>
              <a:cs typeface="Arial" panose="020B0604020202020204" pitchFamily="34" charset="0"/>
            </a:rPr>
            <a:t>Irrigated</a:t>
          </a:r>
          <a:r>
            <a:rPr lang="en-GB" sz="1600" baseline="0">
              <a:latin typeface="Arial" panose="020B0604020202020204" pitchFamily="34" charset="0"/>
              <a:cs typeface="Arial" panose="020B0604020202020204" pitchFamily="34" charset="0"/>
            </a:rPr>
            <a:t> Area</a:t>
          </a:r>
          <a:endParaRPr lang="en-GB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0.3745</cdr:x>
      <cdr:y>0.3524</cdr:y>
    </cdr:from>
    <cdr:to>
      <cdr:x>0.47211</cdr:x>
      <cdr:y>0.4508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FB06A7D1-CEA4-2CF2-E888-005FBC61D29E}"/>
            </a:ext>
          </a:extLst>
        </cdr:cNvPr>
        <cdr:cNvCxnSpPr/>
      </cdr:nvCxnSpPr>
      <cdr:spPr>
        <a:xfrm xmlns:a="http://schemas.openxmlformats.org/drawingml/2006/main">
          <a:off x="2387600" y="1955800"/>
          <a:ext cx="622300" cy="5461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0.82772</cdr:x>
      <cdr:y>0.14502</cdr:y>
    </cdr:from>
    <cdr:to>
      <cdr:x>1</cdr:x>
      <cdr:y>0.21594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10858942" y="524892"/>
          <a:ext cx="2260158" cy="2566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0.74351</cdr:y>
    </cdr:from>
    <cdr:to>
      <cdr:x>1</cdr:x>
      <cdr:y>0.83217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10859991" y="2691141"/>
          <a:ext cx="2259109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0.81994</cdr:x>
      <cdr:y>0.10993</cdr:y>
    </cdr:from>
    <cdr:to>
      <cdr:x>0.99222</cdr:x>
      <cdr:y>0.18085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22F611A-2C68-588C-D92B-5977E05397DE}"/>
            </a:ext>
          </a:extLst>
        </cdr:cNvPr>
        <cdr:cNvSpPr txBox="1"/>
      </cdr:nvSpPr>
      <cdr:spPr>
        <a:xfrm xmlns:a="http://schemas.openxmlformats.org/drawingml/2006/main">
          <a:off x="6477000" y="393700"/>
          <a:ext cx="1360924" cy="2540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Critical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0.8278</cdr:x>
      <cdr:y>0.66632</cdr:y>
    </cdr:from>
    <cdr:to>
      <cdr:x>1</cdr:x>
      <cdr:y>0.75498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7364275-737E-0991-DD2C-3AAA23CEBE51}"/>
            </a:ext>
          </a:extLst>
        </cdr:cNvPr>
        <cdr:cNvSpPr txBox="1"/>
      </cdr:nvSpPr>
      <cdr:spPr>
        <a:xfrm xmlns:a="http://schemas.openxmlformats.org/drawingml/2006/main">
          <a:off x="7243498" y="2411741"/>
          <a:ext cx="1506802" cy="3209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>
              <a:latin typeface="Arial" panose="020B0604020202020204" pitchFamily="34" charset="0"/>
              <a:cs typeface="Arial" panose="020B0604020202020204" pitchFamily="34" charset="0"/>
            </a:rPr>
            <a:t>Target</a:t>
          </a:r>
          <a:r>
            <a:rPr lang="en-GB" sz="1400" b="1" baseline="0">
              <a:latin typeface="Arial" panose="020B0604020202020204" pitchFamily="34" charset="0"/>
              <a:cs typeface="Arial" panose="020B0604020202020204" pitchFamily="34" charset="0"/>
            </a:rPr>
            <a:t> Value</a:t>
          </a:r>
          <a:endParaRPr lang="en-GB" sz="14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itracin-my.sharepoint.com/personal/p_kalura_wr_iitr_ac_in/Documents/1_EDIPA_PAper/IPA%20Indicators%20and%20Scores_Ong%20(2).xlsx" TargetMode="External"/><Relationship Id="rId1" Type="http://schemas.openxmlformats.org/officeDocument/2006/relationships/externalLinkPath" Target="IPA%20Indicators%20and%20Scores_Ong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dicators(perCrop)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itracin-my.sharepoint.com/personal/p_kalura_wr_iitr_ac_in/Documents/1_EDIPA_PAper/old_work/Indicators_Automation/INDICATOR_4_Adequecy.xlsx" TargetMode="External"/><Relationship Id="rId1" Type="http://schemas.openxmlformats.org/officeDocument/2006/relationships/externalLinkPath" Target="old_work/Indicators_Automation/INDICATOR_4_Adeque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CORES"/>
      <sheetName val="SummaryTable"/>
      <sheetName val="Data(perSeason,perCrop)"/>
      <sheetName val="Indicators"/>
      <sheetName val="Data(perCrop)"/>
      <sheetName val="Data(FAO-AQUASTAT)"/>
      <sheetName val="Indicators(perCrop)"/>
      <sheetName val="Figures"/>
    </sheetNames>
    <sheetDataSet>
      <sheetData sheetId="0"/>
      <sheetData sheetId="1">
        <row r="5">
          <cell r="I5">
            <v>500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tors(perCrop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(perSeason,perCrop)"/>
      <sheetName val="Indicators"/>
    </sheetNames>
    <sheetDataSet>
      <sheetData sheetId="0">
        <row r="1">
          <cell r="A1" t="str">
            <v>Area</v>
          </cell>
          <cell r="C1" t="str">
            <v>Crop Type</v>
          </cell>
          <cell r="E1" t="str">
            <v>ETa</v>
          </cell>
          <cell r="F1" t="str">
            <v>ETa90</v>
          </cell>
          <cell r="O1" t="str">
            <v>Season</v>
          </cell>
          <cell r="R1" t="str">
            <v>status</v>
          </cell>
          <cell r="S1" t="str">
            <v>year</v>
          </cell>
        </row>
        <row r="2">
          <cell r="A2">
            <v>892.75171087141996</v>
          </cell>
          <cell r="C2" t="str">
            <v>Class1</v>
          </cell>
          <cell r="E2">
            <v>287</v>
          </cell>
          <cell r="F2">
            <v>344</v>
          </cell>
          <cell r="O2">
            <v>1</v>
          </cell>
          <cell r="R2" t="str">
            <v>IRRIGATED</v>
          </cell>
          <cell r="S2">
            <v>2018</v>
          </cell>
        </row>
        <row r="3">
          <cell r="A3">
            <v>1103.4963688442199</v>
          </cell>
          <cell r="C3" t="str">
            <v>Class4</v>
          </cell>
          <cell r="E3">
            <v>302</v>
          </cell>
          <cell r="F3">
            <v>358</v>
          </cell>
          <cell r="O3">
            <v>1</v>
          </cell>
          <cell r="R3" t="str">
            <v>IRRIGATED</v>
          </cell>
          <cell r="S3">
            <v>2018</v>
          </cell>
        </row>
        <row r="4">
          <cell r="A4">
            <v>5050.8789496593199</v>
          </cell>
          <cell r="C4" t="str">
            <v>Paddy</v>
          </cell>
          <cell r="E4">
            <v>289</v>
          </cell>
          <cell r="F4">
            <v>346</v>
          </cell>
          <cell r="O4">
            <v>1</v>
          </cell>
          <cell r="R4" t="str">
            <v>IRRIGATED</v>
          </cell>
          <cell r="S4">
            <v>2018</v>
          </cell>
        </row>
        <row r="5">
          <cell r="A5">
            <v>493.768332635886</v>
          </cell>
          <cell r="C5" t="str">
            <v>Class1</v>
          </cell>
          <cell r="E5">
            <v>222</v>
          </cell>
          <cell r="F5">
            <v>262</v>
          </cell>
          <cell r="O5">
            <v>2</v>
          </cell>
          <cell r="R5" t="str">
            <v>IRRIGATED</v>
          </cell>
          <cell r="S5">
            <v>2018</v>
          </cell>
        </row>
        <row r="6">
          <cell r="A6">
            <v>5992.4791311799099</v>
          </cell>
          <cell r="C6" t="str">
            <v>Paddy</v>
          </cell>
          <cell r="E6">
            <v>228</v>
          </cell>
          <cell r="F6">
            <v>272</v>
          </cell>
          <cell r="O6">
            <v>2</v>
          </cell>
          <cell r="R6" t="str">
            <v>IRRIGATED</v>
          </cell>
          <cell r="S6">
            <v>2018</v>
          </cell>
        </row>
        <row r="7">
          <cell r="A7">
            <v>1027.58627186422</v>
          </cell>
          <cell r="C7" t="str">
            <v>Class4</v>
          </cell>
          <cell r="E7">
            <v>263</v>
          </cell>
          <cell r="F7">
            <v>336</v>
          </cell>
          <cell r="O7">
            <v>2</v>
          </cell>
          <cell r="R7" t="str">
            <v>IRRIGATED</v>
          </cell>
          <cell r="S7">
            <v>2018</v>
          </cell>
        </row>
        <row r="8">
          <cell r="A8">
            <v>3005.3927551380302</v>
          </cell>
          <cell r="C8" t="str">
            <v>Paddy</v>
          </cell>
          <cell r="E8">
            <v>210</v>
          </cell>
          <cell r="F8">
            <v>264</v>
          </cell>
          <cell r="O8">
            <v>2</v>
          </cell>
          <cell r="R8" t="str">
            <v>IRRIGATED</v>
          </cell>
          <cell r="S8">
            <v>2019</v>
          </cell>
        </row>
        <row r="9">
          <cell r="A9">
            <v>486.04367420180398</v>
          </cell>
          <cell r="C9" t="str">
            <v>Class1</v>
          </cell>
          <cell r="E9">
            <v>223</v>
          </cell>
          <cell r="F9">
            <v>320</v>
          </cell>
          <cell r="O9">
            <v>2</v>
          </cell>
          <cell r="R9" t="str">
            <v>IRRIGATED</v>
          </cell>
          <cell r="S9">
            <v>2019</v>
          </cell>
        </row>
        <row r="10">
          <cell r="A10">
            <v>4306.16760870691</v>
          </cell>
          <cell r="C10" t="str">
            <v>Class4</v>
          </cell>
          <cell r="E10">
            <v>266</v>
          </cell>
          <cell r="F10">
            <v>334</v>
          </cell>
          <cell r="O10">
            <v>2</v>
          </cell>
          <cell r="R10" t="str">
            <v>IRRIGATED</v>
          </cell>
          <cell r="S10">
            <v>2019</v>
          </cell>
        </row>
        <row r="11">
          <cell r="A11">
            <v>2055.4886627748301</v>
          </cell>
          <cell r="C11" t="str">
            <v>Paddy</v>
          </cell>
          <cell r="E11">
            <v>238</v>
          </cell>
          <cell r="F11">
            <v>318</v>
          </cell>
          <cell r="O11">
            <v>1</v>
          </cell>
          <cell r="R11" t="str">
            <v>IRRIGATED</v>
          </cell>
          <cell r="S11">
            <v>2019</v>
          </cell>
        </row>
        <row r="12">
          <cell r="A12">
            <v>804.64819681717495</v>
          </cell>
          <cell r="C12" t="str">
            <v>Class1</v>
          </cell>
          <cell r="E12">
            <v>235</v>
          </cell>
          <cell r="F12">
            <v>296</v>
          </cell>
          <cell r="O12">
            <v>1</v>
          </cell>
          <cell r="R12" t="str">
            <v>IRRIGATED</v>
          </cell>
          <cell r="S12">
            <v>2019</v>
          </cell>
        </row>
        <row r="13">
          <cell r="A13">
            <v>3808.661310122</v>
          </cell>
          <cell r="C13" t="str">
            <v>Class4</v>
          </cell>
          <cell r="E13">
            <v>252</v>
          </cell>
          <cell r="F13">
            <v>336</v>
          </cell>
          <cell r="O13">
            <v>1</v>
          </cell>
          <cell r="R13" t="str">
            <v>IRRIGATED</v>
          </cell>
          <cell r="S13">
            <v>2019</v>
          </cell>
        </row>
        <row r="14">
          <cell r="A14">
            <v>3757.6026251460098</v>
          </cell>
          <cell r="C14" t="str">
            <v>Paddy</v>
          </cell>
          <cell r="E14">
            <v>221</v>
          </cell>
          <cell r="F14">
            <v>276</v>
          </cell>
          <cell r="O14">
            <v>2</v>
          </cell>
          <cell r="R14" t="str">
            <v>IRRIGATED</v>
          </cell>
          <cell r="S14">
            <v>2020</v>
          </cell>
        </row>
        <row r="15">
          <cell r="A15">
            <v>440.46393581672697</v>
          </cell>
          <cell r="C15" t="str">
            <v>Class1</v>
          </cell>
          <cell r="E15">
            <v>246</v>
          </cell>
          <cell r="F15">
            <v>286</v>
          </cell>
          <cell r="O15">
            <v>2</v>
          </cell>
          <cell r="R15" t="str">
            <v>IRRIGATED</v>
          </cell>
          <cell r="S15">
            <v>2020</v>
          </cell>
        </row>
        <row r="16">
          <cell r="A16">
            <v>364.76801616310598</v>
          </cell>
          <cell r="C16" t="str">
            <v>Class4</v>
          </cell>
          <cell r="E16">
            <v>285</v>
          </cell>
          <cell r="F16">
            <v>362</v>
          </cell>
          <cell r="O16">
            <v>2</v>
          </cell>
          <cell r="R16" t="str">
            <v>IRRIGATED</v>
          </cell>
          <cell r="S16">
            <v>2020</v>
          </cell>
        </row>
        <row r="17">
          <cell r="A17">
            <v>2233.22710793429</v>
          </cell>
          <cell r="C17" t="str">
            <v>Paddy</v>
          </cell>
          <cell r="E17">
            <v>288</v>
          </cell>
          <cell r="F17">
            <v>368</v>
          </cell>
          <cell r="O17">
            <v>1</v>
          </cell>
          <cell r="R17" t="str">
            <v>IRRIGATED</v>
          </cell>
          <cell r="S17">
            <v>2020</v>
          </cell>
        </row>
        <row r="18">
          <cell r="A18">
            <v>573.60987432403999</v>
          </cell>
          <cell r="C18" t="str">
            <v>Class1</v>
          </cell>
          <cell r="E18">
            <v>321</v>
          </cell>
          <cell r="F18">
            <v>384</v>
          </cell>
          <cell r="O18">
            <v>1</v>
          </cell>
          <cell r="R18" t="str">
            <v>IRRIGATED</v>
          </cell>
          <cell r="S18">
            <v>2020</v>
          </cell>
        </row>
        <row r="19">
          <cell r="A19">
            <v>348.25434140223399</v>
          </cell>
          <cell r="C19" t="str">
            <v>Class4</v>
          </cell>
          <cell r="E19">
            <v>321</v>
          </cell>
          <cell r="F19">
            <v>382</v>
          </cell>
          <cell r="O19">
            <v>1</v>
          </cell>
          <cell r="R19" t="str">
            <v>IRRIGATED</v>
          </cell>
          <cell r="S19">
            <v>2020</v>
          </cell>
        </row>
        <row r="20">
          <cell r="A20">
            <v>641.35861876530896</v>
          </cell>
          <cell r="C20" t="str">
            <v>Class1</v>
          </cell>
          <cell r="E20">
            <v>220</v>
          </cell>
          <cell r="F20">
            <v>288</v>
          </cell>
          <cell r="O20">
            <v>1</v>
          </cell>
          <cell r="R20" t="str">
            <v>IRRIGATED</v>
          </cell>
          <cell r="S20">
            <v>2021</v>
          </cell>
        </row>
        <row r="21">
          <cell r="A21">
            <v>2884.3026910335002</v>
          </cell>
          <cell r="C21" t="str">
            <v>Paddy</v>
          </cell>
          <cell r="E21">
            <v>216</v>
          </cell>
          <cell r="F21">
            <v>284</v>
          </cell>
          <cell r="O21">
            <v>1</v>
          </cell>
          <cell r="R21" t="str">
            <v>IRRIGATED</v>
          </cell>
          <cell r="S21">
            <v>2021</v>
          </cell>
        </row>
        <row r="22">
          <cell r="A22">
            <v>465.10641521983399</v>
          </cell>
          <cell r="C22" t="str">
            <v>Class4</v>
          </cell>
          <cell r="E22">
            <v>250</v>
          </cell>
          <cell r="F22">
            <v>316</v>
          </cell>
          <cell r="O22">
            <v>1</v>
          </cell>
          <cell r="R22" t="str">
            <v>IRRIGATED</v>
          </cell>
          <cell r="S22">
            <v>2021</v>
          </cell>
        </row>
        <row r="23">
          <cell r="A23">
            <v>4563.98623122765</v>
          </cell>
          <cell r="C23" t="str">
            <v>Paddy</v>
          </cell>
          <cell r="E23">
            <v>230</v>
          </cell>
          <cell r="F23">
            <v>286</v>
          </cell>
          <cell r="O23">
            <v>2</v>
          </cell>
          <cell r="R23" t="str">
            <v>IRRIGATED</v>
          </cell>
          <cell r="S23">
            <v>2021</v>
          </cell>
        </row>
        <row r="24">
          <cell r="A24">
            <v>690.02423692899504</v>
          </cell>
          <cell r="C24" t="str">
            <v>Class1</v>
          </cell>
          <cell r="E24">
            <v>236</v>
          </cell>
          <cell r="F24">
            <v>324</v>
          </cell>
          <cell r="O24">
            <v>2</v>
          </cell>
          <cell r="R24" t="str">
            <v>IRRIGATED</v>
          </cell>
          <cell r="S24">
            <v>2021</v>
          </cell>
        </row>
        <row r="25">
          <cell r="A25">
            <v>638.98928018647405</v>
          </cell>
          <cell r="C25" t="str">
            <v>Class4</v>
          </cell>
          <cell r="E25">
            <v>271</v>
          </cell>
          <cell r="F25">
            <v>340</v>
          </cell>
          <cell r="O25">
            <v>2</v>
          </cell>
          <cell r="R25" t="str">
            <v>IRRIGATED</v>
          </cell>
          <cell r="S25">
            <v>2021</v>
          </cell>
        </row>
        <row r="26">
          <cell r="A26">
            <v>5823.9955089442101</v>
          </cell>
          <cell r="C26" t="str">
            <v>Paddy</v>
          </cell>
          <cell r="E26">
            <v>222</v>
          </cell>
          <cell r="F26">
            <v>280</v>
          </cell>
          <cell r="O26">
            <v>2</v>
          </cell>
          <cell r="R26" t="str">
            <v>IRRIGATED</v>
          </cell>
          <cell r="S26">
            <v>2022</v>
          </cell>
        </row>
        <row r="27">
          <cell r="A27">
            <v>293.050721790247</v>
          </cell>
          <cell r="C27" t="str">
            <v>Class1</v>
          </cell>
          <cell r="E27">
            <v>238</v>
          </cell>
          <cell r="F27">
            <v>296</v>
          </cell>
          <cell r="O27">
            <v>2</v>
          </cell>
          <cell r="R27" t="str">
            <v>IRRIGATED</v>
          </cell>
          <cell r="S27">
            <v>2022</v>
          </cell>
        </row>
        <row r="28">
          <cell r="A28">
            <v>1066.0127568422799</v>
          </cell>
          <cell r="C28" t="str">
            <v>Class4</v>
          </cell>
          <cell r="E28">
            <v>285</v>
          </cell>
          <cell r="F28">
            <v>364</v>
          </cell>
          <cell r="O28">
            <v>2</v>
          </cell>
          <cell r="R28" t="str">
            <v>IRRIGATED</v>
          </cell>
          <cell r="S28">
            <v>2022</v>
          </cell>
        </row>
        <row r="29">
          <cell r="A29">
            <v>4004.6214826463402</v>
          </cell>
          <cell r="C29" t="str">
            <v>Paddy</v>
          </cell>
          <cell r="E29">
            <v>249</v>
          </cell>
          <cell r="F29">
            <v>296</v>
          </cell>
          <cell r="O29">
            <v>1</v>
          </cell>
          <cell r="R29" t="str">
            <v>IRRIGATED</v>
          </cell>
          <cell r="S29">
            <v>2022</v>
          </cell>
        </row>
        <row r="30">
          <cell r="A30">
            <v>594.24039549012696</v>
          </cell>
          <cell r="C30" t="str">
            <v>Class1</v>
          </cell>
          <cell r="E30">
            <v>265</v>
          </cell>
          <cell r="F30">
            <v>304</v>
          </cell>
          <cell r="O30">
            <v>1</v>
          </cell>
          <cell r="R30" t="str">
            <v>IRRIGATED</v>
          </cell>
          <cell r="S30">
            <v>2022</v>
          </cell>
        </row>
        <row r="31">
          <cell r="A31">
            <v>1096.9115895187001</v>
          </cell>
          <cell r="C31" t="str">
            <v>Class4</v>
          </cell>
          <cell r="E31">
            <v>274</v>
          </cell>
          <cell r="F31">
            <v>326</v>
          </cell>
          <cell r="O31">
            <v>1</v>
          </cell>
          <cell r="R31" t="str">
            <v>IRRIGATED</v>
          </cell>
          <cell r="S31">
            <v>2022</v>
          </cell>
        </row>
        <row r="32">
          <cell r="A32">
            <v>180.69503764097601</v>
          </cell>
          <cell r="C32" t="str">
            <v>Other Irrigated (Less Water Intensive)</v>
          </cell>
          <cell r="E32">
            <v>336</v>
          </cell>
          <cell r="F32">
            <v>412</v>
          </cell>
          <cell r="O32">
            <v>3</v>
          </cell>
          <cell r="R32" t="str">
            <v>IRRIGATED</v>
          </cell>
          <cell r="S32">
            <v>2018</v>
          </cell>
        </row>
        <row r="33">
          <cell r="A33">
            <v>32.092347733992</v>
          </cell>
          <cell r="C33" t="str">
            <v>Class1</v>
          </cell>
          <cell r="E33">
            <v>389</v>
          </cell>
          <cell r="F33">
            <v>493</v>
          </cell>
          <cell r="O33">
            <v>3</v>
          </cell>
          <cell r="R33" t="str">
            <v>IRRIGATED</v>
          </cell>
          <cell r="S33">
            <v>2018</v>
          </cell>
        </row>
        <row r="34">
          <cell r="A34">
            <v>1486.84613455358</v>
          </cell>
          <cell r="C34" t="str">
            <v>Other Irrigated (High Water Intensive)</v>
          </cell>
          <cell r="E34">
            <v>493</v>
          </cell>
          <cell r="F34">
            <v>573</v>
          </cell>
          <cell r="O34">
            <v>3</v>
          </cell>
          <cell r="R34" t="str">
            <v>IRRIGATED</v>
          </cell>
          <cell r="S34">
            <v>2018</v>
          </cell>
        </row>
        <row r="35">
          <cell r="A35">
            <v>788.22196759386497</v>
          </cell>
          <cell r="C35" t="str">
            <v>Class4</v>
          </cell>
          <cell r="E35">
            <v>460</v>
          </cell>
          <cell r="F35">
            <v>553</v>
          </cell>
          <cell r="O35">
            <v>3</v>
          </cell>
          <cell r="R35" t="str">
            <v>IRRIGATED</v>
          </cell>
          <cell r="S35">
            <v>2018</v>
          </cell>
        </row>
        <row r="36">
          <cell r="A36">
            <v>501.66725891546099</v>
          </cell>
          <cell r="C36" t="str">
            <v>Other Irrigated (Less Water Intensive)</v>
          </cell>
          <cell r="E36">
            <v>288</v>
          </cell>
          <cell r="F36">
            <v>314</v>
          </cell>
          <cell r="O36">
            <v>1</v>
          </cell>
          <cell r="R36" t="str">
            <v>IRRIGATED</v>
          </cell>
          <cell r="S36">
            <v>2018</v>
          </cell>
        </row>
        <row r="37">
          <cell r="A37">
            <v>141.06024110038501</v>
          </cell>
          <cell r="C37" t="str">
            <v>Other Irrigated (High Water Intensive)</v>
          </cell>
          <cell r="E37">
            <v>342</v>
          </cell>
          <cell r="F37">
            <v>378</v>
          </cell>
          <cell r="O37">
            <v>1</v>
          </cell>
          <cell r="R37" t="str">
            <v>IRRIGATED</v>
          </cell>
          <cell r="S37">
            <v>2018</v>
          </cell>
        </row>
        <row r="38">
          <cell r="A38">
            <v>54.598896247247403</v>
          </cell>
          <cell r="C38" t="str">
            <v>Other Irrigated (Less Water Intensive)</v>
          </cell>
          <cell r="E38">
            <v>229</v>
          </cell>
          <cell r="F38">
            <v>288</v>
          </cell>
          <cell r="O38">
            <v>2</v>
          </cell>
          <cell r="R38" t="str">
            <v>IRRIGATED</v>
          </cell>
          <cell r="S38">
            <v>2018</v>
          </cell>
        </row>
        <row r="39">
          <cell r="A39">
            <v>6429.0185732130503</v>
          </cell>
          <cell r="C39" t="str">
            <v>Kharif Crop</v>
          </cell>
          <cell r="E39">
            <v>496</v>
          </cell>
          <cell r="F39">
            <v>573</v>
          </cell>
          <cell r="O39">
            <v>0</v>
          </cell>
          <cell r="R39" t="str">
            <v>IRRIGATED</v>
          </cell>
          <cell r="S39">
            <v>2018</v>
          </cell>
        </row>
        <row r="40">
          <cell r="A40">
            <v>2204.0051542435499</v>
          </cell>
          <cell r="C40" t="str">
            <v>Double Crop Kharif/Zaid</v>
          </cell>
          <cell r="E40">
            <v>954</v>
          </cell>
          <cell r="F40">
            <v>1107</v>
          </cell>
          <cell r="O40">
            <v>0</v>
          </cell>
          <cell r="R40" t="str">
            <v>IRRIGATED</v>
          </cell>
          <cell r="S40">
            <v>2018</v>
          </cell>
        </row>
        <row r="41">
          <cell r="A41">
            <v>59.843343867378898</v>
          </cell>
          <cell r="C41" t="str">
            <v>Double Crop Kharif/Rabi</v>
          </cell>
          <cell r="E41">
            <v>633</v>
          </cell>
          <cell r="F41">
            <v>745</v>
          </cell>
          <cell r="O41">
            <v>0</v>
          </cell>
          <cell r="R41" t="str">
            <v>IRRIGATED</v>
          </cell>
          <cell r="S41">
            <v>2018</v>
          </cell>
        </row>
        <row r="42">
          <cell r="A42">
            <v>674.82990028568304</v>
          </cell>
          <cell r="C42" t="str">
            <v>Perennial Crops</v>
          </cell>
          <cell r="E42">
            <v>1041</v>
          </cell>
          <cell r="F42">
            <v>1197</v>
          </cell>
          <cell r="O42">
            <v>0</v>
          </cell>
          <cell r="R42" t="str">
            <v>IRRIGATED</v>
          </cell>
          <cell r="S42">
            <v>2018</v>
          </cell>
        </row>
        <row r="43">
          <cell r="A43">
            <v>1924.6786916134799</v>
          </cell>
          <cell r="C43" t="str">
            <v>Other Irrigated (High Water Intensive)</v>
          </cell>
          <cell r="E43">
            <v>477</v>
          </cell>
          <cell r="F43">
            <v>537</v>
          </cell>
          <cell r="O43">
            <v>3</v>
          </cell>
          <cell r="R43" t="str">
            <v>IRRIGATED</v>
          </cell>
          <cell r="S43">
            <v>2019</v>
          </cell>
        </row>
        <row r="44">
          <cell r="A44">
            <v>557.28849852511803</v>
          </cell>
          <cell r="C44" t="str">
            <v>Other Irrigated (Less Water Intensive)</v>
          </cell>
          <cell r="E44">
            <v>331</v>
          </cell>
          <cell r="F44">
            <v>414</v>
          </cell>
          <cell r="O44">
            <v>3</v>
          </cell>
          <cell r="R44" t="str">
            <v>IRRIGATED</v>
          </cell>
          <cell r="S44">
            <v>2019</v>
          </cell>
        </row>
        <row r="45">
          <cell r="A45">
            <v>251.30926642697199</v>
          </cell>
          <cell r="C45" t="str">
            <v>Class1</v>
          </cell>
          <cell r="E45">
            <v>325</v>
          </cell>
          <cell r="F45">
            <v>438</v>
          </cell>
          <cell r="O45">
            <v>3</v>
          </cell>
          <cell r="R45" t="str">
            <v>IRRIGATED</v>
          </cell>
          <cell r="S45">
            <v>2019</v>
          </cell>
        </row>
        <row r="46">
          <cell r="A46">
            <v>4645.8124647906097</v>
          </cell>
          <cell r="C46" t="str">
            <v>Class4</v>
          </cell>
          <cell r="E46">
            <v>404</v>
          </cell>
          <cell r="F46">
            <v>481</v>
          </cell>
          <cell r="O46">
            <v>3</v>
          </cell>
          <cell r="R46" t="str">
            <v>IRRIGATED</v>
          </cell>
          <cell r="S46">
            <v>2019</v>
          </cell>
        </row>
        <row r="47">
          <cell r="A47">
            <v>144.219474639716</v>
          </cell>
          <cell r="C47" t="str">
            <v>Other Irrigated (Less Water Intensive)</v>
          </cell>
          <cell r="E47">
            <v>221</v>
          </cell>
          <cell r="F47">
            <v>324</v>
          </cell>
          <cell r="O47">
            <v>2</v>
          </cell>
          <cell r="R47" t="str">
            <v>IRRIGATED</v>
          </cell>
          <cell r="S47">
            <v>2019</v>
          </cell>
        </row>
        <row r="48">
          <cell r="A48">
            <v>2517.5208993528599</v>
          </cell>
          <cell r="C48" t="str">
            <v>Kharif Crop</v>
          </cell>
          <cell r="E48">
            <v>436</v>
          </cell>
          <cell r="F48">
            <v>545</v>
          </cell>
          <cell r="O48">
            <v>0</v>
          </cell>
          <cell r="R48" t="str">
            <v>IRRIGATED</v>
          </cell>
          <cell r="S48">
            <v>2019</v>
          </cell>
        </row>
        <row r="49">
          <cell r="A49">
            <v>80.534693239644398</v>
          </cell>
          <cell r="C49" t="str">
            <v>Rabi Crop</v>
          </cell>
          <cell r="E49">
            <v>443</v>
          </cell>
          <cell r="F49">
            <v>773</v>
          </cell>
          <cell r="O49">
            <v>0</v>
          </cell>
          <cell r="R49" t="str">
            <v>IRRIGATED</v>
          </cell>
          <cell r="S49">
            <v>2019</v>
          </cell>
        </row>
        <row r="50">
          <cell r="A50">
            <v>7.8892189413811202</v>
          </cell>
          <cell r="C50" t="str">
            <v>Zaid Crop</v>
          </cell>
          <cell r="E50">
            <v>375</v>
          </cell>
          <cell r="F50">
            <v>513</v>
          </cell>
          <cell r="O50">
            <v>0</v>
          </cell>
          <cell r="R50" t="str">
            <v>IRRIGATED</v>
          </cell>
          <cell r="S50">
            <v>2019</v>
          </cell>
        </row>
        <row r="51">
          <cell r="A51">
            <v>75.894637203207495</v>
          </cell>
          <cell r="C51" t="str">
            <v>Double Crop Kharif/Rabi</v>
          </cell>
          <cell r="E51">
            <v>382</v>
          </cell>
          <cell r="F51">
            <v>545</v>
          </cell>
          <cell r="O51">
            <v>0</v>
          </cell>
          <cell r="R51" t="str">
            <v>IRRIGATED</v>
          </cell>
          <cell r="S51">
            <v>2019</v>
          </cell>
        </row>
        <row r="52">
          <cell r="A52">
            <v>4609.0600970074602</v>
          </cell>
          <cell r="C52" t="str">
            <v>Double Crop Kharif/Zaid</v>
          </cell>
          <cell r="E52">
            <v>822</v>
          </cell>
          <cell r="F52">
            <v>971</v>
          </cell>
          <cell r="O52">
            <v>0</v>
          </cell>
          <cell r="R52" t="str">
            <v>IRRIGATED</v>
          </cell>
          <cell r="S52">
            <v>2019</v>
          </cell>
        </row>
        <row r="53">
          <cell r="A53">
            <v>49.024805529692401</v>
          </cell>
          <cell r="C53" t="str">
            <v>Double Crop Rabi/Zaid</v>
          </cell>
          <cell r="E53">
            <v>601</v>
          </cell>
          <cell r="F53">
            <v>785</v>
          </cell>
          <cell r="O53">
            <v>0</v>
          </cell>
          <cell r="R53" t="str">
            <v>IRRIGATED</v>
          </cell>
          <cell r="S53">
            <v>2019</v>
          </cell>
        </row>
        <row r="54">
          <cell r="A54">
            <v>107.797327464159</v>
          </cell>
          <cell r="C54" t="str">
            <v>Triple Crop</v>
          </cell>
          <cell r="E54">
            <v>674</v>
          </cell>
          <cell r="F54">
            <v>829</v>
          </cell>
          <cell r="O54">
            <v>0</v>
          </cell>
          <cell r="R54" t="str">
            <v>IRRIGATED</v>
          </cell>
          <cell r="S54">
            <v>2019</v>
          </cell>
        </row>
        <row r="55">
          <cell r="A55">
            <v>3035.4939721681199</v>
          </cell>
          <cell r="C55" t="str">
            <v>Perennial Crops</v>
          </cell>
          <cell r="E55">
            <v>974</v>
          </cell>
          <cell r="F55">
            <v>1097</v>
          </cell>
          <cell r="O55">
            <v>0</v>
          </cell>
          <cell r="R55" t="str">
            <v>IRRIGATED</v>
          </cell>
          <cell r="S55">
            <v>2019</v>
          </cell>
        </row>
        <row r="56">
          <cell r="A56">
            <v>41.066688733625199</v>
          </cell>
          <cell r="C56" t="str">
            <v>Other Irrigated (High Water Intensive)</v>
          </cell>
          <cell r="E56">
            <v>318</v>
          </cell>
          <cell r="F56">
            <v>386</v>
          </cell>
          <cell r="O56">
            <v>1</v>
          </cell>
          <cell r="R56" t="str">
            <v>IRRIGATED</v>
          </cell>
          <cell r="S56">
            <v>2019</v>
          </cell>
        </row>
        <row r="57">
          <cell r="A57">
            <v>149.36319359326799</v>
          </cell>
          <cell r="C57" t="str">
            <v>Other Irrigated (Less Water Intensive)</v>
          </cell>
          <cell r="E57">
            <v>229</v>
          </cell>
          <cell r="F57">
            <v>284</v>
          </cell>
          <cell r="O57">
            <v>1</v>
          </cell>
          <cell r="R57" t="str">
            <v>IRRIGATED</v>
          </cell>
          <cell r="S57">
            <v>2019</v>
          </cell>
        </row>
        <row r="58">
          <cell r="A58">
            <v>1619.26392212305</v>
          </cell>
          <cell r="C58" t="str">
            <v>Other Irrigated (High Water Intensive)</v>
          </cell>
          <cell r="E58">
            <v>433</v>
          </cell>
          <cell r="F58">
            <v>529</v>
          </cell>
          <cell r="O58">
            <v>3</v>
          </cell>
          <cell r="R58" t="str">
            <v>IRRIGATED</v>
          </cell>
          <cell r="S58">
            <v>2020</v>
          </cell>
        </row>
        <row r="59">
          <cell r="A59">
            <v>101.992670964208</v>
          </cell>
          <cell r="C59" t="str">
            <v>Other Irrigated (Less Water Intensive)</v>
          </cell>
          <cell r="E59">
            <v>267</v>
          </cell>
          <cell r="F59">
            <v>334</v>
          </cell>
          <cell r="O59">
            <v>3</v>
          </cell>
          <cell r="R59" t="str">
            <v>IRRIGATED</v>
          </cell>
          <cell r="S59">
            <v>2020</v>
          </cell>
        </row>
        <row r="60">
          <cell r="A60">
            <v>79.219020296092296</v>
          </cell>
          <cell r="C60" t="str">
            <v>Class1</v>
          </cell>
          <cell r="E60">
            <v>288</v>
          </cell>
          <cell r="F60">
            <v>417</v>
          </cell>
          <cell r="O60">
            <v>3</v>
          </cell>
          <cell r="R60" t="str">
            <v>IRRIGATED</v>
          </cell>
          <cell r="S60">
            <v>2020</v>
          </cell>
        </row>
        <row r="61">
          <cell r="A61">
            <v>421.759614879347</v>
          </cell>
          <cell r="C61" t="str">
            <v>Class4</v>
          </cell>
          <cell r="E61">
            <v>383</v>
          </cell>
          <cell r="F61">
            <v>501</v>
          </cell>
          <cell r="O61">
            <v>3</v>
          </cell>
          <cell r="R61" t="str">
            <v>IRRIGATED</v>
          </cell>
          <cell r="S61">
            <v>2020</v>
          </cell>
        </row>
        <row r="62">
          <cell r="A62">
            <v>32.077952520377899</v>
          </cell>
          <cell r="C62" t="str">
            <v>Other Irrigated (Less Water Intensive)</v>
          </cell>
          <cell r="E62">
            <v>249</v>
          </cell>
          <cell r="F62">
            <v>344</v>
          </cell>
          <cell r="O62">
            <v>2</v>
          </cell>
          <cell r="R62" t="str">
            <v>IRRIGATED</v>
          </cell>
          <cell r="S62">
            <v>2020</v>
          </cell>
        </row>
        <row r="63">
          <cell r="A63">
            <v>263.72243268315901</v>
          </cell>
          <cell r="C63" t="str">
            <v>Other Irrigated (High Water Intensive)</v>
          </cell>
          <cell r="E63">
            <v>364</v>
          </cell>
          <cell r="F63">
            <v>390</v>
          </cell>
          <cell r="O63">
            <v>1</v>
          </cell>
          <cell r="R63" t="str">
            <v>IRRIGATED</v>
          </cell>
          <cell r="S63">
            <v>2020</v>
          </cell>
        </row>
        <row r="64">
          <cell r="A64">
            <v>468.78014767221401</v>
          </cell>
          <cell r="C64" t="str">
            <v>Other Irrigated (Less Water Intensive)</v>
          </cell>
          <cell r="E64">
            <v>316</v>
          </cell>
          <cell r="F64">
            <v>346</v>
          </cell>
          <cell r="O64">
            <v>1</v>
          </cell>
          <cell r="R64" t="str">
            <v>IRRIGATED</v>
          </cell>
          <cell r="S64">
            <v>2020</v>
          </cell>
        </row>
        <row r="65">
          <cell r="A65">
            <v>3835.7190811328801</v>
          </cell>
          <cell r="C65" t="str">
            <v>Kharif Crop</v>
          </cell>
          <cell r="E65">
            <v>476</v>
          </cell>
          <cell r="F65">
            <v>585</v>
          </cell>
          <cell r="O65">
            <v>0</v>
          </cell>
          <cell r="R65" t="str">
            <v>IRRIGATED</v>
          </cell>
          <cell r="S65">
            <v>2020</v>
          </cell>
        </row>
        <row r="66">
          <cell r="A66">
            <v>25.360404259419099</v>
          </cell>
          <cell r="C66" t="str">
            <v>Double Crop Kharif/Rabi</v>
          </cell>
          <cell r="E66">
            <v>447</v>
          </cell>
          <cell r="F66">
            <v>685</v>
          </cell>
          <cell r="O66">
            <v>0</v>
          </cell>
          <cell r="R66" t="str">
            <v>IRRIGATED</v>
          </cell>
          <cell r="S66">
            <v>2020</v>
          </cell>
        </row>
        <row r="67">
          <cell r="A67">
            <v>2154.3016933961699</v>
          </cell>
          <cell r="C67" t="str">
            <v>Double Crop Kharif/Zaid</v>
          </cell>
          <cell r="E67">
            <v>861</v>
          </cell>
          <cell r="F67">
            <v>1043</v>
          </cell>
          <cell r="O67">
            <v>0</v>
          </cell>
          <cell r="R67" t="str">
            <v>IRRIGATED</v>
          </cell>
          <cell r="S67">
            <v>2020</v>
          </cell>
        </row>
        <row r="68">
          <cell r="A68">
            <v>15.666135669265399</v>
          </cell>
          <cell r="C68" t="str">
            <v>Double Crop Rabi/Zaid</v>
          </cell>
          <cell r="E68">
            <v>660</v>
          </cell>
          <cell r="F68">
            <v>785</v>
          </cell>
          <cell r="O68">
            <v>0</v>
          </cell>
          <cell r="R68" t="str">
            <v>IRRIGATED</v>
          </cell>
          <cell r="S68">
            <v>2020</v>
          </cell>
        </row>
        <row r="69">
          <cell r="A69">
            <v>6.7832797368995701</v>
          </cell>
          <cell r="C69" t="str">
            <v>Triple Crop</v>
          </cell>
          <cell r="E69">
            <v>762</v>
          </cell>
          <cell r="F69">
            <v>973</v>
          </cell>
          <cell r="O69">
            <v>0</v>
          </cell>
          <cell r="R69" t="str">
            <v>IRRIGATED</v>
          </cell>
          <cell r="S69">
            <v>2020</v>
          </cell>
        </row>
        <row r="70">
          <cell r="A70">
            <v>251.174209022013</v>
          </cell>
          <cell r="C70" t="str">
            <v>Perennial Crops</v>
          </cell>
          <cell r="E70">
            <v>1011</v>
          </cell>
          <cell r="F70">
            <v>1197</v>
          </cell>
          <cell r="O70">
            <v>0</v>
          </cell>
          <cell r="R70" t="str">
            <v>IRRIGATED</v>
          </cell>
          <cell r="S70">
            <v>2020</v>
          </cell>
        </row>
        <row r="71">
          <cell r="A71">
            <v>46.674837371984701</v>
          </cell>
          <cell r="C71" t="str">
            <v>Other Irrigated (Less Water Intensive)</v>
          </cell>
          <cell r="E71">
            <v>267</v>
          </cell>
          <cell r="F71">
            <v>349</v>
          </cell>
          <cell r="O71">
            <v>3</v>
          </cell>
          <cell r="R71" t="str">
            <v>IRRIGATED</v>
          </cell>
          <cell r="S71">
            <v>2021</v>
          </cell>
        </row>
        <row r="72">
          <cell r="A72">
            <v>81.540190848801501</v>
          </cell>
          <cell r="C72" t="str">
            <v>Class1</v>
          </cell>
          <cell r="E72">
            <v>318</v>
          </cell>
          <cell r="F72">
            <v>449</v>
          </cell>
          <cell r="O72">
            <v>3</v>
          </cell>
          <cell r="R72" t="str">
            <v>IRRIGATED</v>
          </cell>
          <cell r="S72">
            <v>2021</v>
          </cell>
        </row>
        <row r="73">
          <cell r="A73">
            <v>1482.5523249263899</v>
          </cell>
          <cell r="C73" t="str">
            <v>Other Irrigated (High Water Intensive)</v>
          </cell>
          <cell r="E73">
            <v>474</v>
          </cell>
          <cell r="F73">
            <v>569</v>
          </cell>
          <cell r="O73">
            <v>3</v>
          </cell>
          <cell r="R73" t="str">
            <v>IRRIGATED</v>
          </cell>
          <cell r="S73">
            <v>2021</v>
          </cell>
        </row>
        <row r="74">
          <cell r="A74">
            <v>744.45875800567205</v>
          </cell>
          <cell r="C74" t="str">
            <v>Class4</v>
          </cell>
          <cell r="E74">
            <v>443</v>
          </cell>
          <cell r="F74">
            <v>545</v>
          </cell>
          <cell r="O74">
            <v>3</v>
          </cell>
          <cell r="R74" t="str">
            <v>IRRIGATED</v>
          </cell>
          <cell r="S74">
            <v>2021</v>
          </cell>
        </row>
        <row r="75">
          <cell r="A75">
            <v>38.392339450474097</v>
          </cell>
          <cell r="C75" t="str">
            <v>Other Irrigated (High Water Intensive)</v>
          </cell>
          <cell r="E75">
            <v>293</v>
          </cell>
          <cell r="F75">
            <v>338</v>
          </cell>
          <cell r="O75">
            <v>1</v>
          </cell>
          <cell r="R75" t="str">
            <v>IRRIGATED</v>
          </cell>
          <cell r="S75">
            <v>2021</v>
          </cell>
        </row>
        <row r="76">
          <cell r="A76">
            <v>151.80534748228101</v>
          </cell>
          <cell r="C76" t="str">
            <v>Other Irrigated (Less Water Intensive)</v>
          </cell>
          <cell r="E76">
            <v>243</v>
          </cell>
          <cell r="F76">
            <v>274</v>
          </cell>
          <cell r="O76">
            <v>1</v>
          </cell>
          <cell r="R76" t="str">
            <v>IRRIGATED</v>
          </cell>
          <cell r="S76">
            <v>2021</v>
          </cell>
        </row>
        <row r="77">
          <cell r="A77">
            <v>58.533568133706403</v>
          </cell>
          <cell r="C77" t="str">
            <v>Other Irrigated (Less Water Intensive)</v>
          </cell>
          <cell r="E77">
            <v>241</v>
          </cell>
          <cell r="F77">
            <v>328</v>
          </cell>
          <cell r="O77">
            <v>2</v>
          </cell>
          <cell r="R77" t="str">
            <v>IRRIGATED</v>
          </cell>
          <cell r="S77">
            <v>2021</v>
          </cell>
        </row>
        <row r="78">
          <cell r="A78">
            <v>14.3835998596191</v>
          </cell>
          <cell r="C78" t="str">
            <v>Double Crop Rabi/Zaid</v>
          </cell>
          <cell r="E78">
            <v>741</v>
          </cell>
          <cell r="F78">
            <v>870</v>
          </cell>
          <cell r="O78">
            <v>0</v>
          </cell>
          <cell r="R78" t="str">
            <v>IRRIGATED</v>
          </cell>
          <cell r="S78">
            <v>2021</v>
          </cell>
        </row>
        <row r="79">
          <cell r="A79">
            <v>4053.7929421479998</v>
          </cell>
          <cell r="C79" t="str">
            <v>Kharif Crop</v>
          </cell>
          <cell r="E79">
            <v>420</v>
          </cell>
          <cell r="F79">
            <v>509</v>
          </cell>
          <cell r="O79">
            <v>0</v>
          </cell>
          <cell r="R79" t="str">
            <v>IRRIGATED</v>
          </cell>
          <cell r="S79">
            <v>2021</v>
          </cell>
        </row>
        <row r="80">
          <cell r="A80">
            <v>33.569077611655402</v>
          </cell>
          <cell r="C80" t="str">
            <v>Rabi Crop</v>
          </cell>
          <cell r="E80">
            <v>311</v>
          </cell>
          <cell r="F80">
            <v>549</v>
          </cell>
          <cell r="O80">
            <v>0</v>
          </cell>
          <cell r="R80" t="str">
            <v>IRRIGATED</v>
          </cell>
          <cell r="S80">
            <v>2021</v>
          </cell>
        </row>
        <row r="81">
          <cell r="A81">
            <v>11.209214118742</v>
          </cell>
          <cell r="C81" t="str">
            <v>Triple Crop</v>
          </cell>
          <cell r="E81">
            <v>786</v>
          </cell>
          <cell r="F81">
            <v>953</v>
          </cell>
          <cell r="O81">
            <v>0</v>
          </cell>
          <cell r="R81" t="str">
            <v>IRRIGATED</v>
          </cell>
          <cell r="S81">
            <v>2021</v>
          </cell>
        </row>
        <row r="82">
          <cell r="A82">
            <v>2093.7227903912999</v>
          </cell>
          <cell r="C82" t="str">
            <v>Double Crop Kharif/Zaid</v>
          </cell>
          <cell r="E82">
            <v>853</v>
          </cell>
          <cell r="F82">
            <v>995</v>
          </cell>
          <cell r="O82">
            <v>0</v>
          </cell>
          <cell r="R82" t="str">
            <v>IRRIGATED</v>
          </cell>
          <cell r="S82">
            <v>2021</v>
          </cell>
        </row>
        <row r="83">
          <cell r="A83">
            <v>67.455544868510998</v>
          </cell>
          <cell r="C83" t="str">
            <v>Double Crop Kharif/Rabi</v>
          </cell>
          <cell r="E83">
            <v>481</v>
          </cell>
          <cell r="F83">
            <v>665</v>
          </cell>
          <cell r="O83">
            <v>0</v>
          </cell>
          <cell r="R83" t="str">
            <v>IRRIGATED</v>
          </cell>
          <cell r="S83">
            <v>2021</v>
          </cell>
        </row>
        <row r="84">
          <cell r="A84">
            <v>561.88326694162299</v>
          </cell>
          <cell r="C84" t="str">
            <v>Perennial Crops</v>
          </cell>
          <cell r="E84">
            <v>891</v>
          </cell>
          <cell r="F84">
            <v>1113</v>
          </cell>
          <cell r="O84">
            <v>0</v>
          </cell>
          <cell r="R84" t="str">
            <v>IRRIGATED</v>
          </cell>
          <cell r="S84">
            <v>2021</v>
          </cell>
        </row>
        <row r="85">
          <cell r="A85">
            <v>2492.1692321389401</v>
          </cell>
          <cell r="C85" t="str">
            <v>Other Irrigated (High Water Intensive)</v>
          </cell>
          <cell r="E85">
            <v>450</v>
          </cell>
          <cell r="F85">
            <v>557</v>
          </cell>
          <cell r="O85">
            <v>3</v>
          </cell>
          <cell r="R85" t="str">
            <v>IRRIGATED</v>
          </cell>
          <cell r="S85">
            <v>2022</v>
          </cell>
        </row>
        <row r="86">
          <cell r="A86">
            <v>271.34829949310802</v>
          </cell>
          <cell r="C86" t="str">
            <v>Other Irrigated (Less Water Intensive)</v>
          </cell>
          <cell r="E86">
            <v>284</v>
          </cell>
          <cell r="F86">
            <v>340</v>
          </cell>
          <cell r="O86">
            <v>3</v>
          </cell>
          <cell r="R86" t="str">
            <v>IRRIGATED</v>
          </cell>
          <cell r="S86">
            <v>2022</v>
          </cell>
        </row>
        <row r="87">
          <cell r="A87">
            <v>150.657449786077</v>
          </cell>
          <cell r="C87" t="str">
            <v>Class1</v>
          </cell>
          <cell r="E87">
            <v>318</v>
          </cell>
          <cell r="F87">
            <v>417</v>
          </cell>
          <cell r="O87">
            <v>3</v>
          </cell>
          <cell r="R87" t="str">
            <v>IRRIGATED</v>
          </cell>
          <cell r="S87">
            <v>2022</v>
          </cell>
        </row>
        <row r="88">
          <cell r="A88">
            <v>1341.71668184193</v>
          </cell>
          <cell r="C88" t="str">
            <v>Class4</v>
          </cell>
          <cell r="E88">
            <v>393</v>
          </cell>
          <cell r="F88">
            <v>517</v>
          </cell>
          <cell r="O88">
            <v>3</v>
          </cell>
          <cell r="R88" t="str">
            <v>IRRIGATED</v>
          </cell>
          <cell r="S88">
            <v>2022</v>
          </cell>
        </row>
        <row r="89">
          <cell r="A89">
            <v>41.669883394939902</v>
          </cell>
          <cell r="C89" t="str">
            <v>Other Irrigated (Less Water Intensive)</v>
          </cell>
          <cell r="E89">
            <v>252</v>
          </cell>
          <cell r="F89">
            <v>352</v>
          </cell>
          <cell r="O89">
            <v>2</v>
          </cell>
          <cell r="R89" t="str">
            <v>IRRIGATED</v>
          </cell>
          <cell r="S89">
            <v>2022</v>
          </cell>
        </row>
        <row r="90">
          <cell r="A90">
            <v>20.909661400376802</v>
          </cell>
          <cell r="C90" t="str">
            <v>Other Irrigated (High Water Intensive)</v>
          </cell>
          <cell r="E90">
            <v>337</v>
          </cell>
          <cell r="F90">
            <v>366</v>
          </cell>
          <cell r="O90">
            <v>1</v>
          </cell>
          <cell r="R90" t="str">
            <v>IRRIGATED</v>
          </cell>
          <cell r="S90">
            <v>2022</v>
          </cell>
        </row>
        <row r="91">
          <cell r="A91">
            <v>224.788807397954</v>
          </cell>
          <cell r="C91" t="str">
            <v>Other Irrigated (Less Water Intensive)</v>
          </cell>
          <cell r="E91">
            <v>280</v>
          </cell>
          <cell r="F91">
            <v>304</v>
          </cell>
          <cell r="O91">
            <v>1</v>
          </cell>
          <cell r="R91" t="str">
            <v>IRRIGATED</v>
          </cell>
          <cell r="S91">
            <v>2022</v>
          </cell>
        </row>
        <row r="92">
          <cell r="A92">
            <v>4785.7117038593497</v>
          </cell>
          <cell r="C92" t="str">
            <v>Kharif Crop</v>
          </cell>
          <cell r="E92">
            <v>448</v>
          </cell>
          <cell r="F92">
            <v>513</v>
          </cell>
          <cell r="O92">
            <v>0</v>
          </cell>
          <cell r="R92" t="str">
            <v>IRRIGATED</v>
          </cell>
          <cell r="S92">
            <v>2022</v>
          </cell>
        </row>
        <row r="93">
          <cell r="A93">
            <v>4069.1683853299701</v>
          </cell>
          <cell r="C93" t="str">
            <v>Double Crop Kharif/Zaid</v>
          </cell>
          <cell r="E93">
            <v>855</v>
          </cell>
          <cell r="F93">
            <v>1019</v>
          </cell>
          <cell r="O93">
            <v>0</v>
          </cell>
          <cell r="R93" t="str">
            <v>IRRIGATED</v>
          </cell>
          <cell r="S93">
            <v>2022</v>
          </cell>
        </row>
        <row r="94">
          <cell r="A94">
            <v>597.415349417936</v>
          </cell>
          <cell r="C94" t="str">
            <v>Perennial Crops</v>
          </cell>
          <cell r="E94">
            <v>1036</v>
          </cell>
          <cell r="F94">
            <v>1189</v>
          </cell>
          <cell r="O94">
            <v>0</v>
          </cell>
          <cell r="R94" t="str">
            <v>IRRIGATED</v>
          </cell>
          <cell r="S94">
            <v>2022</v>
          </cell>
        </row>
        <row r="95">
          <cell r="A95">
            <v>1596.0865662609799</v>
          </cell>
          <cell r="C95" t="str">
            <v>Paddy</v>
          </cell>
          <cell r="E95">
            <v>212</v>
          </cell>
          <cell r="F95">
            <v>244</v>
          </cell>
          <cell r="O95">
            <v>1</v>
          </cell>
          <cell r="R95" t="str">
            <v>RAINFED</v>
          </cell>
          <cell r="S95">
            <v>2018</v>
          </cell>
        </row>
        <row r="96">
          <cell r="A96">
            <v>490.68952754643101</v>
          </cell>
          <cell r="C96" t="str">
            <v>Class1</v>
          </cell>
          <cell r="E96">
            <v>217</v>
          </cell>
          <cell r="F96">
            <v>246</v>
          </cell>
          <cell r="O96">
            <v>1</v>
          </cell>
          <cell r="R96" t="str">
            <v>RAINFED</v>
          </cell>
          <cell r="S96">
            <v>2018</v>
          </cell>
        </row>
        <row r="97">
          <cell r="A97">
            <v>327.26933558292399</v>
          </cell>
          <cell r="C97" t="str">
            <v>Class4</v>
          </cell>
          <cell r="E97">
            <v>225</v>
          </cell>
          <cell r="F97">
            <v>302</v>
          </cell>
          <cell r="O97">
            <v>1</v>
          </cell>
          <cell r="R97" t="str">
            <v>RAINFED</v>
          </cell>
          <cell r="S97">
            <v>2018</v>
          </cell>
        </row>
        <row r="98">
          <cell r="A98">
            <v>611.32788979757197</v>
          </cell>
          <cell r="C98" t="str">
            <v>Paddy</v>
          </cell>
          <cell r="E98">
            <v>202</v>
          </cell>
          <cell r="F98">
            <v>220</v>
          </cell>
          <cell r="O98">
            <v>2</v>
          </cell>
          <cell r="R98" t="str">
            <v>RAINFED</v>
          </cell>
          <cell r="S98">
            <v>2018</v>
          </cell>
        </row>
        <row r="99">
          <cell r="A99">
            <v>524.99812069155098</v>
          </cell>
          <cell r="C99" t="str">
            <v>Class1</v>
          </cell>
          <cell r="E99">
            <v>195</v>
          </cell>
          <cell r="F99">
            <v>206</v>
          </cell>
          <cell r="O99">
            <v>2</v>
          </cell>
          <cell r="R99" t="str">
            <v>RAINFED</v>
          </cell>
          <cell r="S99">
            <v>2018</v>
          </cell>
        </row>
        <row r="100">
          <cell r="A100">
            <v>368.601106548823</v>
          </cell>
          <cell r="C100" t="str">
            <v>Class4</v>
          </cell>
          <cell r="E100">
            <v>238</v>
          </cell>
          <cell r="F100">
            <v>320</v>
          </cell>
          <cell r="O100">
            <v>2</v>
          </cell>
          <cell r="R100" t="str">
            <v>RAINFED</v>
          </cell>
          <cell r="S100">
            <v>2018</v>
          </cell>
        </row>
        <row r="101">
          <cell r="A101">
            <v>1871.1957558742299</v>
          </cell>
          <cell r="C101" t="str">
            <v>Paddy</v>
          </cell>
          <cell r="E101">
            <v>180</v>
          </cell>
          <cell r="F101">
            <v>210</v>
          </cell>
          <cell r="O101">
            <v>1</v>
          </cell>
          <cell r="R101" t="str">
            <v>RAINFED</v>
          </cell>
          <cell r="S101">
            <v>2019</v>
          </cell>
        </row>
        <row r="102">
          <cell r="A102">
            <v>1024.75739646173</v>
          </cell>
          <cell r="C102" t="str">
            <v>Class1</v>
          </cell>
          <cell r="E102">
            <v>191</v>
          </cell>
          <cell r="F102">
            <v>228</v>
          </cell>
          <cell r="O102">
            <v>1</v>
          </cell>
          <cell r="R102" t="str">
            <v>RAINFED</v>
          </cell>
          <cell r="S102">
            <v>2019</v>
          </cell>
        </row>
        <row r="103">
          <cell r="A103">
            <v>2611.0197078524102</v>
          </cell>
          <cell r="C103" t="str">
            <v>Class4</v>
          </cell>
          <cell r="E103">
            <v>197</v>
          </cell>
          <cell r="F103">
            <v>234</v>
          </cell>
          <cell r="O103">
            <v>1</v>
          </cell>
          <cell r="R103" t="str">
            <v>RAINFED</v>
          </cell>
          <cell r="S103">
            <v>2019</v>
          </cell>
        </row>
        <row r="104">
          <cell r="A104">
            <v>978.73345579923796</v>
          </cell>
          <cell r="C104" t="str">
            <v>Paddy</v>
          </cell>
          <cell r="E104">
            <v>184</v>
          </cell>
          <cell r="F104">
            <v>212</v>
          </cell>
          <cell r="O104">
            <v>2</v>
          </cell>
          <cell r="R104" t="str">
            <v>RAINFED</v>
          </cell>
          <cell r="S104">
            <v>2019</v>
          </cell>
        </row>
        <row r="105">
          <cell r="A105">
            <v>1159.5291868817301</v>
          </cell>
          <cell r="C105" t="str">
            <v>Class1</v>
          </cell>
          <cell r="E105">
            <v>188</v>
          </cell>
          <cell r="F105">
            <v>276</v>
          </cell>
          <cell r="O105">
            <v>2</v>
          </cell>
          <cell r="R105" t="str">
            <v>RAINFED</v>
          </cell>
          <cell r="S105">
            <v>2019</v>
          </cell>
        </row>
        <row r="106">
          <cell r="A106">
            <v>2096.6907208323801</v>
          </cell>
          <cell r="C106" t="str">
            <v>Class4</v>
          </cell>
          <cell r="E106">
            <v>237</v>
          </cell>
          <cell r="F106">
            <v>318</v>
          </cell>
          <cell r="O106">
            <v>2</v>
          </cell>
          <cell r="R106" t="str">
            <v>RAINFED</v>
          </cell>
          <cell r="S106">
            <v>2019</v>
          </cell>
        </row>
        <row r="107">
          <cell r="A107">
            <v>2373.1180318533902</v>
          </cell>
          <cell r="C107" t="str">
            <v>Paddy</v>
          </cell>
          <cell r="E107">
            <v>173</v>
          </cell>
          <cell r="F107">
            <v>244</v>
          </cell>
          <cell r="O107">
            <v>1</v>
          </cell>
          <cell r="R107" t="str">
            <v>RAINFED</v>
          </cell>
          <cell r="S107">
            <v>2020</v>
          </cell>
        </row>
        <row r="108">
          <cell r="A108">
            <v>905.21449989134499</v>
          </cell>
          <cell r="C108" t="str">
            <v>Class1</v>
          </cell>
          <cell r="E108">
            <v>202</v>
          </cell>
          <cell r="F108">
            <v>288</v>
          </cell>
          <cell r="O108">
            <v>1</v>
          </cell>
          <cell r="R108" t="str">
            <v>RAINFED</v>
          </cell>
          <cell r="S108">
            <v>2020</v>
          </cell>
        </row>
        <row r="109">
          <cell r="A109">
            <v>205.053150076984</v>
          </cell>
          <cell r="C109" t="str">
            <v>Class4</v>
          </cell>
          <cell r="E109">
            <v>217</v>
          </cell>
          <cell r="F109">
            <v>298</v>
          </cell>
          <cell r="O109">
            <v>1</v>
          </cell>
          <cell r="R109" t="str">
            <v>RAINFED</v>
          </cell>
          <cell r="S109">
            <v>2020</v>
          </cell>
        </row>
        <row r="110">
          <cell r="A110">
            <v>847.05382950554895</v>
          </cell>
          <cell r="C110" t="str">
            <v>Paddy</v>
          </cell>
          <cell r="E110">
            <v>199</v>
          </cell>
          <cell r="F110">
            <v>248</v>
          </cell>
          <cell r="O110">
            <v>2</v>
          </cell>
          <cell r="R110" t="str">
            <v>RAINFED</v>
          </cell>
          <cell r="S110">
            <v>2020</v>
          </cell>
        </row>
        <row r="111">
          <cell r="A111">
            <v>886.03518602663905</v>
          </cell>
          <cell r="C111" t="str">
            <v>Class1</v>
          </cell>
          <cell r="E111">
            <v>215</v>
          </cell>
          <cell r="F111">
            <v>268</v>
          </cell>
          <cell r="O111">
            <v>2</v>
          </cell>
          <cell r="R111" t="str">
            <v>RAINFED</v>
          </cell>
          <cell r="S111">
            <v>2020</v>
          </cell>
        </row>
        <row r="112">
          <cell r="A112">
            <v>177.92077258367399</v>
          </cell>
          <cell r="C112" t="str">
            <v>Class4</v>
          </cell>
          <cell r="E112">
            <v>255</v>
          </cell>
          <cell r="F112">
            <v>338</v>
          </cell>
          <cell r="O112">
            <v>2</v>
          </cell>
          <cell r="R112" t="str">
            <v>RAINFED</v>
          </cell>
          <cell r="S112">
            <v>2020</v>
          </cell>
        </row>
        <row r="113">
          <cell r="A113">
            <v>2209.5633261469302</v>
          </cell>
          <cell r="C113" t="str">
            <v>Paddy</v>
          </cell>
          <cell r="E113">
            <v>143</v>
          </cell>
          <cell r="F113">
            <v>194</v>
          </cell>
          <cell r="O113">
            <v>1</v>
          </cell>
          <cell r="R113" t="str">
            <v>RAINFED</v>
          </cell>
          <cell r="S113">
            <v>2021</v>
          </cell>
        </row>
        <row r="114">
          <cell r="A114">
            <v>889.40239345230395</v>
          </cell>
          <cell r="C114" t="str">
            <v>Class1</v>
          </cell>
          <cell r="E114">
            <v>142</v>
          </cell>
          <cell r="F114">
            <v>202</v>
          </cell>
          <cell r="O114">
            <v>1</v>
          </cell>
          <cell r="R114" t="str">
            <v>RAINFED</v>
          </cell>
          <cell r="S114">
            <v>2021</v>
          </cell>
        </row>
        <row r="115">
          <cell r="A115">
            <v>347.71338569999199</v>
          </cell>
          <cell r="C115" t="str">
            <v>Class4</v>
          </cell>
          <cell r="E115">
            <v>158</v>
          </cell>
          <cell r="F115">
            <v>220</v>
          </cell>
          <cell r="O115">
            <v>1</v>
          </cell>
          <cell r="R115" t="str">
            <v>RAINFED</v>
          </cell>
          <cell r="S115">
            <v>2021</v>
          </cell>
        </row>
        <row r="116">
          <cell r="A116">
            <v>540.83614711940902</v>
          </cell>
          <cell r="C116" t="str">
            <v>Paddy</v>
          </cell>
          <cell r="E116">
            <v>205</v>
          </cell>
          <cell r="F116">
            <v>262</v>
          </cell>
          <cell r="O116">
            <v>2</v>
          </cell>
          <cell r="R116" t="str">
            <v>RAINFED</v>
          </cell>
          <cell r="S116">
            <v>2021</v>
          </cell>
        </row>
        <row r="117">
          <cell r="A117">
            <v>752.43328807409898</v>
          </cell>
          <cell r="C117" t="str">
            <v>Class1</v>
          </cell>
          <cell r="E117">
            <v>207</v>
          </cell>
          <cell r="F117">
            <v>292</v>
          </cell>
          <cell r="O117">
            <v>2</v>
          </cell>
          <cell r="R117" t="str">
            <v>RAINFED</v>
          </cell>
          <cell r="S117">
            <v>2021</v>
          </cell>
        </row>
        <row r="118">
          <cell r="A118">
            <v>188.52867359409899</v>
          </cell>
          <cell r="C118" t="str">
            <v>Class4</v>
          </cell>
          <cell r="E118">
            <v>242</v>
          </cell>
          <cell r="F118">
            <v>308</v>
          </cell>
          <cell r="O118">
            <v>2</v>
          </cell>
          <cell r="R118" t="str">
            <v>RAINFED</v>
          </cell>
          <cell r="S118">
            <v>2021</v>
          </cell>
        </row>
        <row r="119">
          <cell r="A119">
            <v>3518.24309031649</v>
          </cell>
          <cell r="C119" t="str">
            <v>Paddy</v>
          </cell>
          <cell r="E119">
            <v>193</v>
          </cell>
          <cell r="F119">
            <v>238</v>
          </cell>
          <cell r="O119">
            <v>1</v>
          </cell>
          <cell r="R119" t="str">
            <v>RAINFED</v>
          </cell>
          <cell r="S119">
            <v>2022</v>
          </cell>
        </row>
        <row r="120">
          <cell r="A120">
            <v>791.58881019891101</v>
          </cell>
          <cell r="C120" t="str">
            <v>Class1</v>
          </cell>
          <cell r="E120">
            <v>206</v>
          </cell>
          <cell r="F120">
            <v>248</v>
          </cell>
          <cell r="O120">
            <v>1</v>
          </cell>
          <cell r="R120" t="str">
            <v>RAINFED</v>
          </cell>
          <cell r="S120">
            <v>2022</v>
          </cell>
        </row>
        <row r="121">
          <cell r="A121">
            <v>854.03897558958101</v>
          </cell>
          <cell r="C121" t="str">
            <v>Class4</v>
          </cell>
          <cell r="E121">
            <v>217</v>
          </cell>
          <cell r="F121">
            <v>270</v>
          </cell>
          <cell r="O121">
            <v>1</v>
          </cell>
          <cell r="R121" t="str">
            <v>RAINFED</v>
          </cell>
          <cell r="S121">
            <v>2022</v>
          </cell>
        </row>
        <row r="122">
          <cell r="A122">
            <v>1669.0939142786899</v>
          </cell>
          <cell r="C122" t="str">
            <v>Paddy</v>
          </cell>
          <cell r="E122">
            <v>200</v>
          </cell>
          <cell r="F122">
            <v>250</v>
          </cell>
          <cell r="O122">
            <v>2</v>
          </cell>
          <cell r="R122" t="str">
            <v>RAINFED</v>
          </cell>
          <cell r="S122">
            <v>2022</v>
          </cell>
        </row>
        <row r="123">
          <cell r="A123">
            <v>935.351456915364</v>
          </cell>
          <cell r="C123" t="str">
            <v>Class1</v>
          </cell>
          <cell r="E123">
            <v>204</v>
          </cell>
          <cell r="F123">
            <v>266</v>
          </cell>
          <cell r="O123">
            <v>2</v>
          </cell>
          <cell r="R123" t="str">
            <v>RAINFED</v>
          </cell>
          <cell r="S123">
            <v>2022</v>
          </cell>
        </row>
        <row r="124">
          <cell r="A124">
            <v>860.14911476920895</v>
          </cell>
          <cell r="C124" t="str">
            <v>Class4</v>
          </cell>
          <cell r="E124">
            <v>254</v>
          </cell>
          <cell r="F124">
            <v>344</v>
          </cell>
          <cell r="O124">
            <v>2</v>
          </cell>
          <cell r="R124" t="str">
            <v>RAINFED</v>
          </cell>
          <cell r="S124">
            <v>2022</v>
          </cell>
        </row>
        <row r="125">
          <cell r="A125">
            <v>2248.5740852476201</v>
          </cell>
          <cell r="C125" t="str">
            <v>Kharif Crop</v>
          </cell>
          <cell r="E125">
            <v>388</v>
          </cell>
          <cell r="F125">
            <v>469</v>
          </cell>
          <cell r="O125">
            <v>0</v>
          </cell>
          <cell r="R125" t="str">
            <v>RAINFED</v>
          </cell>
          <cell r="S125">
            <v>2018</v>
          </cell>
        </row>
        <row r="126">
          <cell r="A126">
            <v>10.8345299928403</v>
          </cell>
          <cell r="C126" t="str">
            <v>Double Crop Kharif/Rabi</v>
          </cell>
          <cell r="E126">
            <v>418</v>
          </cell>
          <cell r="F126">
            <v>569</v>
          </cell>
          <cell r="O126">
            <v>0</v>
          </cell>
          <cell r="R126" t="str">
            <v>RAINFED</v>
          </cell>
          <cell r="S126">
            <v>2018</v>
          </cell>
        </row>
        <row r="127">
          <cell r="A127">
            <v>44.942276484225403</v>
          </cell>
          <cell r="C127" t="str">
            <v>Double Crop Kharif/Zaid</v>
          </cell>
          <cell r="E127">
            <v>733</v>
          </cell>
          <cell r="F127">
            <v>1003</v>
          </cell>
          <cell r="O127">
            <v>0</v>
          </cell>
          <cell r="R127" t="str">
            <v>RAINFED</v>
          </cell>
          <cell r="S127">
            <v>2018</v>
          </cell>
        </row>
        <row r="128">
          <cell r="A128">
            <v>122.039328824983</v>
          </cell>
          <cell r="C128" t="str">
            <v>Perennial Crops</v>
          </cell>
          <cell r="E128">
            <v>1012</v>
          </cell>
          <cell r="F128">
            <v>1185</v>
          </cell>
          <cell r="O128">
            <v>0</v>
          </cell>
          <cell r="R128" t="str">
            <v>RAINFED</v>
          </cell>
          <cell r="S128">
            <v>2018</v>
          </cell>
        </row>
        <row r="129">
          <cell r="A129">
            <v>13.1352250055171</v>
          </cell>
          <cell r="C129" t="str">
            <v>Other Irrigated (High Water Intensive)</v>
          </cell>
          <cell r="E129">
            <v>340</v>
          </cell>
          <cell r="F129">
            <v>388</v>
          </cell>
          <cell r="O129">
            <v>1</v>
          </cell>
          <cell r="R129" t="str">
            <v>RAINFED</v>
          </cell>
          <cell r="S129">
            <v>2018</v>
          </cell>
        </row>
        <row r="130">
          <cell r="A130">
            <v>54.429868623097697</v>
          </cell>
          <cell r="C130" t="str">
            <v>Other Irrigated (Less Water Intensive)</v>
          </cell>
          <cell r="E130">
            <v>266</v>
          </cell>
          <cell r="F130">
            <v>308</v>
          </cell>
          <cell r="O130">
            <v>1</v>
          </cell>
          <cell r="R130" t="str">
            <v>RAINFED</v>
          </cell>
          <cell r="S130">
            <v>2018</v>
          </cell>
        </row>
        <row r="131">
          <cell r="A131">
            <v>1586.74937230308</v>
          </cell>
          <cell r="C131" t="str">
            <v>Other Unirrigated</v>
          </cell>
          <cell r="E131">
            <v>221</v>
          </cell>
          <cell r="F131">
            <v>264</v>
          </cell>
          <cell r="O131">
            <v>1</v>
          </cell>
          <cell r="R131" t="str">
            <v>RAINFED</v>
          </cell>
          <cell r="S131">
            <v>2018</v>
          </cell>
        </row>
        <row r="132">
          <cell r="A132">
            <v>33.8776154336338</v>
          </cell>
          <cell r="C132" t="str">
            <v>Other Irrigated (Less Water Intensive)</v>
          </cell>
          <cell r="E132">
            <v>260</v>
          </cell>
          <cell r="F132">
            <v>344</v>
          </cell>
          <cell r="O132">
            <v>2</v>
          </cell>
          <cell r="R132" t="str">
            <v>RAINFED</v>
          </cell>
          <cell r="S132">
            <v>2018</v>
          </cell>
        </row>
        <row r="133">
          <cell r="A133">
            <v>1321.15504789788</v>
          </cell>
          <cell r="C133" t="str">
            <v>Other Unirrigated</v>
          </cell>
          <cell r="E133">
            <v>193</v>
          </cell>
          <cell r="F133">
            <v>212</v>
          </cell>
          <cell r="O133">
            <v>2</v>
          </cell>
          <cell r="R133" t="str">
            <v>RAINFED</v>
          </cell>
          <cell r="S133">
            <v>2018</v>
          </cell>
        </row>
        <row r="134">
          <cell r="A134">
            <v>23.214123270491001</v>
          </cell>
          <cell r="C134" t="str">
            <v>Other Irrigated (High Water Intensive)</v>
          </cell>
          <cell r="E134">
            <v>290</v>
          </cell>
          <cell r="F134">
            <v>577</v>
          </cell>
          <cell r="O134">
            <v>3</v>
          </cell>
          <cell r="R134" t="str">
            <v>RAINFED</v>
          </cell>
          <cell r="S134">
            <v>2018</v>
          </cell>
        </row>
        <row r="135">
          <cell r="A135">
            <v>7.8548074236043304</v>
          </cell>
          <cell r="C135" t="str">
            <v>Other Irrigated (Less Water Intensive)</v>
          </cell>
          <cell r="E135">
            <v>147</v>
          </cell>
          <cell r="F135">
            <v>370</v>
          </cell>
          <cell r="O135">
            <v>3</v>
          </cell>
          <cell r="R135" t="str">
            <v>RAINFED</v>
          </cell>
          <cell r="S135">
            <v>2018</v>
          </cell>
        </row>
        <row r="136">
          <cell r="A136">
            <v>53.557747630621201</v>
          </cell>
          <cell r="C136" t="str">
            <v>Other Unirrigated</v>
          </cell>
          <cell r="E136">
            <v>258</v>
          </cell>
          <cell r="F136">
            <v>329</v>
          </cell>
          <cell r="O136">
            <v>3</v>
          </cell>
          <cell r="R136" t="str">
            <v>RAINFED</v>
          </cell>
          <cell r="S136">
            <v>2018</v>
          </cell>
        </row>
        <row r="137">
          <cell r="A137">
            <v>4.0898163182726002</v>
          </cell>
          <cell r="C137" t="str">
            <v>Class1</v>
          </cell>
          <cell r="E137">
            <v>239</v>
          </cell>
          <cell r="F137">
            <v>456</v>
          </cell>
          <cell r="O137">
            <v>3</v>
          </cell>
          <cell r="R137" t="str">
            <v>RAINFED</v>
          </cell>
          <cell r="S137">
            <v>2018</v>
          </cell>
        </row>
        <row r="138">
          <cell r="A138">
            <v>55.825652434880801</v>
          </cell>
          <cell r="C138" t="str">
            <v>Class4</v>
          </cell>
          <cell r="E138">
            <v>407</v>
          </cell>
          <cell r="F138">
            <v>529</v>
          </cell>
          <cell r="O138">
            <v>3</v>
          </cell>
          <cell r="R138" t="str">
            <v>RAINFED</v>
          </cell>
          <cell r="S138">
            <v>2018</v>
          </cell>
        </row>
        <row r="139">
          <cell r="A139">
            <v>2020.15637318266</v>
          </cell>
          <cell r="C139" t="str">
            <v>Kharif Crop</v>
          </cell>
          <cell r="E139">
            <v>369</v>
          </cell>
          <cell r="F139">
            <v>469</v>
          </cell>
          <cell r="O139">
            <v>0</v>
          </cell>
          <cell r="R139" t="str">
            <v>RAINFED</v>
          </cell>
          <cell r="S139">
            <v>2019</v>
          </cell>
        </row>
        <row r="140">
          <cell r="A140">
            <v>39.735976500746702</v>
          </cell>
          <cell r="C140" t="str">
            <v>Rabi Crop</v>
          </cell>
          <cell r="E140">
            <v>246</v>
          </cell>
          <cell r="F140">
            <v>606</v>
          </cell>
          <cell r="O140">
            <v>0</v>
          </cell>
          <cell r="R140" t="str">
            <v>RAINFED</v>
          </cell>
          <cell r="S140">
            <v>2019</v>
          </cell>
        </row>
        <row r="141">
          <cell r="A141">
            <v>42.775744847127903</v>
          </cell>
          <cell r="C141" t="str">
            <v>Double Crop Kharif/Rabi</v>
          </cell>
          <cell r="E141">
            <v>351</v>
          </cell>
          <cell r="F141">
            <v>473</v>
          </cell>
          <cell r="O141">
            <v>0</v>
          </cell>
          <cell r="R141" t="str">
            <v>RAINFED</v>
          </cell>
          <cell r="S141">
            <v>2019</v>
          </cell>
        </row>
        <row r="142">
          <cell r="A142">
            <v>279.81731720195</v>
          </cell>
          <cell r="C142" t="str">
            <v>Double Crop Kharif/Zaid</v>
          </cell>
          <cell r="E142">
            <v>663</v>
          </cell>
          <cell r="F142">
            <v>811</v>
          </cell>
          <cell r="O142">
            <v>0</v>
          </cell>
          <cell r="R142" t="str">
            <v>RAINFED</v>
          </cell>
          <cell r="S142">
            <v>2019</v>
          </cell>
        </row>
        <row r="143">
          <cell r="A143">
            <v>738.90942443782103</v>
          </cell>
          <cell r="C143" t="str">
            <v>Perennial Crops</v>
          </cell>
          <cell r="E143">
            <v>934</v>
          </cell>
          <cell r="F143">
            <v>1057</v>
          </cell>
          <cell r="O143">
            <v>0</v>
          </cell>
          <cell r="R143" t="str">
            <v>RAINFED</v>
          </cell>
          <cell r="S143">
            <v>2019</v>
          </cell>
        </row>
        <row r="144">
          <cell r="A144">
            <v>17.898486158761401</v>
          </cell>
          <cell r="C144" t="str">
            <v>Other Irrigated (High Water Intensive)</v>
          </cell>
          <cell r="E144">
            <v>329</v>
          </cell>
          <cell r="F144">
            <v>408</v>
          </cell>
          <cell r="O144">
            <v>1</v>
          </cell>
          <cell r="R144" t="str">
            <v>RAINFED</v>
          </cell>
          <cell r="S144">
            <v>2019</v>
          </cell>
        </row>
        <row r="145">
          <cell r="A145">
            <v>103.48927470282101</v>
          </cell>
          <cell r="C145" t="str">
            <v>Other Irrigated (Less Water Intensive)</v>
          </cell>
          <cell r="E145">
            <v>223</v>
          </cell>
          <cell r="F145">
            <v>272</v>
          </cell>
          <cell r="O145">
            <v>1</v>
          </cell>
          <cell r="R145" t="str">
            <v>RAINFED</v>
          </cell>
          <cell r="S145">
            <v>2019</v>
          </cell>
        </row>
        <row r="146">
          <cell r="A146">
            <v>851.12172927893403</v>
          </cell>
          <cell r="C146" t="str">
            <v>Other Unirrigated</v>
          </cell>
          <cell r="E146">
            <v>182</v>
          </cell>
          <cell r="F146">
            <v>226</v>
          </cell>
          <cell r="O146">
            <v>1</v>
          </cell>
          <cell r="R146" t="str">
            <v>RAINFED</v>
          </cell>
          <cell r="S146">
            <v>2019</v>
          </cell>
        </row>
        <row r="147">
          <cell r="A147">
            <v>115.70220411026</v>
          </cell>
          <cell r="C147" t="str">
            <v>Other Irrigated (Less Water Intensive)</v>
          </cell>
          <cell r="E147">
            <v>287</v>
          </cell>
          <cell r="F147">
            <v>346</v>
          </cell>
          <cell r="O147">
            <v>2</v>
          </cell>
          <cell r="R147" t="str">
            <v>RAINFED</v>
          </cell>
          <cell r="S147">
            <v>2019</v>
          </cell>
        </row>
        <row r="148">
          <cell r="A148">
            <v>634.22274024361298</v>
          </cell>
          <cell r="C148" t="str">
            <v>Other Unirrigated</v>
          </cell>
          <cell r="E148">
            <v>175</v>
          </cell>
          <cell r="F148">
            <v>216</v>
          </cell>
          <cell r="O148">
            <v>2</v>
          </cell>
          <cell r="R148" t="str">
            <v>RAINFED</v>
          </cell>
          <cell r="S148">
            <v>2019</v>
          </cell>
        </row>
        <row r="149">
          <cell r="A149">
            <v>60.9508809673234</v>
          </cell>
          <cell r="C149" t="str">
            <v>Other Irrigated (High Water Intensive)</v>
          </cell>
          <cell r="E149">
            <v>360</v>
          </cell>
          <cell r="F149">
            <v>525</v>
          </cell>
          <cell r="O149">
            <v>3</v>
          </cell>
          <cell r="R149" t="str">
            <v>RAINFED</v>
          </cell>
          <cell r="S149">
            <v>2019</v>
          </cell>
        </row>
        <row r="150">
          <cell r="A150">
            <v>51.878162759704502</v>
          </cell>
          <cell r="C150" t="str">
            <v>Other Irrigated (Less Water Intensive)</v>
          </cell>
          <cell r="E150">
            <v>160</v>
          </cell>
          <cell r="F150">
            <v>404</v>
          </cell>
          <cell r="O150">
            <v>3</v>
          </cell>
          <cell r="R150" t="str">
            <v>RAINFED</v>
          </cell>
          <cell r="S150">
            <v>2019</v>
          </cell>
        </row>
        <row r="151">
          <cell r="A151">
            <v>130.89135847991599</v>
          </cell>
          <cell r="C151" t="str">
            <v>Other Unirrigated</v>
          </cell>
          <cell r="E151">
            <v>281</v>
          </cell>
          <cell r="F151">
            <v>368</v>
          </cell>
          <cell r="O151">
            <v>3</v>
          </cell>
          <cell r="R151" t="str">
            <v>RAINFED</v>
          </cell>
          <cell r="S151">
            <v>2019</v>
          </cell>
        </row>
        <row r="152">
          <cell r="A152">
            <v>58.6419466260812</v>
          </cell>
          <cell r="C152" t="str">
            <v>Class1</v>
          </cell>
          <cell r="E152">
            <v>280</v>
          </cell>
          <cell r="F152">
            <v>425</v>
          </cell>
          <cell r="O152">
            <v>3</v>
          </cell>
          <cell r="R152" t="str">
            <v>RAINFED</v>
          </cell>
          <cell r="S152">
            <v>2019</v>
          </cell>
        </row>
        <row r="153">
          <cell r="A153">
            <v>558.16472716569501</v>
          </cell>
          <cell r="C153" t="str">
            <v>Class4</v>
          </cell>
          <cell r="E153">
            <v>368</v>
          </cell>
          <cell r="F153">
            <v>445</v>
          </cell>
          <cell r="O153">
            <v>3</v>
          </cell>
          <cell r="R153" t="str">
            <v>RAINFED</v>
          </cell>
          <cell r="S153">
            <v>2019</v>
          </cell>
        </row>
        <row r="154">
          <cell r="A154">
            <v>4062.36004724544</v>
          </cell>
          <cell r="C154" t="str">
            <v>Kharif Crop</v>
          </cell>
          <cell r="E154">
            <v>373</v>
          </cell>
          <cell r="F154">
            <v>485</v>
          </cell>
          <cell r="O154">
            <v>0</v>
          </cell>
          <cell r="R154" t="str">
            <v>RAINFED</v>
          </cell>
          <cell r="S154">
            <v>2020</v>
          </cell>
        </row>
        <row r="155">
          <cell r="A155">
            <v>13.2184320975599</v>
          </cell>
          <cell r="C155" t="str">
            <v>Rabi Crop</v>
          </cell>
          <cell r="E155">
            <v>179</v>
          </cell>
          <cell r="F155">
            <v>277</v>
          </cell>
          <cell r="O155">
            <v>0</v>
          </cell>
          <cell r="R155" t="str">
            <v>RAINFED</v>
          </cell>
          <cell r="S155">
            <v>2020</v>
          </cell>
        </row>
        <row r="156">
          <cell r="A156">
            <v>34.237430110910402</v>
          </cell>
          <cell r="C156" t="str">
            <v>Double Crop Kharif/Rabi</v>
          </cell>
          <cell r="E156">
            <v>309</v>
          </cell>
          <cell r="F156">
            <v>457</v>
          </cell>
          <cell r="O156">
            <v>0</v>
          </cell>
          <cell r="R156" t="str">
            <v>RAINFED</v>
          </cell>
          <cell r="S156">
            <v>2020</v>
          </cell>
        </row>
        <row r="157">
          <cell r="A157">
            <v>102.84125619908301</v>
          </cell>
          <cell r="C157" t="str">
            <v>Double Crop Kharif/Zaid</v>
          </cell>
          <cell r="E157">
            <v>664</v>
          </cell>
          <cell r="F157">
            <v>875</v>
          </cell>
          <cell r="O157">
            <v>0</v>
          </cell>
          <cell r="R157" t="str">
            <v>RAINFED</v>
          </cell>
          <cell r="S157">
            <v>2020</v>
          </cell>
        </row>
        <row r="158">
          <cell r="A158">
            <v>55.763782093179699</v>
          </cell>
          <cell r="C158" t="str">
            <v>Perennial Crops</v>
          </cell>
          <cell r="E158">
            <v>954</v>
          </cell>
          <cell r="F158">
            <v>1173</v>
          </cell>
          <cell r="O158">
            <v>0</v>
          </cell>
          <cell r="R158" t="str">
            <v>RAINFED</v>
          </cell>
          <cell r="S158">
            <v>2020</v>
          </cell>
        </row>
        <row r="159">
          <cell r="A159">
            <v>21.1342349227426</v>
          </cell>
          <cell r="C159" t="str">
            <v>Other Irrigated (High Water Intensive)</v>
          </cell>
          <cell r="E159">
            <v>348</v>
          </cell>
          <cell r="F159">
            <v>396</v>
          </cell>
          <cell r="O159">
            <v>1</v>
          </cell>
          <cell r="R159" t="str">
            <v>RAINFED</v>
          </cell>
          <cell r="S159">
            <v>2020</v>
          </cell>
        </row>
        <row r="160">
          <cell r="A160">
            <v>38.9010275597456</v>
          </cell>
          <cell r="C160" t="str">
            <v>Other Irrigated (Less Water Intensive)</v>
          </cell>
          <cell r="E160">
            <v>278</v>
          </cell>
          <cell r="F160">
            <v>340</v>
          </cell>
          <cell r="O160">
            <v>1</v>
          </cell>
          <cell r="R160" t="str">
            <v>RAINFED</v>
          </cell>
          <cell r="S160">
            <v>2020</v>
          </cell>
        </row>
        <row r="161">
          <cell r="A161">
            <v>3058.3054209322499</v>
          </cell>
          <cell r="C161" t="str">
            <v>Other Unirrigated</v>
          </cell>
          <cell r="E161">
            <v>186</v>
          </cell>
          <cell r="F161">
            <v>272</v>
          </cell>
          <cell r="O161">
            <v>1</v>
          </cell>
          <cell r="R161" t="str">
            <v>RAINFED</v>
          </cell>
          <cell r="S161">
            <v>2020</v>
          </cell>
        </row>
        <row r="162">
          <cell r="A162">
            <v>18.052470426097202</v>
          </cell>
          <cell r="C162" t="str">
            <v>Other Irrigated (Less Water Intensive)</v>
          </cell>
          <cell r="E162">
            <v>262</v>
          </cell>
          <cell r="F162">
            <v>370</v>
          </cell>
          <cell r="O162">
            <v>2</v>
          </cell>
          <cell r="R162" t="str">
            <v>RAINFED</v>
          </cell>
          <cell r="S162">
            <v>2020</v>
          </cell>
        </row>
        <row r="163">
          <cell r="A163">
            <v>3098.16321037026</v>
          </cell>
          <cell r="C163" t="str">
            <v>Other Unirrigated</v>
          </cell>
          <cell r="E163">
            <v>189</v>
          </cell>
          <cell r="F163">
            <v>212</v>
          </cell>
          <cell r="O163">
            <v>2</v>
          </cell>
          <cell r="R163" t="str">
            <v>RAINFED</v>
          </cell>
          <cell r="S163">
            <v>2020</v>
          </cell>
        </row>
        <row r="164">
          <cell r="A164">
            <v>22.176328235081598</v>
          </cell>
          <cell r="C164" t="str">
            <v>Other Irrigated (High Water Intensive)</v>
          </cell>
          <cell r="E164">
            <v>225</v>
          </cell>
          <cell r="F164">
            <v>513</v>
          </cell>
          <cell r="O164">
            <v>3</v>
          </cell>
          <cell r="R164" t="str">
            <v>RAINFED</v>
          </cell>
          <cell r="S164">
            <v>2020</v>
          </cell>
        </row>
        <row r="165">
          <cell r="A165">
            <v>5.0111631835339097</v>
          </cell>
          <cell r="C165" t="str">
            <v>Other Irrigated (Less Water Intensive)</v>
          </cell>
          <cell r="E165">
            <v>131</v>
          </cell>
          <cell r="F165">
            <v>307</v>
          </cell>
          <cell r="O165">
            <v>3</v>
          </cell>
          <cell r="R165" t="str">
            <v>RAINFED</v>
          </cell>
          <cell r="S165">
            <v>2020</v>
          </cell>
        </row>
        <row r="166">
          <cell r="A166">
            <v>21.677386609380299</v>
          </cell>
          <cell r="C166" t="str">
            <v>Other Unirrigated</v>
          </cell>
          <cell r="E166">
            <v>184</v>
          </cell>
          <cell r="F166">
            <v>269</v>
          </cell>
          <cell r="O166">
            <v>3</v>
          </cell>
          <cell r="R166" t="str">
            <v>RAINFED</v>
          </cell>
          <cell r="S166">
            <v>2020</v>
          </cell>
        </row>
        <row r="167">
          <cell r="A167">
            <v>13.050283949082299</v>
          </cell>
          <cell r="C167" t="str">
            <v>Class1</v>
          </cell>
          <cell r="E167">
            <v>182</v>
          </cell>
          <cell r="F167">
            <v>352</v>
          </cell>
          <cell r="O167">
            <v>3</v>
          </cell>
          <cell r="R167" t="str">
            <v>RAINFED</v>
          </cell>
          <cell r="S167">
            <v>2020</v>
          </cell>
        </row>
        <row r="168">
          <cell r="A168">
            <v>26.7700866105173</v>
          </cell>
          <cell r="C168" t="str">
            <v>Class4</v>
          </cell>
          <cell r="E168">
            <v>308</v>
          </cell>
          <cell r="F168">
            <v>473</v>
          </cell>
          <cell r="O168">
            <v>3</v>
          </cell>
          <cell r="R168" t="str">
            <v>RAINFED</v>
          </cell>
          <cell r="S168">
            <v>2020</v>
          </cell>
        </row>
        <row r="169">
          <cell r="A169">
            <v>1975.2109936388099</v>
          </cell>
          <cell r="C169" t="str">
            <v>Kharif Crop</v>
          </cell>
          <cell r="E169">
            <v>331</v>
          </cell>
          <cell r="F169">
            <v>421</v>
          </cell>
          <cell r="O169">
            <v>0</v>
          </cell>
          <cell r="R169" t="str">
            <v>RAINFED</v>
          </cell>
          <cell r="S169">
            <v>2021</v>
          </cell>
        </row>
        <row r="170">
          <cell r="A170">
            <v>48.515824106585903</v>
          </cell>
          <cell r="C170" t="str">
            <v>Rabi Crop</v>
          </cell>
          <cell r="E170">
            <v>204</v>
          </cell>
          <cell r="F170">
            <v>269</v>
          </cell>
          <cell r="O170">
            <v>0</v>
          </cell>
          <cell r="R170" t="str">
            <v>RAINFED</v>
          </cell>
          <cell r="S170">
            <v>2021</v>
          </cell>
        </row>
        <row r="171">
          <cell r="A171">
            <v>47.0761432160919</v>
          </cell>
          <cell r="C171" t="str">
            <v>Double Crop Kharif/Rabi</v>
          </cell>
          <cell r="E171">
            <v>346</v>
          </cell>
          <cell r="F171">
            <v>473</v>
          </cell>
          <cell r="O171">
            <v>0</v>
          </cell>
          <cell r="R171" t="str">
            <v>RAINFED</v>
          </cell>
          <cell r="S171">
            <v>2021</v>
          </cell>
        </row>
        <row r="172">
          <cell r="A172">
            <v>29.198353668308599</v>
          </cell>
          <cell r="C172" t="str">
            <v>Double Crop Kharif/Zaid</v>
          </cell>
          <cell r="E172">
            <v>661</v>
          </cell>
          <cell r="F172">
            <v>914</v>
          </cell>
          <cell r="O172">
            <v>0</v>
          </cell>
          <cell r="R172" t="str">
            <v>RAINFED</v>
          </cell>
          <cell r="S172">
            <v>2021</v>
          </cell>
        </row>
        <row r="173">
          <cell r="A173">
            <v>87.113644428076597</v>
          </cell>
          <cell r="C173" t="str">
            <v>Perennial Crops</v>
          </cell>
          <cell r="E173">
            <v>762</v>
          </cell>
          <cell r="F173">
            <v>1037</v>
          </cell>
          <cell r="O173">
            <v>0</v>
          </cell>
          <cell r="R173" t="str">
            <v>RAINFED</v>
          </cell>
          <cell r="S173">
            <v>2021</v>
          </cell>
        </row>
        <row r="174">
          <cell r="A174">
            <v>28.491664179842999</v>
          </cell>
          <cell r="C174" t="str">
            <v>Other Irrigated (Less Water Intensive)</v>
          </cell>
          <cell r="E174">
            <v>200</v>
          </cell>
          <cell r="F174">
            <v>264</v>
          </cell>
          <cell r="O174">
            <v>1</v>
          </cell>
          <cell r="R174" t="str">
            <v>RAINFED</v>
          </cell>
          <cell r="S174">
            <v>2021</v>
          </cell>
        </row>
        <row r="175">
          <cell r="A175">
            <v>1210.1905492695901</v>
          </cell>
          <cell r="C175" t="str">
            <v>Other Unirrigated</v>
          </cell>
          <cell r="E175">
            <v>142</v>
          </cell>
          <cell r="F175">
            <v>214</v>
          </cell>
          <cell r="O175">
            <v>1</v>
          </cell>
          <cell r="R175" t="str">
            <v>RAINFED</v>
          </cell>
          <cell r="S175">
            <v>2021</v>
          </cell>
        </row>
        <row r="176">
          <cell r="A176">
            <v>31.297163569976099</v>
          </cell>
          <cell r="C176" t="str">
            <v>Other Irrigated (Less Water Intensive)</v>
          </cell>
          <cell r="E176">
            <v>271</v>
          </cell>
          <cell r="F176">
            <v>346</v>
          </cell>
          <cell r="O176">
            <v>2</v>
          </cell>
          <cell r="R176" t="str">
            <v>RAINFED</v>
          </cell>
          <cell r="S176">
            <v>2021</v>
          </cell>
        </row>
        <row r="177">
          <cell r="A177">
            <v>1122.0597397971301</v>
          </cell>
          <cell r="C177" t="str">
            <v>Other Unirrigated</v>
          </cell>
          <cell r="E177">
            <v>188</v>
          </cell>
          <cell r="F177">
            <v>210</v>
          </cell>
          <cell r="O177">
            <v>2</v>
          </cell>
          <cell r="R177" t="str">
            <v>RAINFED</v>
          </cell>
          <cell r="S177">
            <v>2021</v>
          </cell>
        </row>
        <row r="178">
          <cell r="A178">
            <v>33.2883609740163</v>
          </cell>
          <cell r="C178" t="str">
            <v>Other Irrigated (High Water Intensive)</v>
          </cell>
          <cell r="E178">
            <v>238</v>
          </cell>
          <cell r="F178">
            <v>553</v>
          </cell>
          <cell r="O178">
            <v>3</v>
          </cell>
          <cell r="R178" t="str">
            <v>RAINFED</v>
          </cell>
          <cell r="S178">
            <v>2021</v>
          </cell>
        </row>
        <row r="179">
          <cell r="A179">
            <v>3.0546236278010301</v>
          </cell>
          <cell r="C179" t="str">
            <v>Other Irrigated (Less Water Intensive)</v>
          </cell>
          <cell r="E179">
            <v>170</v>
          </cell>
          <cell r="F179">
            <v>310</v>
          </cell>
          <cell r="O179">
            <v>3</v>
          </cell>
          <cell r="R179" t="str">
            <v>RAINFED</v>
          </cell>
          <cell r="S179">
            <v>2021</v>
          </cell>
        </row>
        <row r="180">
          <cell r="A180">
            <v>111.099052471295</v>
          </cell>
          <cell r="C180" t="str">
            <v>Other Unirrigated</v>
          </cell>
          <cell r="E180">
            <v>212</v>
          </cell>
          <cell r="F180">
            <v>225</v>
          </cell>
          <cell r="O180">
            <v>3</v>
          </cell>
          <cell r="R180" t="str">
            <v>RAINFED</v>
          </cell>
          <cell r="S180">
            <v>2021</v>
          </cell>
        </row>
        <row r="181">
          <cell r="A181">
            <v>8.3266426413143293</v>
          </cell>
          <cell r="C181" t="str">
            <v>Class1</v>
          </cell>
          <cell r="E181">
            <v>182</v>
          </cell>
          <cell r="F181">
            <v>349</v>
          </cell>
          <cell r="O181">
            <v>3</v>
          </cell>
          <cell r="R181" t="str">
            <v>RAINFED</v>
          </cell>
          <cell r="S181">
            <v>2021</v>
          </cell>
        </row>
        <row r="182">
          <cell r="A182">
            <v>13.543641483181201</v>
          </cell>
          <cell r="C182" t="str">
            <v>Class4</v>
          </cell>
          <cell r="E182">
            <v>231</v>
          </cell>
          <cell r="F182">
            <v>445</v>
          </cell>
          <cell r="O182">
            <v>3</v>
          </cell>
          <cell r="R182" t="str">
            <v>RAINFED</v>
          </cell>
          <cell r="S182">
            <v>2021</v>
          </cell>
        </row>
        <row r="183">
          <cell r="A183">
            <v>3414.2579322286701</v>
          </cell>
          <cell r="C183" t="str">
            <v>Kharif Crop</v>
          </cell>
          <cell r="E183">
            <v>390</v>
          </cell>
          <cell r="F183">
            <v>465</v>
          </cell>
          <cell r="O183">
            <v>0</v>
          </cell>
          <cell r="R183" t="str">
            <v>RAINFED</v>
          </cell>
          <cell r="S183">
            <v>2022</v>
          </cell>
        </row>
        <row r="184">
          <cell r="A184">
            <v>11.589766700915099</v>
          </cell>
          <cell r="C184" t="str">
            <v>Double Crop Kharif/Rabi</v>
          </cell>
          <cell r="E184">
            <v>353</v>
          </cell>
          <cell r="F184">
            <v>526</v>
          </cell>
          <cell r="O184">
            <v>0</v>
          </cell>
          <cell r="R184" t="str">
            <v>RAINFED</v>
          </cell>
          <cell r="S184">
            <v>2022</v>
          </cell>
        </row>
        <row r="185">
          <cell r="A185">
            <v>333.09788278751398</v>
          </cell>
          <cell r="C185" t="str">
            <v>Double Crop Kharif/Zaid</v>
          </cell>
          <cell r="E185">
            <v>780</v>
          </cell>
          <cell r="F185">
            <v>947</v>
          </cell>
          <cell r="O185">
            <v>0</v>
          </cell>
          <cell r="R185" t="str">
            <v>RAINFED</v>
          </cell>
          <cell r="S185">
            <v>2022</v>
          </cell>
        </row>
        <row r="186">
          <cell r="A186">
            <v>111.561626040685</v>
          </cell>
          <cell r="C186" t="str">
            <v>Perennial Crops</v>
          </cell>
          <cell r="E186">
            <v>1010</v>
          </cell>
          <cell r="F186">
            <v>1161</v>
          </cell>
          <cell r="O186">
            <v>0</v>
          </cell>
          <cell r="R186" t="str">
            <v>RAINFED</v>
          </cell>
          <cell r="S186">
            <v>2022</v>
          </cell>
        </row>
        <row r="187">
          <cell r="A187">
            <v>45.918259230313701</v>
          </cell>
          <cell r="C187" t="str">
            <v>Other Irrigated (Less Water Intensive)</v>
          </cell>
          <cell r="E187">
            <v>253</v>
          </cell>
          <cell r="F187">
            <v>300</v>
          </cell>
          <cell r="O187">
            <v>1</v>
          </cell>
          <cell r="R187" t="str">
            <v>RAINFED</v>
          </cell>
          <cell r="S187">
            <v>2022</v>
          </cell>
        </row>
        <row r="188">
          <cell r="A188">
            <v>2118.2302448585501</v>
          </cell>
          <cell r="C188" t="str">
            <v>Other Unirrigated</v>
          </cell>
          <cell r="E188">
            <v>213</v>
          </cell>
          <cell r="F188">
            <v>260</v>
          </cell>
          <cell r="O188">
            <v>1</v>
          </cell>
          <cell r="R188" t="str">
            <v>RAINFED</v>
          </cell>
          <cell r="S188">
            <v>2022</v>
          </cell>
        </row>
        <row r="189">
          <cell r="A189">
            <v>31.317262127607702</v>
          </cell>
          <cell r="C189" t="str">
            <v>Other Irrigated (Less Water Intensive)</v>
          </cell>
          <cell r="E189">
            <v>283</v>
          </cell>
          <cell r="F189">
            <v>376</v>
          </cell>
          <cell r="O189">
            <v>2</v>
          </cell>
          <cell r="R189" t="str">
            <v>RAINFED</v>
          </cell>
          <cell r="S189">
            <v>2022</v>
          </cell>
        </row>
        <row r="190">
          <cell r="A190">
            <v>1727.2668330108099</v>
          </cell>
          <cell r="C190" t="str">
            <v>Other Unirrigated</v>
          </cell>
          <cell r="E190">
            <v>189</v>
          </cell>
          <cell r="F190">
            <v>208</v>
          </cell>
          <cell r="O190">
            <v>2</v>
          </cell>
          <cell r="R190" t="str">
            <v>RAINFED</v>
          </cell>
          <cell r="S190">
            <v>2022</v>
          </cell>
        </row>
        <row r="191">
          <cell r="A191">
            <v>69.661691858948302</v>
          </cell>
          <cell r="C191" t="str">
            <v>Other Irrigated (High Water Intensive)</v>
          </cell>
          <cell r="E191">
            <v>230</v>
          </cell>
          <cell r="F191">
            <v>541</v>
          </cell>
          <cell r="O191">
            <v>3</v>
          </cell>
          <cell r="R191" t="str">
            <v>RAINFED</v>
          </cell>
          <cell r="S191">
            <v>2022</v>
          </cell>
        </row>
        <row r="192">
          <cell r="A192">
            <v>14.419729761888</v>
          </cell>
          <cell r="C192" t="str">
            <v>Other Irrigated (Less Water Intensive)</v>
          </cell>
          <cell r="E192">
            <v>136</v>
          </cell>
          <cell r="F192">
            <v>312</v>
          </cell>
          <cell r="O192">
            <v>3</v>
          </cell>
          <cell r="R192" t="str">
            <v>RAINFED</v>
          </cell>
          <cell r="S192">
            <v>2022</v>
          </cell>
        </row>
        <row r="193">
          <cell r="A193">
            <v>37.672583327223798</v>
          </cell>
          <cell r="C193" t="str">
            <v>Other Unirrigated</v>
          </cell>
          <cell r="E193">
            <v>246</v>
          </cell>
          <cell r="F193">
            <v>329</v>
          </cell>
          <cell r="O193">
            <v>3</v>
          </cell>
          <cell r="R193" t="str">
            <v>RAINFED</v>
          </cell>
          <cell r="S193">
            <v>2022</v>
          </cell>
        </row>
        <row r="194">
          <cell r="A194">
            <v>25.447042903002501</v>
          </cell>
          <cell r="C194" t="str">
            <v>Class1</v>
          </cell>
          <cell r="E194">
            <v>233</v>
          </cell>
          <cell r="F194">
            <v>369</v>
          </cell>
          <cell r="O194">
            <v>3</v>
          </cell>
          <cell r="R194" t="str">
            <v>RAINFED</v>
          </cell>
          <cell r="S194">
            <v>2022</v>
          </cell>
        </row>
        <row r="195">
          <cell r="A195">
            <v>180.664216504423</v>
          </cell>
          <cell r="C195" t="str">
            <v>Class4</v>
          </cell>
          <cell r="E195">
            <v>321</v>
          </cell>
          <cell r="F195">
            <v>445</v>
          </cell>
          <cell r="O195">
            <v>3</v>
          </cell>
          <cell r="R195" t="str">
            <v>RAINFED</v>
          </cell>
          <cell r="S195">
            <v>2022</v>
          </cell>
        </row>
        <row r="196">
          <cell r="A196"/>
          <cell r="C196"/>
          <cell r="E196"/>
          <cell r="F196"/>
          <cell r="O196"/>
          <cell r="R196"/>
          <cell r="S196"/>
        </row>
        <row r="197">
          <cell r="A197"/>
          <cell r="C197"/>
          <cell r="E197"/>
          <cell r="F197"/>
          <cell r="O197"/>
          <cell r="R197"/>
          <cell r="S197"/>
        </row>
        <row r="198">
          <cell r="A198"/>
          <cell r="C198"/>
          <cell r="E198"/>
          <cell r="F198"/>
          <cell r="O198"/>
          <cell r="R198"/>
          <cell r="S198"/>
        </row>
        <row r="199">
          <cell r="A199"/>
          <cell r="C199"/>
          <cell r="E199"/>
          <cell r="F199"/>
          <cell r="O199"/>
          <cell r="R199"/>
          <cell r="S199"/>
        </row>
        <row r="200">
          <cell r="A200"/>
          <cell r="C200"/>
          <cell r="E200"/>
          <cell r="F200"/>
          <cell r="O200"/>
          <cell r="R200"/>
          <cell r="S200"/>
        </row>
        <row r="201">
          <cell r="A201"/>
          <cell r="C201"/>
          <cell r="E201"/>
          <cell r="F201"/>
          <cell r="O201"/>
          <cell r="R201"/>
          <cell r="S201"/>
        </row>
        <row r="202">
          <cell r="A202"/>
          <cell r="C202"/>
          <cell r="E202"/>
          <cell r="F202"/>
          <cell r="O202"/>
          <cell r="R202"/>
          <cell r="S202"/>
        </row>
        <row r="203">
          <cell r="A203"/>
          <cell r="C203"/>
          <cell r="E203"/>
          <cell r="F203"/>
          <cell r="O203"/>
          <cell r="R203"/>
          <cell r="S203"/>
        </row>
        <row r="204">
          <cell r="A204"/>
          <cell r="C204"/>
          <cell r="E204"/>
          <cell r="F204"/>
          <cell r="O204"/>
          <cell r="R204"/>
          <cell r="S204"/>
        </row>
        <row r="205">
          <cell r="A205"/>
          <cell r="C205"/>
          <cell r="E205"/>
          <cell r="F205"/>
          <cell r="O205"/>
          <cell r="R205"/>
          <cell r="S205"/>
        </row>
        <row r="206">
          <cell r="A206"/>
          <cell r="C206"/>
          <cell r="E206"/>
          <cell r="F206"/>
          <cell r="O206"/>
          <cell r="R206"/>
          <cell r="S206"/>
        </row>
        <row r="207">
          <cell r="A207"/>
          <cell r="C207"/>
          <cell r="E207"/>
          <cell r="F207"/>
          <cell r="O207"/>
          <cell r="R207"/>
          <cell r="S207"/>
        </row>
        <row r="208">
          <cell r="A208"/>
          <cell r="C208"/>
          <cell r="E208"/>
          <cell r="F208"/>
          <cell r="O208"/>
          <cell r="R208"/>
          <cell r="S208"/>
        </row>
        <row r="209">
          <cell r="A209"/>
          <cell r="C209"/>
          <cell r="E209"/>
          <cell r="F209"/>
          <cell r="O209"/>
          <cell r="R209"/>
          <cell r="S209"/>
        </row>
        <row r="210">
          <cell r="A210"/>
          <cell r="C210"/>
          <cell r="E210"/>
          <cell r="F210"/>
          <cell r="O210"/>
          <cell r="R210"/>
          <cell r="S210"/>
        </row>
        <row r="211">
          <cell r="A211"/>
          <cell r="C211"/>
          <cell r="E211"/>
          <cell r="F211"/>
          <cell r="O211"/>
          <cell r="R211"/>
          <cell r="S211"/>
        </row>
        <row r="212">
          <cell r="A212"/>
          <cell r="C212"/>
          <cell r="E212"/>
          <cell r="F212"/>
          <cell r="O212"/>
          <cell r="R212"/>
          <cell r="S212"/>
        </row>
        <row r="213">
          <cell r="A213"/>
          <cell r="C213"/>
          <cell r="E213"/>
          <cell r="F213"/>
          <cell r="O213"/>
          <cell r="R213"/>
          <cell r="S213"/>
        </row>
        <row r="214">
          <cell r="A214"/>
          <cell r="C214"/>
          <cell r="E214"/>
          <cell r="F214"/>
          <cell r="O214"/>
          <cell r="R214"/>
          <cell r="S214"/>
        </row>
        <row r="215">
          <cell r="A215"/>
          <cell r="C215"/>
          <cell r="E215"/>
          <cell r="F215"/>
          <cell r="O215"/>
          <cell r="R215"/>
          <cell r="S215"/>
        </row>
        <row r="216">
          <cell r="A216"/>
          <cell r="C216"/>
          <cell r="E216"/>
          <cell r="F216"/>
          <cell r="O216"/>
          <cell r="R216"/>
          <cell r="S216"/>
        </row>
        <row r="217">
          <cell r="A217"/>
          <cell r="C217"/>
          <cell r="E217"/>
          <cell r="F217"/>
          <cell r="O217"/>
          <cell r="R217"/>
          <cell r="S217"/>
        </row>
        <row r="218">
          <cell r="A218"/>
          <cell r="C218"/>
          <cell r="E218"/>
          <cell r="F218"/>
          <cell r="O218"/>
          <cell r="R218"/>
          <cell r="S218"/>
        </row>
        <row r="219">
          <cell r="A219"/>
          <cell r="C219"/>
          <cell r="E219"/>
          <cell r="F219"/>
          <cell r="O219"/>
          <cell r="R219"/>
          <cell r="S219"/>
        </row>
        <row r="220">
          <cell r="A220"/>
          <cell r="C220"/>
          <cell r="E220"/>
          <cell r="F220"/>
          <cell r="O220"/>
          <cell r="R220"/>
          <cell r="S220"/>
        </row>
        <row r="221">
          <cell r="A221"/>
          <cell r="C221"/>
          <cell r="E221"/>
          <cell r="F221"/>
          <cell r="O221"/>
          <cell r="R221"/>
          <cell r="S221"/>
        </row>
        <row r="222">
          <cell r="A222"/>
          <cell r="C222"/>
          <cell r="E222"/>
          <cell r="F222"/>
          <cell r="O222"/>
          <cell r="R222"/>
          <cell r="S222"/>
        </row>
        <row r="223">
          <cell r="A223"/>
          <cell r="C223"/>
          <cell r="E223"/>
          <cell r="F223"/>
          <cell r="O223"/>
          <cell r="R223"/>
          <cell r="S223"/>
        </row>
        <row r="224">
          <cell r="A224"/>
          <cell r="C224"/>
          <cell r="E224"/>
          <cell r="F224"/>
          <cell r="O224"/>
          <cell r="R224"/>
          <cell r="S224"/>
        </row>
        <row r="225">
          <cell r="A225"/>
          <cell r="C225"/>
          <cell r="E225"/>
          <cell r="F225"/>
          <cell r="O225"/>
          <cell r="R225"/>
          <cell r="S225"/>
        </row>
        <row r="226">
          <cell r="A226"/>
          <cell r="C226"/>
          <cell r="E226"/>
          <cell r="F226"/>
          <cell r="O226"/>
          <cell r="R226"/>
          <cell r="S226"/>
        </row>
        <row r="227">
          <cell r="A227"/>
          <cell r="C227"/>
          <cell r="E227"/>
          <cell r="F227"/>
          <cell r="O227"/>
          <cell r="R227"/>
          <cell r="S227"/>
        </row>
        <row r="228">
          <cell r="A228"/>
          <cell r="C228"/>
          <cell r="E228"/>
          <cell r="F228"/>
          <cell r="O228"/>
          <cell r="R228"/>
          <cell r="S228"/>
        </row>
        <row r="229">
          <cell r="A229"/>
          <cell r="C229"/>
          <cell r="E229"/>
          <cell r="F229"/>
          <cell r="O229"/>
          <cell r="R229"/>
          <cell r="S229"/>
        </row>
        <row r="230">
          <cell r="A230"/>
          <cell r="C230"/>
          <cell r="E230"/>
          <cell r="F230"/>
          <cell r="O230"/>
          <cell r="R230"/>
          <cell r="S230"/>
        </row>
        <row r="231">
          <cell r="A231"/>
          <cell r="C231"/>
          <cell r="E231"/>
          <cell r="F231"/>
          <cell r="O231"/>
          <cell r="R231"/>
          <cell r="S231"/>
        </row>
        <row r="232">
          <cell r="A232"/>
          <cell r="C232"/>
          <cell r="E232"/>
          <cell r="F232"/>
          <cell r="O232"/>
          <cell r="R232"/>
          <cell r="S232"/>
        </row>
        <row r="233">
          <cell r="A233"/>
          <cell r="C233"/>
          <cell r="E233"/>
          <cell r="F233"/>
          <cell r="O233"/>
          <cell r="R233"/>
          <cell r="S233"/>
        </row>
        <row r="234">
          <cell r="A234"/>
          <cell r="C234"/>
          <cell r="E234"/>
          <cell r="F234"/>
          <cell r="O234"/>
          <cell r="R234"/>
          <cell r="S234"/>
        </row>
        <row r="235">
          <cell r="A235"/>
          <cell r="C235"/>
          <cell r="E235"/>
          <cell r="F235"/>
          <cell r="O235"/>
          <cell r="R235"/>
          <cell r="S235"/>
        </row>
        <row r="236">
          <cell r="A236"/>
          <cell r="C236"/>
          <cell r="E236"/>
          <cell r="F236"/>
          <cell r="O236"/>
          <cell r="R236"/>
          <cell r="S236"/>
        </row>
        <row r="237">
          <cell r="A237"/>
          <cell r="C237"/>
          <cell r="E237"/>
          <cell r="F237"/>
          <cell r="O237"/>
          <cell r="R237"/>
          <cell r="S237"/>
        </row>
        <row r="238">
          <cell r="A238"/>
          <cell r="C238"/>
          <cell r="E238"/>
          <cell r="F238"/>
          <cell r="O238"/>
          <cell r="R238"/>
          <cell r="S238"/>
        </row>
        <row r="239">
          <cell r="A239"/>
          <cell r="C239"/>
          <cell r="E239"/>
          <cell r="F239"/>
          <cell r="O239"/>
          <cell r="R239"/>
          <cell r="S239"/>
        </row>
        <row r="240">
          <cell r="A240"/>
          <cell r="C240"/>
          <cell r="E240"/>
          <cell r="F240"/>
          <cell r="O240"/>
          <cell r="R240"/>
          <cell r="S240"/>
        </row>
        <row r="241">
          <cell r="A241"/>
          <cell r="C241"/>
          <cell r="E241"/>
          <cell r="F241"/>
          <cell r="O241"/>
          <cell r="R241"/>
          <cell r="S241"/>
        </row>
        <row r="242">
          <cell r="A242"/>
          <cell r="C242"/>
          <cell r="E242"/>
          <cell r="F242"/>
          <cell r="O242"/>
          <cell r="R242"/>
          <cell r="S242"/>
        </row>
        <row r="243">
          <cell r="A243"/>
          <cell r="C243"/>
          <cell r="E243"/>
          <cell r="F243"/>
          <cell r="O243"/>
          <cell r="R243"/>
          <cell r="S243"/>
        </row>
        <row r="244">
          <cell r="A244"/>
          <cell r="C244"/>
          <cell r="E244"/>
          <cell r="F244"/>
          <cell r="O244"/>
          <cell r="R244"/>
          <cell r="S244"/>
        </row>
        <row r="245">
          <cell r="A245"/>
          <cell r="C245"/>
          <cell r="E245"/>
          <cell r="F245"/>
          <cell r="O245"/>
          <cell r="R245"/>
          <cell r="S245"/>
        </row>
        <row r="246">
          <cell r="A246"/>
          <cell r="C246"/>
          <cell r="E246"/>
          <cell r="F246"/>
          <cell r="O246"/>
          <cell r="R246"/>
          <cell r="S246"/>
        </row>
        <row r="247">
          <cell r="A247"/>
          <cell r="C247"/>
          <cell r="E247"/>
          <cell r="F247"/>
          <cell r="O247"/>
          <cell r="R247"/>
          <cell r="S247"/>
        </row>
        <row r="248">
          <cell r="A248"/>
          <cell r="C248"/>
          <cell r="E248"/>
          <cell r="F248"/>
          <cell r="O248"/>
          <cell r="R248"/>
          <cell r="S248"/>
        </row>
        <row r="249">
          <cell r="A249"/>
          <cell r="C249"/>
          <cell r="E249"/>
          <cell r="F249"/>
          <cell r="O249"/>
          <cell r="R249"/>
          <cell r="S249"/>
        </row>
        <row r="250">
          <cell r="A250"/>
          <cell r="C250"/>
          <cell r="E250"/>
          <cell r="F250"/>
          <cell r="O250"/>
          <cell r="R250"/>
          <cell r="S250"/>
        </row>
        <row r="251">
          <cell r="A251"/>
          <cell r="C251"/>
          <cell r="E251"/>
          <cell r="F251"/>
          <cell r="O251"/>
          <cell r="R251"/>
          <cell r="S251"/>
        </row>
        <row r="252">
          <cell r="A252"/>
          <cell r="C252"/>
          <cell r="E252"/>
          <cell r="F252"/>
          <cell r="O252"/>
          <cell r="R252"/>
          <cell r="S252"/>
        </row>
        <row r="253">
          <cell r="A253"/>
          <cell r="C253"/>
          <cell r="E253"/>
          <cell r="F253"/>
          <cell r="O253"/>
          <cell r="R253"/>
          <cell r="S253"/>
        </row>
        <row r="254">
          <cell r="A254"/>
          <cell r="C254"/>
          <cell r="E254"/>
          <cell r="F254"/>
          <cell r="O254"/>
          <cell r="R254"/>
          <cell r="S254"/>
        </row>
        <row r="255">
          <cell r="A255"/>
          <cell r="C255"/>
          <cell r="E255"/>
          <cell r="F255"/>
          <cell r="O255"/>
          <cell r="R255"/>
          <cell r="S255"/>
        </row>
        <row r="256">
          <cell r="A256"/>
          <cell r="C256"/>
          <cell r="E256"/>
          <cell r="F256"/>
          <cell r="O256"/>
          <cell r="R256"/>
          <cell r="S256"/>
        </row>
        <row r="257">
          <cell r="A257"/>
          <cell r="C257"/>
          <cell r="E257"/>
          <cell r="F257"/>
          <cell r="O257"/>
          <cell r="R257"/>
          <cell r="S257"/>
        </row>
        <row r="258">
          <cell r="A258"/>
          <cell r="C258"/>
          <cell r="E258"/>
          <cell r="F258"/>
          <cell r="O258"/>
          <cell r="R258"/>
          <cell r="S258"/>
        </row>
        <row r="259">
          <cell r="A259"/>
          <cell r="C259"/>
          <cell r="E259"/>
          <cell r="F259"/>
          <cell r="O259"/>
          <cell r="R259"/>
          <cell r="S259"/>
        </row>
        <row r="260">
          <cell r="A260"/>
          <cell r="C260"/>
          <cell r="E260"/>
          <cell r="F260"/>
          <cell r="O260"/>
          <cell r="R260"/>
          <cell r="S260"/>
        </row>
        <row r="261">
          <cell r="A261"/>
          <cell r="C261"/>
          <cell r="E261"/>
          <cell r="F261"/>
          <cell r="O261"/>
          <cell r="R261"/>
          <cell r="S261"/>
        </row>
        <row r="262">
          <cell r="A262"/>
          <cell r="C262"/>
          <cell r="E262"/>
          <cell r="F262"/>
          <cell r="O262"/>
          <cell r="R262"/>
          <cell r="S262"/>
        </row>
        <row r="263">
          <cell r="A263"/>
          <cell r="C263"/>
          <cell r="E263"/>
          <cell r="F263"/>
          <cell r="O263"/>
          <cell r="R263"/>
          <cell r="S263"/>
        </row>
        <row r="264">
          <cell r="A264"/>
          <cell r="C264"/>
          <cell r="E264"/>
          <cell r="F264"/>
          <cell r="O264"/>
          <cell r="R264"/>
          <cell r="S264"/>
        </row>
        <row r="265">
          <cell r="A265"/>
          <cell r="C265"/>
          <cell r="E265"/>
          <cell r="F265"/>
          <cell r="O265"/>
          <cell r="R265"/>
          <cell r="S265"/>
        </row>
        <row r="266">
          <cell r="A266"/>
          <cell r="C266"/>
          <cell r="E266"/>
          <cell r="F266"/>
          <cell r="O266"/>
          <cell r="R266"/>
          <cell r="S266"/>
        </row>
        <row r="267">
          <cell r="A267"/>
          <cell r="C267"/>
          <cell r="E267"/>
          <cell r="F267"/>
          <cell r="O267"/>
          <cell r="R267"/>
          <cell r="S267"/>
        </row>
        <row r="268">
          <cell r="A268"/>
          <cell r="C268"/>
          <cell r="E268"/>
          <cell r="F268"/>
          <cell r="O268"/>
          <cell r="R268"/>
          <cell r="S268"/>
        </row>
        <row r="269">
          <cell r="A269"/>
          <cell r="C269"/>
          <cell r="E269"/>
          <cell r="F269"/>
          <cell r="O269"/>
          <cell r="R269"/>
          <cell r="S269"/>
        </row>
        <row r="270">
          <cell r="A270"/>
          <cell r="C270"/>
          <cell r="E270"/>
          <cell r="F270"/>
          <cell r="O270"/>
          <cell r="R270"/>
          <cell r="S270"/>
        </row>
        <row r="271">
          <cell r="A271"/>
          <cell r="C271"/>
          <cell r="E271"/>
          <cell r="F271"/>
          <cell r="O271"/>
          <cell r="R271"/>
          <cell r="S271"/>
        </row>
        <row r="272">
          <cell r="A272"/>
          <cell r="C272"/>
          <cell r="E272"/>
          <cell r="F272"/>
          <cell r="O272"/>
          <cell r="R272"/>
          <cell r="S272"/>
        </row>
        <row r="273">
          <cell r="A273"/>
          <cell r="C273"/>
          <cell r="E273"/>
          <cell r="F273"/>
          <cell r="O273"/>
          <cell r="R273"/>
          <cell r="S273"/>
        </row>
        <row r="274">
          <cell r="A274"/>
          <cell r="C274"/>
          <cell r="E274"/>
          <cell r="F274"/>
          <cell r="O274"/>
          <cell r="R274"/>
          <cell r="S274"/>
        </row>
        <row r="275">
          <cell r="A275"/>
          <cell r="C275"/>
          <cell r="E275"/>
          <cell r="F275"/>
          <cell r="O275"/>
          <cell r="R275"/>
          <cell r="S275"/>
        </row>
        <row r="276">
          <cell r="A276"/>
          <cell r="C276"/>
          <cell r="E276"/>
          <cell r="F276"/>
          <cell r="O276"/>
          <cell r="R276"/>
          <cell r="S276"/>
        </row>
        <row r="277">
          <cell r="A277"/>
          <cell r="C277"/>
          <cell r="E277"/>
          <cell r="F277"/>
          <cell r="O277"/>
          <cell r="R277"/>
          <cell r="S277"/>
        </row>
        <row r="278">
          <cell r="A278"/>
          <cell r="C278"/>
          <cell r="E278"/>
          <cell r="F278"/>
          <cell r="O278"/>
          <cell r="R278"/>
          <cell r="S278"/>
        </row>
        <row r="279">
          <cell r="A279"/>
          <cell r="C279"/>
          <cell r="E279"/>
          <cell r="F279"/>
          <cell r="O279"/>
          <cell r="R279"/>
          <cell r="S279"/>
        </row>
        <row r="280">
          <cell r="A280"/>
          <cell r="C280"/>
          <cell r="E280"/>
          <cell r="F280"/>
          <cell r="O280"/>
          <cell r="R280"/>
          <cell r="S280"/>
        </row>
        <row r="281">
          <cell r="A281"/>
          <cell r="C281"/>
          <cell r="E281"/>
          <cell r="F281"/>
          <cell r="O281"/>
          <cell r="R281"/>
          <cell r="S281"/>
        </row>
        <row r="282">
          <cell r="A282"/>
          <cell r="C282"/>
          <cell r="E282"/>
          <cell r="F282"/>
          <cell r="O282"/>
          <cell r="R282"/>
          <cell r="S282"/>
        </row>
        <row r="283">
          <cell r="A283"/>
          <cell r="C283"/>
          <cell r="E283"/>
          <cell r="F283"/>
          <cell r="O283"/>
          <cell r="R283"/>
          <cell r="S283"/>
        </row>
        <row r="284">
          <cell r="A284"/>
          <cell r="C284"/>
          <cell r="E284"/>
          <cell r="F284"/>
          <cell r="O284"/>
          <cell r="R284"/>
          <cell r="S284"/>
        </row>
        <row r="285">
          <cell r="A285"/>
          <cell r="C285"/>
          <cell r="E285"/>
          <cell r="F285"/>
          <cell r="O285"/>
          <cell r="R285"/>
          <cell r="S285"/>
        </row>
        <row r="286">
          <cell r="A286"/>
          <cell r="C286"/>
          <cell r="E286"/>
          <cell r="F286"/>
          <cell r="O286"/>
          <cell r="R286"/>
          <cell r="S286"/>
        </row>
        <row r="287">
          <cell r="A287"/>
          <cell r="C287"/>
          <cell r="E287"/>
          <cell r="F287"/>
          <cell r="O287"/>
          <cell r="R287"/>
          <cell r="S287"/>
        </row>
        <row r="288">
          <cell r="A288"/>
          <cell r="C288"/>
          <cell r="E288"/>
          <cell r="F288"/>
          <cell r="O288"/>
          <cell r="R288"/>
          <cell r="S288"/>
        </row>
        <row r="289">
          <cell r="A289"/>
          <cell r="C289"/>
          <cell r="E289"/>
          <cell r="F289"/>
          <cell r="O289"/>
          <cell r="R289"/>
          <cell r="S289"/>
        </row>
        <row r="290">
          <cell r="A290"/>
          <cell r="C290"/>
          <cell r="E290"/>
          <cell r="F290"/>
          <cell r="O290"/>
          <cell r="R290"/>
          <cell r="S290"/>
        </row>
        <row r="291">
          <cell r="A291"/>
          <cell r="C291"/>
          <cell r="E291"/>
          <cell r="F291"/>
          <cell r="O291"/>
          <cell r="R291"/>
          <cell r="S291"/>
        </row>
        <row r="292">
          <cell r="A292"/>
          <cell r="C292"/>
          <cell r="E292"/>
          <cell r="F292"/>
          <cell r="O292"/>
          <cell r="R292"/>
          <cell r="S292"/>
        </row>
        <row r="293">
          <cell r="A293"/>
          <cell r="C293"/>
          <cell r="E293"/>
          <cell r="F293"/>
          <cell r="O293"/>
          <cell r="R293"/>
          <cell r="S293"/>
        </row>
        <row r="294">
          <cell r="A294"/>
          <cell r="C294"/>
          <cell r="E294"/>
          <cell r="F294"/>
          <cell r="O294"/>
          <cell r="R294"/>
          <cell r="S294"/>
        </row>
        <row r="295">
          <cell r="A295"/>
          <cell r="C295"/>
          <cell r="E295"/>
          <cell r="F295"/>
          <cell r="O295"/>
          <cell r="R295"/>
          <cell r="S295"/>
        </row>
        <row r="296">
          <cell r="A296"/>
          <cell r="C296"/>
          <cell r="E296"/>
          <cell r="F296"/>
          <cell r="O296"/>
          <cell r="R296"/>
          <cell r="S296"/>
        </row>
        <row r="297">
          <cell r="A297"/>
          <cell r="C297"/>
          <cell r="E297"/>
          <cell r="F297"/>
          <cell r="O297"/>
          <cell r="R297"/>
          <cell r="S297"/>
        </row>
        <row r="298">
          <cell r="A298"/>
          <cell r="C298"/>
          <cell r="E298"/>
          <cell r="F298"/>
          <cell r="O298"/>
          <cell r="R298"/>
          <cell r="S298"/>
        </row>
        <row r="299">
          <cell r="A299"/>
          <cell r="C299"/>
          <cell r="E299"/>
          <cell r="F299"/>
          <cell r="O299"/>
          <cell r="R299"/>
          <cell r="S299"/>
        </row>
        <row r="300">
          <cell r="A300"/>
          <cell r="C300"/>
          <cell r="E300"/>
          <cell r="F300"/>
          <cell r="O300"/>
          <cell r="R300"/>
          <cell r="S300"/>
        </row>
        <row r="301">
          <cell r="A301"/>
          <cell r="C301"/>
          <cell r="E301"/>
          <cell r="F301"/>
          <cell r="O301"/>
          <cell r="R301"/>
          <cell r="S301"/>
        </row>
        <row r="302">
          <cell r="A302"/>
          <cell r="C302"/>
          <cell r="E302"/>
          <cell r="F302"/>
          <cell r="O302"/>
          <cell r="R302"/>
          <cell r="S302"/>
        </row>
        <row r="303">
          <cell r="A303"/>
          <cell r="C303"/>
          <cell r="E303"/>
          <cell r="F303"/>
          <cell r="O303"/>
          <cell r="R303"/>
          <cell r="S303"/>
        </row>
        <row r="304">
          <cell r="A304"/>
          <cell r="C304"/>
          <cell r="E304"/>
          <cell r="F304"/>
          <cell r="O304"/>
          <cell r="R304"/>
          <cell r="S304"/>
        </row>
        <row r="305">
          <cell r="A305"/>
          <cell r="C305"/>
          <cell r="E305"/>
          <cell r="F305"/>
          <cell r="O305"/>
          <cell r="R305"/>
          <cell r="S305"/>
        </row>
        <row r="306">
          <cell r="A306"/>
          <cell r="C306"/>
          <cell r="E306"/>
          <cell r="F306"/>
          <cell r="O306"/>
          <cell r="R306"/>
          <cell r="S306"/>
        </row>
        <row r="307">
          <cell r="A307"/>
          <cell r="C307"/>
          <cell r="E307"/>
          <cell r="F307"/>
          <cell r="O307"/>
          <cell r="R307"/>
          <cell r="S307"/>
        </row>
        <row r="308">
          <cell r="A308"/>
          <cell r="C308"/>
          <cell r="E308"/>
          <cell r="F308"/>
          <cell r="O308"/>
          <cell r="R308"/>
          <cell r="S308"/>
        </row>
        <row r="309">
          <cell r="A309"/>
          <cell r="C309"/>
          <cell r="E309"/>
          <cell r="F309"/>
          <cell r="O309"/>
          <cell r="R309"/>
          <cell r="S309"/>
        </row>
        <row r="310">
          <cell r="A310"/>
          <cell r="C310"/>
          <cell r="E310"/>
          <cell r="F310"/>
          <cell r="O310"/>
          <cell r="R310"/>
          <cell r="S310"/>
        </row>
        <row r="311">
          <cell r="A311"/>
          <cell r="C311"/>
          <cell r="E311"/>
          <cell r="F311"/>
          <cell r="O311"/>
          <cell r="R311"/>
          <cell r="S311"/>
        </row>
        <row r="312">
          <cell r="A312"/>
          <cell r="C312"/>
          <cell r="E312"/>
          <cell r="F312"/>
          <cell r="O312"/>
          <cell r="R312"/>
          <cell r="S312"/>
        </row>
        <row r="313">
          <cell r="A313"/>
          <cell r="C313"/>
          <cell r="E313"/>
          <cell r="F313"/>
          <cell r="O313"/>
          <cell r="R313"/>
          <cell r="S313"/>
        </row>
        <row r="314">
          <cell r="A314"/>
          <cell r="C314"/>
          <cell r="E314"/>
          <cell r="F314"/>
          <cell r="O314"/>
          <cell r="R314"/>
          <cell r="S314"/>
        </row>
        <row r="315">
          <cell r="A315"/>
          <cell r="C315"/>
          <cell r="E315"/>
          <cell r="F315"/>
          <cell r="O315"/>
          <cell r="R315"/>
          <cell r="S315"/>
        </row>
        <row r="316">
          <cell r="A316"/>
          <cell r="C316"/>
          <cell r="E316"/>
          <cell r="F316"/>
          <cell r="O316"/>
          <cell r="R316"/>
          <cell r="S316"/>
        </row>
        <row r="317">
          <cell r="A317"/>
          <cell r="C317"/>
          <cell r="E317"/>
          <cell r="F317"/>
          <cell r="O317"/>
          <cell r="R317"/>
          <cell r="S317"/>
        </row>
        <row r="318">
          <cell r="A318"/>
          <cell r="C318"/>
          <cell r="E318"/>
          <cell r="F318"/>
          <cell r="O318"/>
          <cell r="R318"/>
          <cell r="S318"/>
        </row>
        <row r="319">
          <cell r="A319"/>
          <cell r="C319"/>
          <cell r="E319"/>
          <cell r="F319"/>
          <cell r="O319"/>
          <cell r="R319"/>
          <cell r="S319"/>
        </row>
        <row r="320">
          <cell r="A320"/>
          <cell r="C320"/>
          <cell r="E320"/>
          <cell r="F320"/>
          <cell r="O320"/>
          <cell r="R320"/>
          <cell r="S320"/>
        </row>
        <row r="321">
          <cell r="A321"/>
          <cell r="C321"/>
          <cell r="E321"/>
          <cell r="F321"/>
          <cell r="O321"/>
          <cell r="R321"/>
          <cell r="S321"/>
        </row>
        <row r="322">
          <cell r="A322"/>
          <cell r="C322"/>
          <cell r="E322"/>
          <cell r="F322"/>
          <cell r="O322"/>
          <cell r="R322"/>
          <cell r="S322"/>
        </row>
        <row r="323">
          <cell r="A323"/>
          <cell r="C323"/>
          <cell r="E323"/>
          <cell r="F323"/>
          <cell r="O323"/>
          <cell r="R323"/>
          <cell r="S323"/>
        </row>
        <row r="324">
          <cell r="A324"/>
          <cell r="C324"/>
          <cell r="E324"/>
          <cell r="F324"/>
          <cell r="O324"/>
          <cell r="R324"/>
          <cell r="S324"/>
        </row>
        <row r="325">
          <cell r="A325"/>
          <cell r="C325"/>
          <cell r="E325"/>
          <cell r="F325"/>
          <cell r="O325"/>
          <cell r="R325"/>
          <cell r="S325"/>
        </row>
        <row r="326">
          <cell r="A326"/>
          <cell r="C326"/>
          <cell r="E326"/>
          <cell r="F326"/>
          <cell r="O326"/>
          <cell r="R326"/>
          <cell r="S326"/>
        </row>
        <row r="327">
          <cell r="A327"/>
          <cell r="C327"/>
          <cell r="E327"/>
          <cell r="F327"/>
          <cell r="O327"/>
          <cell r="R327"/>
          <cell r="S327"/>
        </row>
        <row r="328">
          <cell r="A328"/>
          <cell r="C328"/>
          <cell r="E328"/>
          <cell r="F328"/>
          <cell r="O328"/>
          <cell r="R328"/>
          <cell r="S328"/>
        </row>
        <row r="329">
          <cell r="A329"/>
          <cell r="C329"/>
          <cell r="E329"/>
          <cell r="F329"/>
          <cell r="O329"/>
          <cell r="R329"/>
          <cell r="S329"/>
        </row>
        <row r="330">
          <cell r="A330"/>
          <cell r="C330"/>
          <cell r="E330"/>
          <cell r="F330"/>
          <cell r="O330"/>
          <cell r="R330"/>
          <cell r="S330"/>
        </row>
        <row r="331">
          <cell r="A331"/>
          <cell r="C331"/>
          <cell r="E331"/>
          <cell r="F331"/>
          <cell r="O331"/>
          <cell r="R331"/>
          <cell r="S331"/>
        </row>
        <row r="332">
          <cell r="A332"/>
          <cell r="C332"/>
          <cell r="E332"/>
          <cell r="F332"/>
          <cell r="O332"/>
          <cell r="R332"/>
          <cell r="S332"/>
        </row>
        <row r="333">
          <cell r="A333"/>
          <cell r="C333"/>
          <cell r="E333"/>
          <cell r="F333"/>
          <cell r="O333"/>
          <cell r="R333"/>
          <cell r="S333"/>
        </row>
        <row r="334">
          <cell r="A334"/>
          <cell r="C334"/>
          <cell r="E334"/>
          <cell r="F334"/>
          <cell r="O334"/>
          <cell r="R334"/>
          <cell r="S334"/>
        </row>
        <row r="335">
          <cell r="A335"/>
          <cell r="C335"/>
          <cell r="E335"/>
          <cell r="F335"/>
          <cell r="O335"/>
          <cell r="R335"/>
          <cell r="S335"/>
        </row>
        <row r="336">
          <cell r="A336"/>
          <cell r="C336"/>
          <cell r="E336"/>
          <cell r="F336"/>
          <cell r="O336"/>
          <cell r="R336"/>
          <cell r="S336"/>
        </row>
        <row r="337">
          <cell r="A337"/>
          <cell r="C337"/>
          <cell r="E337"/>
          <cell r="F337"/>
          <cell r="O337"/>
          <cell r="R337"/>
          <cell r="S337"/>
        </row>
        <row r="338">
          <cell r="A338"/>
          <cell r="C338"/>
          <cell r="E338"/>
          <cell r="F338"/>
          <cell r="O338"/>
          <cell r="R338"/>
          <cell r="S338"/>
        </row>
        <row r="339">
          <cell r="A339"/>
          <cell r="C339"/>
          <cell r="E339"/>
          <cell r="F339"/>
          <cell r="O339"/>
          <cell r="R339"/>
          <cell r="S339"/>
        </row>
        <row r="340">
          <cell r="A340"/>
          <cell r="C340"/>
          <cell r="E340"/>
          <cell r="F340"/>
          <cell r="O340"/>
          <cell r="R340"/>
          <cell r="S340"/>
        </row>
        <row r="341">
          <cell r="A341"/>
          <cell r="C341"/>
          <cell r="E341"/>
          <cell r="F341"/>
          <cell r="O341"/>
          <cell r="R341"/>
          <cell r="S341"/>
        </row>
        <row r="342">
          <cell r="A342"/>
          <cell r="C342"/>
          <cell r="E342"/>
          <cell r="F342"/>
          <cell r="O342"/>
          <cell r="R342"/>
          <cell r="S342"/>
        </row>
        <row r="343">
          <cell r="A343"/>
          <cell r="C343"/>
          <cell r="E343"/>
          <cell r="F343"/>
          <cell r="O343"/>
          <cell r="R343"/>
          <cell r="S343"/>
        </row>
        <row r="344">
          <cell r="A344"/>
          <cell r="C344"/>
          <cell r="E344"/>
          <cell r="F344"/>
          <cell r="O344"/>
          <cell r="R344"/>
          <cell r="S344"/>
        </row>
        <row r="345">
          <cell r="A345"/>
          <cell r="C345"/>
          <cell r="E345"/>
          <cell r="F345"/>
          <cell r="O345"/>
          <cell r="R345"/>
          <cell r="S345"/>
        </row>
        <row r="346">
          <cell r="A346"/>
          <cell r="C346"/>
          <cell r="E346"/>
          <cell r="F346"/>
          <cell r="O346"/>
          <cell r="R346"/>
          <cell r="S346"/>
        </row>
        <row r="347">
          <cell r="A347"/>
          <cell r="C347"/>
          <cell r="E347"/>
          <cell r="F347"/>
          <cell r="O347"/>
          <cell r="R347"/>
          <cell r="S347"/>
        </row>
        <row r="348">
          <cell r="A348"/>
          <cell r="C348"/>
          <cell r="E348"/>
          <cell r="F348"/>
          <cell r="O348"/>
          <cell r="R348"/>
          <cell r="S348"/>
        </row>
        <row r="349">
          <cell r="A349"/>
          <cell r="C349"/>
          <cell r="E349"/>
          <cell r="F349"/>
          <cell r="O349"/>
          <cell r="R349"/>
          <cell r="S349"/>
        </row>
        <row r="350">
          <cell r="A350"/>
          <cell r="C350"/>
          <cell r="E350"/>
          <cell r="F350"/>
          <cell r="O350"/>
          <cell r="R350"/>
          <cell r="S350"/>
        </row>
        <row r="351">
          <cell r="A351"/>
          <cell r="C351"/>
          <cell r="E351"/>
          <cell r="F351"/>
          <cell r="O351"/>
          <cell r="R351"/>
          <cell r="S351"/>
        </row>
        <row r="352">
          <cell r="A352"/>
          <cell r="C352"/>
          <cell r="E352"/>
          <cell r="F352"/>
          <cell r="O352"/>
          <cell r="R352"/>
          <cell r="S352"/>
        </row>
        <row r="353">
          <cell r="A353"/>
          <cell r="C353"/>
          <cell r="E353"/>
          <cell r="F353"/>
          <cell r="O353"/>
          <cell r="R353"/>
          <cell r="S353"/>
        </row>
        <row r="354">
          <cell r="A354"/>
          <cell r="C354"/>
          <cell r="E354"/>
          <cell r="F354"/>
          <cell r="O354"/>
          <cell r="R354"/>
          <cell r="S354"/>
        </row>
        <row r="355">
          <cell r="A355"/>
          <cell r="C355"/>
          <cell r="E355"/>
          <cell r="F355"/>
          <cell r="O355"/>
          <cell r="R355"/>
          <cell r="S355"/>
        </row>
        <row r="356">
          <cell r="A356"/>
          <cell r="C356"/>
          <cell r="E356"/>
          <cell r="F356"/>
          <cell r="O356"/>
          <cell r="R356"/>
          <cell r="S356"/>
        </row>
        <row r="357">
          <cell r="A357"/>
          <cell r="C357"/>
          <cell r="E357"/>
          <cell r="F357"/>
          <cell r="O357"/>
          <cell r="R357"/>
          <cell r="S357"/>
        </row>
        <row r="358">
          <cell r="A358"/>
          <cell r="C358"/>
          <cell r="E358"/>
          <cell r="F358"/>
          <cell r="O358"/>
          <cell r="R358"/>
          <cell r="S358"/>
        </row>
        <row r="359">
          <cell r="A359"/>
          <cell r="C359"/>
          <cell r="E359"/>
          <cell r="F359"/>
          <cell r="O359"/>
          <cell r="R359"/>
          <cell r="S359"/>
        </row>
        <row r="360">
          <cell r="A360"/>
          <cell r="C360"/>
          <cell r="E360"/>
          <cell r="F360"/>
          <cell r="O360"/>
          <cell r="R360"/>
          <cell r="S360"/>
        </row>
        <row r="361">
          <cell r="A361"/>
          <cell r="C361"/>
          <cell r="E361"/>
          <cell r="F361"/>
          <cell r="O361"/>
          <cell r="R361"/>
          <cell r="S361"/>
        </row>
        <row r="362">
          <cell r="A362"/>
          <cell r="C362"/>
          <cell r="E362"/>
          <cell r="F362"/>
          <cell r="O362"/>
          <cell r="R362"/>
          <cell r="S362"/>
        </row>
        <row r="363">
          <cell r="A363"/>
          <cell r="C363"/>
          <cell r="E363"/>
          <cell r="F363"/>
          <cell r="O363"/>
          <cell r="R363"/>
          <cell r="S363"/>
        </row>
        <row r="364">
          <cell r="A364"/>
          <cell r="C364"/>
          <cell r="E364"/>
          <cell r="F364"/>
          <cell r="O364"/>
          <cell r="R364"/>
          <cell r="S364"/>
        </row>
        <row r="365">
          <cell r="A365"/>
          <cell r="C365"/>
          <cell r="E365"/>
          <cell r="F365"/>
          <cell r="O365"/>
          <cell r="R365"/>
          <cell r="S365"/>
        </row>
        <row r="366">
          <cell r="A366"/>
          <cell r="C366"/>
          <cell r="E366"/>
          <cell r="F366"/>
          <cell r="O366"/>
          <cell r="R366"/>
          <cell r="S366"/>
        </row>
        <row r="367">
          <cell r="A367"/>
          <cell r="C367"/>
          <cell r="E367"/>
          <cell r="F367"/>
          <cell r="O367"/>
          <cell r="R367"/>
          <cell r="S367"/>
        </row>
        <row r="368">
          <cell r="A368"/>
          <cell r="C368"/>
          <cell r="E368"/>
          <cell r="F368"/>
          <cell r="O368"/>
          <cell r="R368"/>
          <cell r="S368"/>
        </row>
        <row r="369">
          <cell r="A369"/>
          <cell r="C369"/>
          <cell r="E369"/>
          <cell r="F369"/>
          <cell r="O369"/>
          <cell r="R369"/>
          <cell r="S369"/>
        </row>
        <row r="370">
          <cell r="A370"/>
          <cell r="C370"/>
          <cell r="E370"/>
          <cell r="F370"/>
          <cell r="O370"/>
          <cell r="R370"/>
          <cell r="S370"/>
        </row>
        <row r="371">
          <cell r="A371"/>
          <cell r="C371"/>
          <cell r="E371"/>
          <cell r="F371"/>
          <cell r="O371"/>
          <cell r="R371"/>
          <cell r="S371"/>
        </row>
        <row r="372">
          <cell r="A372"/>
          <cell r="C372"/>
          <cell r="E372"/>
          <cell r="F372"/>
          <cell r="O372"/>
          <cell r="R372"/>
          <cell r="S372"/>
        </row>
        <row r="373">
          <cell r="A373"/>
          <cell r="C373"/>
          <cell r="E373"/>
          <cell r="F373"/>
          <cell r="O373"/>
          <cell r="R373"/>
          <cell r="S373"/>
        </row>
        <row r="374">
          <cell r="A374"/>
          <cell r="C374"/>
          <cell r="E374"/>
          <cell r="F374"/>
          <cell r="O374"/>
          <cell r="R374"/>
          <cell r="S374"/>
        </row>
        <row r="375">
          <cell r="A375"/>
          <cell r="C375"/>
          <cell r="E375"/>
          <cell r="F375"/>
          <cell r="O375"/>
          <cell r="R375"/>
          <cell r="S375"/>
        </row>
        <row r="376">
          <cell r="A376"/>
          <cell r="C376"/>
          <cell r="E376"/>
          <cell r="F376"/>
          <cell r="O376"/>
          <cell r="R376"/>
          <cell r="S376"/>
        </row>
        <row r="377">
          <cell r="A377"/>
          <cell r="C377"/>
          <cell r="E377"/>
          <cell r="F377"/>
          <cell r="O377"/>
          <cell r="R377"/>
          <cell r="S377"/>
        </row>
        <row r="378">
          <cell r="A378"/>
          <cell r="C378"/>
          <cell r="E378"/>
          <cell r="F378"/>
          <cell r="O378"/>
          <cell r="R378"/>
          <cell r="S378"/>
        </row>
        <row r="379">
          <cell r="A379"/>
          <cell r="C379"/>
          <cell r="E379"/>
          <cell r="F379"/>
          <cell r="O379"/>
          <cell r="R379"/>
          <cell r="S379"/>
        </row>
        <row r="380">
          <cell r="A380"/>
          <cell r="C380"/>
          <cell r="E380"/>
          <cell r="F380"/>
          <cell r="O380"/>
          <cell r="R380"/>
          <cell r="S380"/>
        </row>
        <row r="381">
          <cell r="A381"/>
          <cell r="C381"/>
          <cell r="E381"/>
          <cell r="F381"/>
          <cell r="O381"/>
          <cell r="R381"/>
          <cell r="S381"/>
        </row>
        <row r="382">
          <cell r="A382"/>
          <cell r="C382"/>
          <cell r="E382"/>
          <cell r="F382"/>
          <cell r="O382"/>
          <cell r="R382"/>
          <cell r="S382"/>
        </row>
        <row r="383">
          <cell r="A383"/>
          <cell r="C383"/>
          <cell r="E383"/>
          <cell r="F383"/>
          <cell r="O383"/>
          <cell r="R383"/>
          <cell r="S383"/>
        </row>
        <row r="384">
          <cell r="A384"/>
          <cell r="C384"/>
          <cell r="E384"/>
          <cell r="F384"/>
          <cell r="O384"/>
          <cell r="R384"/>
          <cell r="S384"/>
        </row>
        <row r="385">
          <cell r="A385"/>
          <cell r="C385"/>
          <cell r="E385"/>
          <cell r="F385"/>
          <cell r="O385"/>
          <cell r="R385"/>
          <cell r="S385"/>
        </row>
        <row r="386">
          <cell r="A386"/>
          <cell r="C386"/>
          <cell r="E386"/>
          <cell r="F386"/>
          <cell r="O386"/>
          <cell r="R386"/>
          <cell r="S386"/>
        </row>
        <row r="387">
          <cell r="A387"/>
          <cell r="C387"/>
          <cell r="E387"/>
          <cell r="F387"/>
          <cell r="O387"/>
          <cell r="R387"/>
          <cell r="S387"/>
        </row>
        <row r="388">
          <cell r="A388"/>
          <cell r="C388"/>
          <cell r="E388"/>
          <cell r="F388"/>
          <cell r="O388"/>
          <cell r="R388"/>
          <cell r="S388"/>
        </row>
        <row r="389">
          <cell r="A389"/>
          <cell r="C389"/>
          <cell r="E389"/>
          <cell r="F389"/>
          <cell r="O389"/>
          <cell r="R389"/>
          <cell r="S389"/>
        </row>
        <row r="390">
          <cell r="A390"/>
          <cell r="C390"/>
          <cell r="E390"/>
          <cell r="F390"/>
          <cell r="O390"/>
          <cell r="R390"/>
          <cell r="S390"/>
        </row>
        <row r="391">
          <cell r="A391"/>
          <cell r="C391"/>
          <cell r="E391"/>
          <cell r="F391"/>
          <cell r="O391"/>
          <cell r="R391"/>
          <cell r="S391"/>
        </row>
        <row r="392">
          <cell r="A392"/>
          <cell r="C392"/>
          <cell r="E392"/>
          <cell r="F392"/>
          <cell r="O392"/>
          <cell r="R392"/>
          <cell r="S392"/>
        </row>
        <row r="393">
          <cell r="A393"/>
          <cell r="C393"/>
          <cell r="E393"/>
          <cell r="F393"/>
          <cell r="O393"/>
          <cell r="R393"/>
          <cell r="S393"/>
        </row>
        <row r="394">
          <cell r="A394"/>
          <cell r="C394"/>
          <cell r="E394"/>
          <cell r="F394"/>
          <cell r="O394"/>
          <cell r="R394"/>
          <cell r="S394"/>
        </row>
        <row r="395">
          <cell r="A395"/>
          <cell r="C395"/>
          <cell r="E395"/>
          <cell r="F395"/>
          <cell r="O395"/>
          <cell r="R395"/>
          <cell r="S395"/>
        </row>
        <row r="396">
          <cell r="A396"/>
          <cell r="C396"/>
          <cell r="E396"/>
          <cell r="F396"/>
          <cell r="O396"/>
          <cell r="R396"/>
          <cell r="S396"/>
        </row>
        <row r="397">
          <cell r="A397"/>
          <cell r="C397"/>
          <cell r="E397"/>
          <cell r="F397"/>
          <cell r="O397"/>
          <cell r="R397"/>
          <cell r="S397"/>
        </row>
        <row r="398">
          <cell r="A398"/>
          <cell r="C398"/>
          <cell r="E398"/>
          <cell r="F398"/>
          <cell r="O398"/>
          <cell r="R398"/>
          <cell r="S398"/>
        </row>
        <row r="399">
          <cell r="A399"/>
          <cell r="C399"/>
          <cell r="E399"/>
          <cell r="F399"/>
          <cell r="O399"/>
          <cell r="R399"/>
          <cell r="S399"/>
        </row>
        <row r="400">
          <cell r="A400"/>
          <cell r="C400"/>
          <cell r="E400"/>
          <cell r="F400"/>
          <cell r="O400"/>
          <cell r="R400"/>
          <cell r="S400"/>
        </row>
        <row r="401">
          <cell r="A401"/>
          <cell r="C401"/>
          <cell r="E401"/>
          <cell r="F401"/>
          <cell r="O401"/>
          <cell r="R401"/>
          <cell r="S401"/>
        </row>
        <row r="402">
          <cell r="A402"/>
          <cell r="C402"/>
          <cell r="E402"/>
          <cell r="F402"/>
          <cell r="O402"/>
          <cell r="R402"/>
          <cell r="S402"/>
        </row>
        <row r="403">
          <cell r="A403"/>
          <cell r="C403"/>
          <cell r="E403"/>
          <cell r="F403"/>
          <cell r="O403"/>
          <cell r="R403"/>
          <cell r="S403"/>
        </row>
        <row r="404">
          <cell r="A404"/>
          <cell r="C404"/>
          <cell r="E404"/>
          <cell r="F404"/>
          <cell r="O404"/>
          <cell r="R404"/>
          <cell r="S404"/>
        </row>
        <row r="405">
          <cell r="A405"/>
          <cell r="C405"/>
          <cell r="E405"/>
          <cell r="F405"/>
          <cell r="O405"/>
          <cell r="R405"/>
          <cell r="S405"/>
        </row>
        <row r="406">
          <cell r="A406"/>
          <cell r="C406"/>
          <cell r="E406"/>
          <cell r="F406"/>
          <cell r="O406"/>
          <cell r="R406"/>
          <cell r="S406"/>
        </row>
        <row r="407">
          <cell r="A407"/>
          <cell r="C407"/>
          <cell r="E407"/>
          <cell r="F407"/>
          <cell r="O407"/>
          <cell r="R407"/>
          <cell r="S407"/>
        </row>
        <row r="408">
          <cell r="A408"/>
          <cell r="C408"/>
          <cell r="E408"/>
          <cell r="F408"/>
          <cell r="O408"/>
          <cell r="R408"/>
          <cell r="S408"/>
        </row>
        <row r="409">
          <cell r="A409"/>
          <cell r="C409"/>
          <cell r="E409"/>
          <cell r="F409"/>
          <cell r="O409"/>
          <cell r="R409"/>
          <cell r="S409"/>
        </row>
        <row r="410">
          <cell r="A410"/>
          <cell r="C410"/>
          <cell r="E410"/>
          <cell r="F410"/>
          <cell r="O410"/>
          <cell r="R410"/>
          <cell r="S410"/>
        </row>
        <row r="411">
          <cell r="A411"/>
          <cell r="C411"/>
          <cell r="E411"/>
          <cell r="F411"/>
          <cell r="O411"/>
          <cell r="R411"/>
          <cell r="S411"/>
        </row>
        <row r="412">
          <cell r="A412"/>
          <cell r="C412"/>
          <cell r="E412"/>
          <cell r="F412"/>
          <cell r="O412"/>
          <cell r="R412"/>
          <cell r="S412"/>
        </row>
        <row r="413">
          <cell r="A413"/>
          <cell r="C413"/>
          <cell r="E413"/>
          <cell r="F413"/>
          <cell r="O413"/>
          <cell r="R413"/>
          <cell r="S413"/>
        </row>
        <row r="414">
          <cell r="A414"/>
          <cell r="C414"/>
          <cell r="E414"/>
          <cell r="F414"/>
          <cell r="O414"/>
          <cell r="R414"/>
          <cell r="S414"/>
        </row>
        <row r="415">
          <cell r="A415"/>
          <cell r="C415"/>
          <cell r="E415"/>
          <cell r="F415"/>
          <cell r="O415"/>
          <cell r="R415"/>
          <cell r="S415"/>
        </row>
        <row r="416">
          <cell r="A416"/>
          <cell r="C416"/>
          <cell r="E416"/>
          <cell r="F416"/>
          <cell r="O416"/>
          <cell r="R416"/>
          <cell r="S416"/>
        </row>
        <row r="417">
          <cell r="A417"/>
          <cell r="C417"/>
          <cell r="E417"/>
          <cell r="F417"/>
          <cell r="O417"/>
          <cell r="R417"/>
          <cell r="S417"/>
        </row>
        <row r="418">
          <cell r="A418"/>
          <cell r="C418"/>
          <cell r="E418"/>
          <cell r="F418"/>
          <cell r="O418"/>
          <cell r="R418"/>
          <cell r="S418"/>
        </row>
        <row r="419">
          <cell r="A419"/>
          <cell r="C419"/>
          <cell r="E419"/>
          <cell r="F419"/>
          <cell r="O419"/>
          <cell r="R419"/>
          <cell r="S419"/>
        </row>
        <row r="420">
          <cell r="A420"/>
          <cell r="C420"/>
          <cell r="E420"/>
          <cell r="F420"/>
          <cell r="O420"/>
          <cell r="R420"/>
          <cell r="S420"/>
        </row>
        <row r="421">
          <cell r="A421"/>
          <cell r="C421"/>
          <cell r="E421"/>
          <cell r="F421"/>
          <cell r="O421"/>
          <cell r="R421"/>
          <cell r="S421"/>
        </row>
        <row r="422">
          <cell r="A422"/>
          <cell r="C422"/>
          <cell r="E422"/>
          <cell r="F422"/>
          <cell r="O422"/>
          <cell r="R422"/>
          <cell r="S422"/>
        </row>
        <row r="423">
          <cell r="A423"/>
          <cell r="C423"/>
          <cell r="E423"/>
          <cell r="F423"/>
          <cell r="O423"/>
          <cell r="R423"/>
          <cell r="S423"/>
        </row>
        <row r="424">
          <cell r="A424"/>
          <cell r="C424"/>
          <cell r="E424"/>
          <cell r="F424"/>
          <cell r="O424"/>
          <cell r="R424"/>
          <cell r="S424"/>
        </row>
        <row r="425">
          <cell r="A425"/>
          <cell r="C425"/>
          <cell r="E425"/>
          <cell r="F425"/>
          <cell r="O425"/>
          <cell r="R425"/>
          <cell r="S425"/>
        </row>
        <row r="426">
          <cell r="A426"/>
          <cell r="C426"/>
          <cell r="E426"/>
          <cell r="F426"/>
          <cell r="O426"/>
          <cell r="R426"/>
          <cell r="S426"/>
        </row>
        <row r="427">
          <cell r="A427"/>
          <cell r="C427"/>
          <cell r="E427"/>
          <cell r="F427"/>
          <cell r="O427"/>
          <cell r="R427"/>
          <cell r="S427"/>
        </row>
        <row r="428">
          <cell r="A428"/>
          <cell r="C428"/>
          <cell r="E428"/>
          <cell r="F428"/>
          <cell r="O428"/>
          <cell r="R428"/>
          <cell r="S428"/>
        </row>
        <row r="429">
          <cell r="A429"/>
          <cell r="C429"/>
          <cell r="E429"/>
          <cell r="F429"/>
          <cell r="O429"/>
          <cell r="R429"/>
          <cell r="S429"/>
        </row>
        <row r="430">
          <cell r="A430"/>
          <cell r="C430"/>
          <cell r="E430"/>
          <cell r="F430"/>
          <cell r="O430"/>
          <cell r="R430"/>
          <cell r="S430"/>
        </row>
        <row r="431">
          <cell r="A431"/>
          <cell r="C431"/>
          <cell r="E431"/>
          <cell r="F431"/>
          <cell r="O431"/>
          <cell r="R431"/>
          <cell r="S431"/>
        </row>
        <row r="432">
          <cell r="A432"/>
          <cell r="C432"/>
          <cell r="E432"/>
          <cell r="F432"/>
          <cell r="O432"/>
          <cell r="R432"/>
          <cell r="S432"/>
        </row>
        <row r="433">
          <cell r="A433"/>
          <cell r="C433"/>
          <cell r="E433"/>
          <cell r="F433"/>
          <cell r="O433"/>
          <cell r="R433"/>
          <cell r="S433"/>
        </row>
        <row r="434">
          <cell r="A434"/>
          <cell r="C434"/>
          <cell r="E434"/>
          <cell r="F434"/>
          <cell r="O434"/>
          <cell r="R434"/>
          <cell r="S434"/>
        </row>
        <row r="435">
          <cell r="A435"/>
          <cell r="C435"/>
          <cell r="E435"/>
          <cell r="F435"/>
          <cell r="O435"/>
          <cell r="R435"/>
          <cell r="S435"/>
        </row>
        <row r="436">
          <cell r="A436"/>
          <cell r="C436"/>
          <cell r="E436"/>
          <cell r="F436"/>
          <cell r="O436"/>
          <cell r="R436"/>
          <cell r="S436"/>
        </row>
        <row r="437">
          <cell r="A437"/>
          <cell r="C437"/>
          <cell r="E437"/>
          <cell r="F437"/>
          <cell r="O437"/>
          <cell r="R437"/>
          <cell r="S437"/>
        </row>
        <row r="438">
          <cell r="A438"/>
          <cell r="C438"/>
          <cell r="E438"/>
          <cell r="F438"/>
          <cell r="O438"/>
          <cell r="R438"/>
          <cell r="S438"/>
        </row>
        <row r="439">
          <cell r="A439"/>
          <cell r="C439"/>
          <cell r="E439"/>
          <cell r="F439"/>
          <cell r="O439"/>
          <cell r="R439"/>
          <cell r="S439"/>
        </row>
        <row r="440">
          <cell r="A440"/>
          <cell r="C440"/>
          <cell r="E440"/>
          <cell r="F440"/>
          <cell r="O440"/>
          <cell r="R440"/>
          <cell r="S440"/>
        </row>
        <row r="441">
          <cell r="A441"/>
          <cell r="C441"/>
          <cell r="E441"/>
          <cell r="F441"/>
          <cell r="O441"/>
          <cell r="R441"/>
          <cell r="S441"/>
        </row>
        <row r="442">
          <cell r="A442"/>
          <cell r="C442"/>
          <cell r="E442"/>
          <cell r="F442"/>
          <cell r="O442"/>
          <cell r="R442"/>
          <cell r="S442"/>
        </row>
        <row r="443">
          <cell r="A443"/>
          <cell r="C443"/>
          <cell r="E443"/>
          <cell r="F443"/>
          <cell r="O443"/>
          <cell r="R443"/>
          <cell r="S443"/>
        </row>
        <row r="444">
          <cell r="A444"/>
          <cell r="C444"/>
          <cell r="E444"/>
          <cell r="F444"/>
          <cell r="O444"/>
          <cell r="R444"/>
          <cell r="S444"/>
        </row>
        <row r="445">
          <cell r="A445"/>
          <cell r="C445"/>
          <cell r="E445"/>
          <cell r="F445"/>
          <cell r="O445"/>
          <cell r="R445"/>
          <cell r="S445"/>
        </row>
        <row r="446">
          <cell r="A446"/>
          <cell r="C446"/>
          <cell r="E446"/>
          <cell r="F446"/>
          <cell r="O446"/>
          <cell r="R446"/>
          <cell r="S446"/>
        </row>
        <row r="447">
          <cell r="A447"/>
          <cell r="C447"/>
          <cell r="E447"/>
          <cell r="F447"/>
          <cell r="O447"/>
          <cell r="R447"/>
          <cell r="S447"/>
        </row>
        <row r="448">
          <cell r="A448"/>
          <cell r="C448"/>
          <cell r="E448"/>
          <cell r="F448"/>
          <cell r="O448"/>
          <cell r="R448"/>
          <cell r="S448"/>
        </row>
        <row r="449">
          <cell r="A449"/>
          <cell r="C449"/>
          <cell r="E449"/>
          <cell r="F449"/>
          <cell r="O449"/>
          <cell r="R449"/>
          <cell r="S449"/>
        </row>
        <row r="450">
          <cell r="A450"/>
          <cell r="C450"/>
          <cell r="E450"/>
          <cell r="F450"/>
          <cell r="O450"/>
          <cell r="R450"/>
          <cell r="S450"/>
        </row>
        <row r="451">
          <cell r="A451"/>
          <cell r="C451"/>
          <cell r="E451"/>
          <cell r="F451"/>
          <cell r="O451"/>
          <cell r="R451"/>
          <cell r="S451"/>
        </row>
        <row r="452">
          <cell r="A452"/>
          <cell r="C452"/>
          <cell r="E452"/>
          <cell r="F452"/>
          <cell r="O452"/>
          <cell r="R452"/>
          <cell r="S452"/>
        </row>
        <row r="453">
          <cell r="A453"/>
          <cell r="C453"/>
          <cell r="E453"/>
          <cell r="F453"/>
          <cell r="O453"/>
          <cell r="R453"/>
          <cell r="S453"/>
        </row>
        <row r="454">
          <cell r="A454"/>
          <cell r="C454"/>
          <cell r="E454"/>
          <cell r="F454"/>
          <cell r="O454"/>
          <cell r="R454"/>
          <cell r="S454"/>
        </row>
        <row r="455">
          <cell r="A455"/>
          <cell r="C455"/>
          <cell r="E455"/>
          <cell r="F455"/>
          <cell r="O455"/>
          <cell r="R455"/>
          <cell r="S455"/>
        </row>
        <row r="456">
          <cell r="A456"/>
          <cell r="C456"/>
          <cell r="E456"/>
          <cell r="F456"/>
          <cell r="O456"/>
          <cell r="R456"/>
          <cell r="S456"/>
        </row>
        <row r="457">
          <cell r="A457"/>
          <cell r="C457"/>
          <cell r="E457"/>
          <cell r="F457"/>
          <cell r="O457"/>
          <cell r="R457"/>
          <cell r="S457"/>
        </row>
        <row r="458">
          <cell r="A458"/>
          <cell r="C458"/>
          <cell r="E458"/>
          <cell r="F458"/>
          <cell r="O458"/>
          <cell r="R458"/>
          <cell r="S458"/>
        </row>
        <row r="459">
          <cell r="A459"/>
          <cell r="C459"/>
          <cell r="E459"/>
          <cell r="F459"/>
          <cell r="O459"/>
          <cell r="R459"/>
          <cell r="S459"/>
        </row>
        <row r="460">
          <cell r="A460"/>
          <cell r="C460"/>
          <cell r="E460"/>
          <cell r="F460"/>
          <cell r="O460"/>
          <cell r="R460"/>
          <cell r="S460"/>
        </row>
        <row r="461">
          <cell r="A461"/>
          <cell r="C461"/>
          <cell r="E461"/>
          <cell r="F461"/>
          <cell r="O461"/>
          <cell r="R461"/>
          <cell r="S461"/>
        </row>
        <row r="462">
          <cell r="A462"/>
          <cell r="C462"/>
          <cell r="E462"/>
          <cell r="F462"/>
          <cell r="O462"/>
          <cell r="R462"/>
          <cell r="S462"/>
        </row>
        <row r="463">
          <cell r="A463"/>
          <cell r="C463"/>
          <cell r="E463"/>
          <cell r="F463"/>
          <cell r="O463"/>
          <cell r="R463"/>
          <cell r="S463"/>
        </row>
        <row r="464">
          <cell r="A464"/>
          <cell r="C464"/>
          <cell r="E464"/>
          <cell r="F464"/>
          <cell r="O464"/>
          <cell r="R464"/>
          <cell r="S464"/>
        </row>
        <row r="465">
          <cell r="A465"/>
          <cell r="C465"/>
          <cell r="E465"/>
          <cell r="F465"/>
          <cell r="O465"/>
          <cell r="R465"/>
          <cell r="S465"/>
        </row>
        <row r="466">
          <cell r="A466"/>
          <cell r="C466"/>
          <cell r="E466"/>
          <cell r="F466"/>
          <cell r="O466"/>
          <cell r="R466"/>
          <cell r="S466"/>
        </row>
        <row r="467">
          <cell r="A467"/>
          <cell r="C467"/>
          <cell r="E467"/>
          <cell r="F467"/>
          <cell r="O467"/>
          <cell r="R467"/>
          <cell r="S467"/>
        </row>
        <row r="468">
          <cell r="A468"/>
          <cell r="C468"/>
          <cell r="E468"/>
          <cell r="F468"/>
          <cell r="O468"/>
          <cell r="R468"/>
          <cell r="S468"/>
        </row>
        <row r="469">
          <cell r="A469"/>
          <cell r="C469"/>
          <cell r="E469"/>
          <cell r="F469"/>
          <cell r="O469"/>
          <cell r="R469"/>
          <cell r="S469"/>
        </row>
        <row r="470">
          <cell r="A470"/>
          <cell r="C470"/>
          <cell r="E470"/>
          <cell r="F470"/>
          <cell r="O470"/>
          <cell r="R470"/>
          <cell r="S470"/>
        </row>
        <row r="471">
          <cell r="A471"/>
          <cell r="C471"/>
          <cell r="E471"/>
          <cell r="F471"/>
          <cell r="O471"/>
          <cell r="R471"/>
          <cell r="S471"/>
        </row>
        <row r="472">
          <cell r="A472"/>
          <cell r="C472"/>
          <cell r="E472"/>
          <cell r="F472"/>
          <cell r="O472"/>
          <cell r="R472"/>
          <cell r="S472"/>
        </row>
        <row r="473">
          <cell r="A473"/>
          <cell r="C473"/>
          <cell r="E473"/>
          <cell r="F473"/>
          <cell r="O473"/>
          <cell r="R473"/>
          <cell r="S473"/>
        </row>
        <row r="474">
          <cell r="A474"/>
          <cell r="C474"/>
          <cell r="E474"/>
          <cell r="F474"/>
          <cell r="O474"/>
          <cell r="R474"/>
          <cell r="S474"/>
        </row>
        <row r="475">
          <cell r="A475"/>
          <cell r="C475"/>
          <cell r="E475"/>
          <cell r="F475"/>
          <cell r="O475"/>
          <cell r="R475"/>
          <cell r="S475"/>
        </row>
        <row r="476">
          <cell r="A476"/>
          <cell r="C476"/>
          <cell r="E476"/>
          <cell r="F476"/>
          <cell r="O476"/>
          <cell r="R476"/>
          <cell r="S476"/>
        </row>
        <row r="477">
          <cell r="A477"/>
          <cell r="C477"/>
          <cell r="E477"/>
          <cell r="F477"/>
          <cell r="O477"/>
          <cell r="R477"/>
          <cell r="S477"/>
        </row>
        <row r="478">
          <cell r="A478"/>
          <cell r="C478"/>
          <cell r="E478"/>
          <cell r="F478"/>
          <cell r="O478"/>
          <cell r="R478"/>
          <cell r="S478"/>
        </row>
        <row r="479">
          <cell r="A479"/>
          <cell r="C479"/>
          <cell r="E479"/>
          <cell r="F479"/>
          <cell r="O479"/>
          <cell r="R479"/>
          <cell r="S479"/>
        </row>
        <row r="480">
          <cell r="A480"/>
          <cell r="C480"/>
          <cell r="E480"/>
          <cell r="F480"/>
          <cell r="O480"/>
          <cell r="R480"/>
          <cell r="S480"/>
        </row>
        <row r="481">
          <cell r="A481"/>
          <cell r="C481"/>
          <cell r="E481"/>
          <cell r="F481"/>
          <cell r="O481"/>
          <cell r="R481"/>
          <cell r="S481"/>
        </row>
        <row r="482">
          <cell r="A482"/>
          <cell r="C482"/>
          <cell r="E482"/>
          <cell r="F482"/>
          <cell r="O482"/>
          <cell r="R482"/>
          <cell r="S482"/>
        </row>
        <row r="483">
          <cell r="A483"/>
          <cell r="C483"/>
          <cell r="E483"/>
          <cell r="F483"/>
          <cell r="O483"/>
          <cell r="R483"/>
          <cell r="S483"/>
        </row>
        <row r="484">
          <cell r="A484"/>
          <cell r="C484"/>
          <cell r="E484"/>
          <cell r="F484"/>
          <cell r="O484"/>
          <cell r="R484"/>
          <cell r="S484"/>
        </row>
        <row r="485">
          <cell r="A485"/>
          <cell r="C485"/>
          <cell r="E485"/>
          <cell r="F485"/>
          <cell r="O485"/>
          <cell r="R485"/>
          <cell r="S485"/>
        </row>
      </sheetData>
      <sheetData sheetId="1">
        <row r="3">
          <cell r="B3" t="str">
            <v>Cotton</v>
          </cell>
          <cell r="C3" t="str">
            <v>Paddy</v>
          </cell>
          <cell r="D3" t="str">
            <v>Maize</v>
          </cell>
          <cell r="E3" t="str">
            <v>Wheat</v>
          </cell>
          <cell r="F3" t="str">
            <v>Redgram</v>
          </cell>
          <cell r="G3" t="str">
            <v>Chickpea</v>
          </cell>
          <cell r="H3" t="str">
            <v>Mustard</v>
          </cell>
          <cell r="I3" t="str">
            <v>Jowar</v>
          </cell>
          <cell r="J3" t="str">
            <v>Chili</v>
          </cell>
          <cell r="K3" t="str">
            <v>Orchard</v>
          </cell>
          <cell r="L3" t="str">
            <v>Groundnut</v>
          </cell>
          <cell r="M3" t="str">
            <v>Potato</v>
          </cell>
          <cell r="N3" t="str">
            <v>Sugarcane</v>
          </cell>
          <cell r="O3" t="str">
            <v>Other Irrigated (High Water Intensive)</v>
          </cell>
          <cell r="P3" t="str">
            <v>Other Irrigated (Less Water Intensive)</v>
          </cell>
          <cell r="Q3" t="str">
            <v>Other Rainfed</v>
          </cell>
          <cell r="R3" t="str">
            <v>Class1</v>
          </cell>
          <cell r="S3" t="str">
            <v>Class2</v>
          </cell>
          <cell r="T3" t="str">
            <v>Class3</v>
          </cell>
          <cell r="U3" t="str">
            <v>Class4</v>
          </cell>
          <cell r="V3" t="str">
            <v>Class5</v>
          </cell>
          <cell r="W3" t="str">
            <v>Class6</v>
          </cell>
          <cell r="X3" t="str">
            <v>Class7</v>
          </cell>
          <cell r="Y3" t="str">
            <v>Class8</v>
          </cell>
          <cell r="Z3" t="str">
            <v>Class9</v>
          </cell>
          <cell r="AA3" t="str">
            <v>Class10</v>
          </cell>
          <cell r="AB3" t="str">
            <v>Class11</v>
          </cell>
          <cell r="AC3" t="str">
            <v>Class12</v>
          </cell>
          <cell r="AD3" t="str">
            <v>Class13</v>
          </cell>
          <cell r="AE3" t="str">
            <v>Class14</v>
          </cell>
          <cell r="AF3" t="str">
            <v>Class15</v>
          </cell>
        </row>
        <row r="32">
          <cell r="B32">
            <v>2</v>
          </cell>
          <cell r="C32">
            <v>2</v>
          </cell>
          <cell r="D32">
            <v>2</v>
          </cell>
          <cell r="E32">
            <v>2</v>
          </cell>
          <cell r="F32">
            <v>2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  <cell r="L32">
            <v>2</v>
          </cell>
          <cell r="M32">
            <v>2</v>
          </cell>
          <cell r="N32">
            <v>2</v>
          </cell>
          <cell r="O32">
            <v>2</v>
          </cell>
          <cell r="P32">
            <v>2</v>
          </cell>
          <cell r="Q32">
            <v>2</v>
          </cell>
          <cell r="R32">
            <v>2</v>
          </cell>
          <cell r="S32">
            <v>2</v>
          </cell>
          <cell r="T32">
            <v>2</v>
          </cell>
          <cell r="U32">
            <v>2</v>
          </cell>
          <cell r="V32">
            <v>2</v>
          </cell>
          <cell r="W32">
            <v>2</v>
          </cell>
          <cell r="X32">
            <v>2</v>
          </cell>
          <cell r="Y32">
            <v>2</v>
          </cell>
          <cell r="Z32">
            <v>2</v>
          </cell>
          <cell r="AA32">
            <v>2</v>
          </cell>
          <cell r="AB32">
            <v>2</v>
          </cell>
          <cell r="AC32">
            <v>2</v>
          </cell>
          <cell r="AD32">
            <v>2</v>
          </cell>
          <cell r="AE32">
            <v>2</v>
          </cell>
          <cell r="AF32">
            <v>2</v>
          </cell>
        </row>
        <row r="33">
          <cell r="B33" t="str">
            <v>Cotton</v>
          </cell>
          <cell r="C33" t="str">
            <v>Paddy</v>
          </cell>
          <cell r="D33" t="str">
            <v>Maize</v>
          </cell>
          <cell r="E33" t="str">
            <v>Wheat</v>
          </cell>
          <cell r="F33" t="str">
            <v>Redgram</v>
          </cell>
          <cell r="G33" t="str">
            <v>Chickpea</v>
          </cell>
          <cell r="H33" t="str">
            <v>Mustard</v>
          </cell>
          <cell r="I33" t="str">
            <v>Jowar</v>
          </cell>
          <cell r="J33" t="str">
            <v>Chili</v>
          </cell>
          <cell r="K33" t="str">
            <v>Orchard</v>
          </cell>
          <cell r="L33" t="str">
            <v>Groundnut</v>
          </cell>
          <cell r="M33" t="str">
            <v>Potato</v>
          </cell>
          <cell r="N33" t="str">
            <v>Sugarcane</v>
          </cell>
          <cell r="O33" t="str">
            <v>Other Irrigated (High Water Intensive)</v>
          </cell>
          <cell r="P33" t="str">
            <v>Other Irrigated (Less Water Intensive)</v>
          </cell>
          <cell r="Q33" t="str">
            <v>Other Rainfed</v>
          </cell>
          <cell r="R33" t="str">
            <v>Class1</v>
          </cell>
          <cell r="S33" t="str">
            <v>Class2</v>
          </cell>
          <cell r="T33" t="str">
            <v>Class3</v>
          </cell>
          <cell r="U33" t="str">
            <v>Class4</v>
          </cell>
          <cell r="V33" t="str">
            <v>Class5</v>
          </cell>
          <cell r="W33" t="str">
            <v>Class6</v>
          </cell>
          <cell r="X33" t="str">
            <v>Class7</v>
          </cell>
          <cell r="Y33" t="str">
            <v>Class8</v>
          </cell>
          <cell r="Z33" t="str">
            <v>Class9</v>
          </cell>
          <cell r="AA33" t="str">
            <v>Class10</v>
          </cell>
          <cell r="AB33" t="str">
            <v>Class11</v>
          </cell>
          <cell r="AC33" t="str">
            <v>Class12</v>
          </cell>
          <cell r="AD33" t="str">
            <v>Class13</v>
          </cell>
          <cell r="AE33" t="str">
            <v>Class14</v>
          </cell>
          <cell r="AF33" t="str">
            <v>Class15</v>
          </cell>
        </row>
        <row r="35">
          <cell r="A35">
            <v>2018</v>
          </cell>
        </row>
        <row r="36">
          <cell r="A36">
            <v>2019</v>
          </cell>
        </row>
        <row r="37">
          <cell r="A37">
            <v>2020</v>
          </cell>
        </row>
        <row r="38">
          <cell r="A38">
            <v>2021</v>
          </cell>
        </row>
        <row r="39">
          <cell r="A39">
            <v>2022</v>
          </cell>
        </row>
        <row r="52">
          <cell r="A52">
            <v>2018</v>
          </cell>
        </row>
        <row r="53">
          <cell r="A53">
            <v>2019</v>
          </cell>
        </row>
        <row r="54">
          <cell r="A54">
            <v>2020</v>
          </cell>
        </row>
        <row r="55">
          <cell r="A55">
            <v>2021</v>
          </cell>
        </row>
        <row r="56">
          <cell r="A56">
            <v>2022</v>
          </cell>
        </row>
        <row r="64">
          <cell r="A64">
            <v>2018</v>
          </cell>
        </row>
        <row r="65">
          <cell r="A65">
            <v>2019</v>
          </cell>
        </row>
        <row r="66">
          <cell r="A66">
            <v>2020</v>
          </cell>
        </row>
        <row r="67">
          <cell r="A67">
            <v>2021</v>
          </cell>
        </row>
        <row r="68">
          <cell r="A68">
            <v>2022</v>
          </cell>
        </row>
        <row r="81">
          <cell r="A81">
            <v>2018</v>
          </cell>
        </row>
        <row r="82">
          <cell r="A82">
            <v>2019</v>
          </cell>
        </row>
        <row r="83">
          <cell r="A83">
            <v>2020</v>
          </cell>
        </row>
        <row r="84">
          <cell r="A84">
            <v>2021</v>
          </cell>
        </row>
        <row r="85">
          <cell r="A85">
            <v>2022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lvan Ragettli" id="{707583BE-95E8-CA4E-B436-90BB95119765}" userId="S::ragettli@hydrosolutions.ch::8f0106a1-bbd9-4cae-a37e-0fec256bd9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4-04-05T08:12:42.56" personId="{707583BE-95E8-CA4E-B436-90BB95119765}" id="{FBCA4655-38AD-F24D-B932-58B922300DD2}">
    <text>Area that was identified as cropped at least once during the 5-year period</text>
  </threadedComment>
  <threadedComment ref="B6" dT="2024-04-05T08:14:00.57" personId="{707583BE-95E8-CA4E-B436-90BB95119765}" id="{C5893B76-CD35-024F-83B7-FF8EEBE87849}">
    <text>Area that was identified as irrigated at least once during the 5-year period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quastat.fao.org/" TargetMode="Externa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C2E5-CD2D-C740-9914-9A317B8BFDFE}">
  <dimension ref="A1:H27"/>
  <sheetViews>
    <sheetView workbookViewId="0">
      <selection activeCell="B2" sqref="B2:B4"/>
    </sheetView>
  </sheetViews>
  <sheetFormatPr defaultColWidth="11.25" defaultRowHeight="15.75" x14ac:dyDescent="0.25"/>
  <cols>
    <col min="2" max="2" width="24.75" bestFit="1" customWidth="1"/>
    <col min="3" max="3" width="56.75" bestFit="1" customWidth="1"/>
    <col min="4" max="4" width="14.25" customWidth="1"/>
    <col min="5" max="5" width="21" bestFit="1" customWidth="1"/>
    <col min="6" max="6" width="39.75" bestFit="1" customWidth="1"/>
  </cols>
  <sheetData>
    <row r="1" spans="1:8" s="3" customFormat="1" ht="18.75" x14ac:dyDescent="0.3"/>
    <row r="2" spans="1:8" ht="18.75" x14ac:dyDescent="0.3">
      <c r="A2" s="39"/>
      <c r="B2" s="40" t="s">
        <v>127</v>
      </c>
      <c r="C2" s="71" t="s">
        <v>173</v>
      </c>
      <c r="D2" s="39"/>
      <c r="E2" s="39"/>
      <c r="F2" s="41" t="s">
        <v>148</v>
      </c>
      <c r="G2" s="39"/>
      <c r="H2" s="39"/>
    </row>
    <row r="3" spans="1:8" x14ac:dyDescent="0.25">
      <c r="B3" t="s">
        <v>166</v>
      </c>
      <c r="C3" s="33">
        <v>17276</v>
      </c>
    </row>
    <row r="4" spans="1:8" x14ac:dyDescent="0.25">
      <c r="B4" t="s">
        <v>167</v>
      </c>
      <c r="C4" s="20">
        <v>30837.7</v>
      </c>
    </row>
    <row r="5" spans="1:8" x14ac:dyDescent="0.25">
      <c r="B5" t="s">
        <v>164</v>
      </c>
      <c r="C5" s="20">
        <v>16663</v>
      </c>
    </row>
    <row r="6" spans="1:8" x14ac:dyDescent="0.25">
      <c r="B6" t="s">
        <v>165</v>
      </c>
      <c r="C6" s="20">
        <v>13657</v>
      </c>
    </row>
    <row r="7" spans="1:8" x14ac:dyDescent="0.25">
      <c r="B7" t="s">
        <v>168</v>
      </c>
      <c r="C7">
        <f>COUNT(_xlfn.UNIQUE(#REF!))</f>
        <v>0</v>
      </c>
      <c r="F7" t="s">
        <v>169</v>
      </c>
    </row>
    <row r="9" spans="1:8" ht="18.75" x14ac:dyDescent="0.3">
      <c r="A9" s="39"/>
      <c r="B9" s="40" t="s">
        <v>128</v>
      </c>
      <c r="C9" s="40" t="s">
        <v>15</v>
      </c>
      <c r="D9" s="36" t="s">
        <v>138</v>
      </c>
      <c r="E9" s="37" t="s">
        <v>139</v>
      </c>
      <c r="F9" s="41" t="s">
        <v>148</v>
      </c>
      <c r="G9" s="39"/>
      <c r="H9" s="39"/>
    </row>
    <row r="10" spans="1:8" x14ac:dyDescent="0.25">
      <c r="B10" s="35" t="s">
        <v>129</v>
      </c>
      <c r="C10" t="s">
        <v>145</v>
      </c>
      <c r="D10" s="4" t="s">
        <v>140</v>
      </c>
      <c r="E10" t="s">
        <v>140</v>
      </c>
    </row>
    <row r="11" spans="1:8" x14ac:dyDescent="0.25">
      <c r="B11" s="35" t="s">
        <v>132</v>
      </c>
      <c r="C11" t="s">
        <v>142</v>
      </c>
      <c r="D11" s="4" t="s">
        <v>140</v>
      </c>
    </row>
    <row r="12" spans="1:8" x14ac:dyDescent="0.25">
      <c r="B12" s="35" t="s">
        <v>133</v>
      </c>
      <c r="C12" t="s">
        <v>141</v>
      </c>
      <c r="D12" s="4" t="s">
        <v>140</v>
      </c>
    </row>
    <row r="13" spans="1:8" x14ac:dyDescent="0.25">
      <c r="B13" s="35" t="s">
        <v>131</v>
      </c>
      <c r="C13" t="s">
        <v>137</v>
      </c>
      <c r="D13" s="4" t="s">
        <v>140</v>
      </c>
      <c r="F13" t="s">
        <v>149</v>
      </c>
      <c r="G13" s="5" t="e">
        <f>#REF!</f>
        <v>#REF!</v>
      </c>
    </row>
    <row r="14" spans="1:8" x14ac:dyDescent="0.25">
      <c r="B14" s="35" t="s">
        <v>130</v>
      </c>
      <c r="C14" t="s">
        <v>143</v>
      </c>
    </row>
    <row r="15" spans="1:8" x14ac:dyDescent="0.25">
      <c r="B15" s="35" t="s">
        <v>134</v>
      </c>
      <c r="C15" t="s">
        <v>144</v>
      </c>
    </row>
    <row r="16" spans="1:8" x14ac:dyDescent="0.25">
      <c r="B16" s="35" t="s">
        <v>135</v>
      </c>
      <c r="C16" t="s">
        <v>146</v>
      </c>
    </row>
    <row r="17" spans="1:8" x14ac:dyDescent="0.25">
      <c r="B17" s="35" t="s">
        <v>136</v>
      </c>
      <c r="C17" t="s">
        <v>136</v>
      </c>
    </row>
    <row r="19" spans="1:8" ht="18.75" x14ac:dyDescent="0.3">
      <c r="A19" s="40"/>
      <c r="B19" s="40" t="s">
        <v>4</v>
      </c>
      <c r="C19" s="40" t="s">
        <v>15</v>
      </c>
      <c r="D19" s="40" t="s">
        <v>11</v>
      </c>
      <c r="E19" s="40" t="s">
        <v>9</v>
      </c>
      <c r="F19" s="40" t="s">
        <v>150</v>
      </c>
      <c r="G19" s="40" t="s">
        <v>7</v>
      </c>
      <c r="H19" s="39"/>
    </row>
    <row r="20" spans="1:8" x14ac:dyDescent="0.25">
      <c r="A20">
        <v>1</v>
      </c>
      <c r="B20" t="s">
        <v>5</v>
      </c>
      <c r="D20" s="1" t="s">
        <v>12</v>
      </c>
      <c r="E20" t="s">
        <v>10</v>
      </c>
      <c r="F20" s="1" t="s">
        <v>151</v>
      </c>
      <c r="G20" t="s">
        <v>171</v>
      </c>
    </row>
    <row r="21" spans="1:8" x14ac:dyDescent="0.25">
      <c r="A21">
        <v>2</v>
      </c>
      <c r="B21" t="s">
        <v>124</v>
      </c>
      <c r="C21" t="s">
        <v>125</v>
      </c>
      <c r="D21" t="s">
        <v>13</v>
      </c>
      <c r="E21" t="s">
        <v>76</v>
      </c>
      <c r="F21" s="1" t="s">
        <v>151</v>
      </c>
      <c r="G21" t="s">
        <v>171</v>
      </c>
    </row>
    <row r="22" spans="1:8" ht="31.5" x14ac:dyDescent="0.25">
      <c r="A22">
        <v>3</v>
      </c>
      <c r="B22" t="s">
        <v>66</v>
      </c>
      <c r="C22" t="s">
        <v>126</v>
      </c>
      <c r="D22" t="s">
        <v>13</v>
      </c>
      <c r="E22" t="s">
        <v>76</v>
      </c>
      <c r="F22" s="2" t="s">
        <v>152</v>
      </c>
      <c r="G22" s="35" t="s">
        <v>153</v>
      </c>
    </row>
    <row r="23" spans="1:8" x14ac:dyDescent="0.25">
      <c r="A23">
        <v>4</v>
      </c>
      <c r="B23" t="s">
        <v>0</v>
      </c>
      <c r="C23" t="s">
        <v>20</v>
      </c>
      <c r="D23" s="1" t="s">
        <v>12</v>
      </c>
      <c r="E23" t="s">
        <v>76</v>
      </c>
      <c r="F23" t="s">
        <v>154</v>
      </c>
    </row>
    <row r="24" spans="1:8" x14ac:dyDescent="0.25">
      <c r="A24">
        <v>5</v>
      </c>
      <c r="B24" t="s">
        <v>2</v>
      </c>
      <c r="C24" t="s">
        <v>16</v>
      </c>
      <c r="D24" s="1" t="s">
        <v>12</v>
      </c>
      <c r="E24" t="s">
        <v>76</v>
      </c>
      <c r="F24" s="1" t="s">
        <v>155</v>
      </c>
    </row>
    <row r="25" spans="1:8" x14ac:dyDescent="0.25">
      <c r="A25">
        <v>6</v>
      </c>
      <c r="B25" t="s">
        <v>3</v>
      </c>
      <c r="C25" t="s">
        <v>8</v>
      </c>
      <c r="D25" t="s">
        <v>17</v>
      </c>
      <c r="E25" t="s">
        <v>77</v>
      </c>
      <c r="F25" t="s">
        <v>156</v>
      </c>
    </row>
    <row r="26" spans="1:8" ht="63" x14ac:dyDescent="0.25">
      <c r="A26">
        <v>7</v>
      </c>
      <c r="B26" t="s">
        <v>1</v>
      </c>
      <c r="C26" s="2" t="s">
        <v>18</v>
      </c>
      <c r="D26" t="s">
        <v>13</v>
      </c>
      <c r="E26" t="s">
        <v>77</v>
      </c>
      <c r="F26" s="38" t="s">
        <v>157</v>
      </c>
    </row>
    <row r="27" spans="1:8" x14ac:dyDescent="0.25">
      <c r="A27">
        <v>8</v>
      </c>
      <c r="B27" t="s">
        <v>14</v>
      </c>
      <c r="C27" s="2" t="s">
        <v>19</v>
      </c>
      <c r="D27" t="s">
        <v>13</v>
      </c>
      <c r="E27" t="s">
        <v>77</v>
      </c>
      <c r="F27" t="s">
        <v>158</v>
      </c>
    </row>
  </sheetData>
  <hyperlinks>
    <hyperlink ref="B10" location="SCORES!A1" display="SCORES" xr:uid="{205F44FD-7B59-1A4A-936A-5453D4179C62}"/>
    <hyperlink ref="B13" location="'Data(FAO-AQUASTAT)'!A1" display="Data(FAO-AQUASTAT)" xr:uid="{6F28D5C1-8DE1-7C47-8518-95314F87E209}"/>
    <hyperlink ref="B11" location="'Data(perSeason,perCrop)'!A1" display="Data(perSeason,perCrop)" xr:uid="{DFDD5FE1-3940-9B48-9965-FFD40883665B}"/>
    <hyperlink ref="B12" location="'Data(perCrop)'!A1" display="Data(perCrop)" xr:uid="{3B3DC2BC-8B3B-0C46-AB5C-3F0AF8DB8418}"/>
    <hyperlink ref="B14" location="Indicators!A1" display="Indicators" xr:uid="{D95D4175-A578-B149-80C3-0F8232670683}"/>
    <hyperlink ref="B15" location="'Indicators(perCrop)'!A1" display="Indicators(perCrop)" xr:uid="{DD0D6188-2E63-EE4F-A403-BAD1B315A6E8}"/>
    <hyperlink ref="B16" location="SummaryTable!A1" display="SummaryTable" xr:uid="{3C9D712B-8B70-5941-A49F-28D3BE7D64D9}"/>
    <hyperlink ref="B17" location="Figures!A1" display="Figures" xr:uid="{6B593956-9AF0-E34B-900E-14831F53010F}"/>
    <hyperlink ref="G22" r:id="rId1" xr:uid="{157D1014-CAC9-A741-A5A1-FF51B5089754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14AA-958F-4F42-972F-DBA9E3603149}">
  <dimension ref="A1:AE20"/>
  <sheetViews>
    <sheetView workbookViewId="0">
      <pane xSplit="2" ySplit="2" topLeftCell="D6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ColWidth="11.25" defaultRowHeight="15.75" x14ac:dyDescent="0.25"/>
  <cols>
    <col min="1" max="1" width="11.75" bestFit="1" customWidth="1"/>
    <col min="2" max="2" width="16.25" bestFit="1" customWidth="1"/>
    <col min="3" max="3" width="30.75" customWidth="1"/>
    <col min="4" max="4" width="8.75" customWidth="1"/>
    <col min="5" max="5" width="12" customWidth="1"/>
    <col min="6" max="6" width="34.125" customWidth="1"/>
    <col min="7" max="7" width="11.5" customWidth="1"/>
    <col min="8" max="8" width="17.75" customWidth="1"/>
    <col min="9" max="9" width="11.5" customWidth="1"/>
    <col min="10" max="10" width="12.25" bestFit="1" customWidth="1"/>
    <col min="11" max="11" width="13.25" bestFit="1" customWidth="1"/>
    <col min="12" max="12" width="6.25" customWidth="1"/>
    <col min="13" max="14" width="4.75" bestFit="1" customWidth="1"/>
    <col min="15" max="15" width="6.75" bestFit="1" customWidth="1"/>
    <col min="16" max="16" width="17.25" style="21" bestFit="1" customWidth="1"/>
    <col min="17" max="17" width="17.75" bestFit="1" customWidth="1"/>
    <col min="18" max="18" width="13" bestFit="1" customWidth="1"/>
    <col min="19" max="19" width="12.75" bestFit="1" customWidth="1"/>
    <col min="20" max="20" width="13" bestFit="1" customWidth="1"/>
    <col min="21" max="21" width="12.75" bestFit="1" customWidth="1"/>
    <col min="22" max="22" width="13" bestFit="1" customWidth="1"/>
  </cols>
  <sheetData>
    <row r="1" spans="1:31" ht="31.5" x14ac:dyDescent="0.3">
      <c r="B1" s="3" t="s">
        <v>4</v>
      </c>
      <c r="C1" t="s">
        <v>15</v>
      </c>
      <c r="D1" t="s">
        <v>83</v>
      </c>
      <c r="E1" s="19" t="s">
        <v>82</v>
      </c>
      <c r="F1" t="s">
        <v>78</v>
      </c>
      <c r="G1" s="19" t="s">
        <v>68</v>
      </c>
      <c r="H1" s="19" t="s">
        <v>87</v>
      </c>
      <c r="I1" s="19" t="s">
        <v>88</v>
      </c>
      <c r="J1" s="3" t="s">
        <v>94</v>
      </c>
      <c r="K1" s="3" t="s">
        <v>85</v>
      </c>
      <c r="L1" s="3" t="s">
        <v>71</v>
      </c>
      <c r="P1" s="3" t="s">
        <v>79</v>
      </c>
      <c r="Q1" s="3" t="s">
        <v>120</v>
      </c>
      <c r="R1" s="3" t="s">
        <v>147</v>
      </c>
      <c r="S1" s="3"/>
      <c r="T1" s="3"/>
      <c r="U1" s="3"/>
      <c r="V1" s="3"/>
      <c r="X1" s="3"/>
      <c r="Y1" s="3"/>
      <c r="AA1" s="3"/>
      <c r="AB1" s="3"/>
      <c r="AC1" s="3"/>
      <c r="AE1" s="3"/>
    </row>
    <row r="2" spans="1:31" ht="18.75" x14ac:dyDescent="0.3">
      <c r="B2" s="17"/>
      <c r="C2" s="17"/>
      <c r="D2" s="17"/>
      <c r="E2" s="17"/>
      <c r="F2" s="17"/>
      <c r="G2" s="19"/>
      <c r="H2" s="19"/>
      <c r="I2" s="19"/>
      <c r="J2" s="3"/>
      <c r="K2" s="3"/>
      <c r="L2" t="s">
        <v>60</v>
      </c>
      <c r="M2" t="s">
        <v>61</v>
      </c>
      <c r="N2" t="s">
        <v>62</v>
      </c>
      <c r="O2" t="s">
        <v>10</v>
      </c>
      <c r="P2" s="9"/>
      <c r="Q2" s="3"/>
      <c r="R2" s="3"/>
      <c r="S2" s="3"/>
      <c r="T2" s="3"/>
      <c r="U2" s="3"/>
      <c r="V2" s="3"/>
    </row>
    <row r="3" spans="1:31" x14ac:dyDescent="0.25">
      <c r="A3">
        <v>1</v>
      </c>
      <c r="B3" s="23" t="s">
        <v>5</v>
      </c>
      <c r="C3" s="19" t="s">
        <v>170</v>
      </c>
      <c r="D3" s="19" t="s">
        <v>84</v>
      </c>
      <c r="E3" s="18" t="s">
        <v>80</v>
      </c>
      <c r="F3" s="19" t="s">
        <v>72</v>
      </c>
      <c r="G3" t="s">
        <v>69</v>
      </c>
      <c r="J3" s="12">
        <v>1</v>
      </c>
      <c r="K3" s="12">
        <v>1.5</v>
      </c>
      <c r="L3" s="13"/>
      <c r="M3" s="13"/>
      <c r="N3" s="13"/>
      <c r="O3" s="12">
        <v>1</v>
      </c>
      <c r="P3" s="22">
        <v>1</v>
      </c>
      <c r="Q3" s="7" t="e">
        <f>#REF!</f>
        <v>#REF!</v>
      </c>
      <c r="R3" s="4" t="e">
        <f>IF($G3="D",MIN(MAX(1,11-ROUND(((Q3-$K3)/($J3-$K3))*9+1,0)),10),MIN(MAX(1,ROUND(((Q3-$J3)/($K3-$J3))*9+1,0)),10))</f>
        <v>#REF!</v>
      </c>
      <c r="S3" s="7"/>
      <c r="T3" s="4"/>
      <c r="U3" s="4"/>
      <c r="V3" s="4"/>
      <c r="Z3" s="7"/>
      <c r="AD3" s="7"/>
    </row>
    <row r="4" spans="1:31" ht="31.5" x14ac:dyDescent="0.25">
      <c r="A4">
        <v>2</v>
      </c>
      <c r="B4" s="23" t="s">
        <v>124</v>
      </c>
      <c r="C4" s="19" t="s">
        <v>160</v>
      </c>
      <c r="D4" s="19" t="s">
        <v>84</v>
      </c>
      <c r="E4" s="18" t="s">
        <v>80</v>
      </c>
      <c r="F4" s="19" t="s">
        <v>73</v>
      </c>
      <c r="G4" t="s">
        <v>69</v>
      </c>
      <c r="J4" s="12">
        <v>0.25</v>
      </c>
      <c r="K4" s="12">
        <v>0.8</v>
      </c>
      <c r="L4" s="12"/>
      <c r="M4" s="12"/>
      <c r="N4" s="12"/>
      <c r="O4" s="12">
        <v>1</v>
      </c>
      <c r="P4" s="22">
        <v>1</v>
      </c>
      <c r="Q4" s="7" t="e">
        <f>(L4*#REF!+SCORES!M4*#REF!+SCORES!N4*#REF!+SCORES!O4*#REF!)/SUM(L4:O4)</f>
        <v>#REF!</v>
      </c>
      <c r="R4" s="4" t="e">
        <f>IF($G4="D",MIN(MAX(1,11-ROUND(((Q4-$K4)/($J4-$K4))*9+1,0)),10),MIN(MAX(1,ROUND(((Q4-$J4)/($K4-$J4))*9+1,0)),10))</f>
        <v>#REF!</v>
      </c>
      <c r="S4" s="7"/>
      <c r="T4" s="4"/>
      <c r="U4" s="4"/>
      <c r="V4" s="4"/>
    </row>
    <row r="5" spans="1:31" ht="78.75" x14ac:dyDescent="0.25">
      <c r="A5">
        <v>3</v>
      </c>
      <c r="B5" s="23" t="s">
        <v>66</v>
      </c>
      <c r="C5" s="19" t="s">
        <v>122</v>
      </c>
      <c r="D5" s="19" t="s">
        <v>84</v>
      </c>
      <c r="E5" s="18" t="s">
        <v>81</v>
      </c>
      <c r="F5" s="19" t="s">
        <v>123</v>
      </c>
      <c r="G5" s="18" t="s">
        <v>69</v>
      </c>
      <c r="H5" s="19" t="s">
        <v>163</v>
      </c>
      <c r="I5" s="12">
        <v>500</v>
      </c>
      <c r="J5" s="12">
        <v>0</v>
      </c>
      <c r="K5" s="12">
        <v>1</v>
      </c>
      <c r="L5" s="13"/>
      <c r="M5" s="13"/>
      <c r="N5" s="13"/>
      <c r="O5" s="12">
        <v>1</v>
      </c>
      <c r="P5" s="22">
        <v>0</v>
      </c>
      <c r="Q5" s="7" t="e">
        <f>#REF!</f>
        <v>#REF!</v>
      </c>
      <c r="R5" s="4" t="e">
        <f>IF($G5="D",MIN(MAX(1,11-ROUND(((IF(ISNUMBER(Q5),Q5,Q6)-$K5)/($J5-$K5))*9+1,0)),10),MIN(MAX(1,ROUND(((IF(ISNUMBER(Q5),Q5,Q6)-$J5)/($K5-$J5))*9+1,0)),10))</f>
        <v>#REF!</v>
      </c>
      <c r="S5" s="7"/>
      <c r="T5" s="4"/>
      <c r="U5" s="4"/>
      <c r="V5" s="4"/>
    </row>
    <row r="6" spans="1:31" ht="63" x14ac:dyDescent="0.25">
      <c r="B6" s="23"/>
      <c r="C6" s="19"/>
      <c r="D6" s="19"/>
      <c r="E6" s="18" t="s">
        <v>80</v>
      </c>
      <c r="F6" s="19" t="s">
        <v>161</v>
      </c>
      <c r="G6" s="18" t="s">
        <v>69</v>
      </c>
      <c r="H6" s="19" t="s">
        <v>162</v>
      </c>
      <c r="I6" s="12">
        <v>300</v>
      </c>
      <c r="J6" s="12">
        <v>0</v>
      </c>
      <c r="K6" s="12">
        <v>1</v>
      </c>
      <c r="L6" s="12">
        <v>1</v>
      </c>
      <c r="M6" s="12">
        <v>1</v>
      </c>
      <c r="N6" s="12"/>
      <c r="O6" s="12">
        <v>1</v>
      </c>
      <c r="P6" s="31"/>
      <c r="Q6" s="7" t="e">
        <f>(L6*#REF!+SCORES!M6*#REF!+SCORES!N6*#REF!+SCORES!O6*#REF!)/SUM(L6:O6)</f>
        <v>#REF!</v>
      </c>
      <c r="R6" s="4"/>
      <c r="S6" s="7"/>
      <c r="T6" s="4"/>
      <c r="U6" s="4"/>
      <c r="V6" s="4"/>
    </row>
    <row r="7" spans="1:31" ht="31.5" x14ac:dyDescent="0.25">
      <c r="A7">
        <v>4</v>
      </c>
      <c r="B7" s="23" t="s">
        <v>0</v>
      </c>
      <c r="C7" s="18" t="s">
        <v>20</v>
      </c>
      <c r="D7" s="19" t="s">
        <v>12</v>
      </c>
      <c r="E7" s="18" t="s">
        <v>80</v>
      </c>
      <c r="F7" s="19" t="s">
        <v>75</v>
      </c>
      <c r="G7" t="s">
        <v>70</v>
      </c>
      <c r="J7" s="12">
        <v>0.4</v>
      </c>
      <c r="K7" s="12">
        <v>0</v>
      </c>
      <c r="L7" s="12"/>
      <c r="M7" s="12"/>
      <c r="N7" s="12"/>
      <c r="O7" s="12">
        <v>1</v>
      </c>
      <c r="P7" s="22">
        <v>1</v>
      </c>
      <c r="Q7" s="7" t="e">
        <f>(L7*#REF!+SCORES!M7*#REF!+SCORES!N7*#REF!+SCORES!O7*#REF!)/SUM(L7:O7)</f>
        <v>#REF!</v>
      </c>
      <c r="R7" s="4" t="e">
        <f>IF($G7="D",MIN(MAX(1,11-ROUND(((Q7-$K7)/($J7-$K7))*9+1,0)),10),MIN(MAX(1,ROUND(((Q7-$J7)/($K7-$J7))*9+1,0)),10))</f>
        <v>#REF!</v>
      </c>
      <c r="S7" s="7"/>
      <c r="T7" s="4"/>
      <c r="U7" s="4"/>
      <c r="V7" s="4"/>
    </row>
    <row r="8" spans="1:31" ht="47.25" x14ac:dyDescent="0.25">
      <c r="A8">
        <v>5</v>
      </c>
      <c r="B8" s="23" t="s">
        <v>2</v>
      </c>
      <c r="C8" s="19" t="s">
        <v>16</v>
      </c>
      <c r="D8" s="19" t="s">
        <v>12</v>
      </c>
      <c r="E8" s="19" t="s">
        <v>80</v>
      </c>
      <c r="F8" s="19" t="s">
        <v>75</v>
      </c>
      <c r="G8" t="s">
        <v>70</v>
      </c>
      <c r="J8" s="12">
        <v>0.4</v>
      </c>
      <c r="K8" s="12">
        <v>0</v>
      </c>
      <c r="L8" s="12"/>
      <c r="M8" s="12">
        <v>1</v>
      </c>
      <c r="N8" s="12"/>
      <c r="O8" s="12"/>
      <c r="P8" s="22">
        <v>1</v>
      </c>
      <c r="Q8" s="7" t="e">
        <f>(L8*#REF!+SCORES!M8*#REF!+SCORES!N8*#REF!+SCORES!O8*#REF!)/SUM(L8:O8)</f>
        <v>#REF!</v>
      </c>
      <c r="R8" s="4" t="e">
        <f>IF($G8="D",MIN(MAX(1,11-ROUND(((Q8-$K8)/($J8-$K8))*9+1,0)),10),MIN(MAX(1,ROUND(((Q8-$J8)/($K8-$J8))*9+1,0)),10))</f>
        <v>#REF!</v>
      </c>
      <c r="S8" s="7"/>
      <c r="T8" s="4"/>
      <c r="U8" s="4"/>
      <c r="V8" s="4"/>
    </row>
    <row r="9" spans="1:31" ht="47.25" x14ac:dyDescent="0.25">
      <c r="B9" s="23"/>
      <c r="C9" s="19" t="s">
        <v>99</v>
      </c>
      <c r="D9" s="19" t="s">
        <v>12</v>
      </c>
      <c r="E9" s="19" t="s">
        <v>80</v>
      </c>
      <c r="F9" s="19" t="s">
        <v>75</v>
      </c>
      <c r="G9" t="s">
        <v>70</v>
      </c>
      <c r="J9" s="12"/>
      <c r="K9" s="12">
        <v>0</v>
      </c>
      <c r="L9" s="12"/>
      <c r="M9" s="12">
        <v>1</v>
      </c>
      <c r="N9" s="12"/>
      <c r="O9" s="12"/>
      <c r="P9" s="22">
        <v>0</v>
      </c>
      <c r="Q9" s="7" t="e">
        <f>(L9*#REF!+SCORES!M9*#REF!+SCORES!N9*#REF!+SCORES!O9*#REF!)/SUM(L9:O9)</f>
        <v>#REF!</v>
      </c>
      <c r="R9" s="4" t="str">
        <f>IF(ISNUMBER(J9),IF($G9="D",MIN(MAX(1,11-ROUND(((Q9-$K9)/($J9-$K9))*9+1,0)),10),MIN(MAX(1,ROUND(((Q9-$J9)/($K9-$J9))*9+1,0)),10)),"")</f>
        <v/>
      </c>
      <c r="S9" s="7"/>
      <c r="T9" s="4"/>
      <c r="U9" s="4"/>
      <c r="V9" s="4"/>
    </row>
    <row r="10" spans="1:31" x14ac:dyDescent="0.25">
      <c r="A10">
        <v>6</v>
      </c>
      <c r="B10" s="23" t="s">
        <v>3</v>
      </c>
      <c r="C10" s="19" t="s">
        <v>8</v>
      </c>
      <c r="D10" s="18" t="s">
        <v>17</v>
      </c>
      <c r="E10" s="18" t="s">
        <v>81</v>
      </c>
      <c r="F10" s="19"/>
      <c r="P10" s="22">
        <v>1</v>
      </c>
      <c r="R10" s="15" t="e">
        <f>AVERAGE(R11:R16)</f>
        <v>#DIV/0!</v>
      </c>
      <c r="T10" s="15"/>
      <c r="U10" s="15"/>
      <c r="V10" s="15"/>
    </row>
    <row r="11" spans="1:31" x14ac:dyDescent="0.25">
      <c r="B11" s="23"/>
      <c r="C11" s="18"/>
      <c r="D11" s="19"/>
      <c r="E11" s="18"/>
      <c r="F11" s="19" t="s">
        <v>47</v>
      </c>
      <c r="G11" t="s">
        <v>69</v>
      </c>
      <c r="J11" s="14">
        <v>0.10559418457648546</v>
      </c>
      <c r="K11" s="14">
        <v>0.41678402355094091</v>
      </c>
      <c r="L11" s="13"/>
      <c r="M11" s="13"/>
      <c r="N11" s="13"/>
      <c r="O11" s="13"/>
      <c r="P11" s="16"/>
      <c r="Q11" s="7" t="e">
        <f>#REF!</f>
        <v>#REF!</v>
      </c>
      <c r="R11" s="4" t="str">
        <f t="shared" ref="R11:R16" si="0">IF(ISNUMBER(Q11),IF($G11="D",MIN(MAX(1,11-ROUND(((Q11-$K11)/($J11-$K11))*9+1,0)),10),MIN(MAX(1,ROUND(((Q11-$J11)/($K11-$J11))*9+1,0)),10)),"")</f>
        <v/>
      </c>
      <c r="S11" s="28"/>
      <c r="T11" s="11"/>
      <c r="U11" s="11"/>
      <c r="V11" s="4"/>
    </row>
    <row r="12" spans="1:31" x14ac:dyDescent="0.25">
      <c r="B12" s="23"/>
      <c r="C12" s="18"/>
      <c r="D12" s="18"/>
      <c r="E12" s="18"/>
      <c r="F12" s="19" t="s">
        <v>52</v>
      </c>
      <c r="G12" t="s">
        <v>69</v>
      </c>
      <c r="J12" s="14">
        <v>0.53490679217423409</v>
      </c>
      <c r="K12" s="14">
        <v>0.81847970216238275</v>
      </c>
      <c r="L12" s="13"/>
      <c r="M12" s="13"/>
      <c r="N12" s="13"/>
      <c r="O12" s="13"/>
      <c r="P12" s="16"/>
      <c r="Q12" s="7" t="e">
        <f>#REF!</f>
        <v>#REF!</v>
      </c>
      <c r="R12" s="4" t="str">
        <f t="shared" si="0"/>
        <v/>
      </c>
      <c r="T12" s="11"/>
      <c r="U12" s="11"/>
      <c r="V12" s="11"/>
    </row>
    <row r="13" spans="1:31" x14ac:dyDescent="0.25">
      <c r="B13" s="23"/>
      <c r="C13" s="18"/>
      <c r="D13" s="18"/>
      <c r="E13" s="18"/>
      <c r="F13" s="19" t="s">
        <v>57</v>
      </c>
      <c r="G13" t="s">
        <v>69</v>
      </c>
      <c r="J13" s="14">
        <v>0.46496333713540816</v>
      </c>
      <c r="K13" s="14">
        <v>1</v>
      </c>
      <c r="L13" s="13"/>
      <c r="M13" s="13"/>
      <c r="N13" s="13"/>
      <c r="O13" s="13"/>
      <c r="P13" s="16"/>
      <c r="Q13" s="7" t="e">
        <f>#REF!</f>
        <v>#REF!</v>
      </c>
      <c r="R13" s="4" t="str">
        <f t="shared" si="0"/>
        <v/>
      </c>
      <c r="S13" s="28"/>
      <c r="T13" s="11"/>
      <c r="U13" s="11"/>
      <c r="V13" s="4"/>
    </row>
    <row r="14" spans="1:31" x14ac:dyDescent="0.25">
      <c r="B14" s="23"/>
      <c r="C14" s="18"/>
      <c r="D14" s="18"/>
      <c r="E14" s="18"/>
      <c r="F14" s="19" t="s">
        <v>48</v>
      </c>
      <c r="G14" t="s">
        <v>69</v>
      </c>
      <c r="J14" s="14">
        <v>3.8966165413533838</v>
      </c>
      <c r="K14" s="14">
        <v>5.2341920374707263</v>
      </c>
      <c r="L14" s="13"/>
      <c r="M14" s="13"/>
      <c r="N14" s="13"/>
      <c r="O14" s="13"/>
      <c r="P14" s="16"/>
      <c r="Q14" s="7" t="e">
        <f>#REF!</f>
        <v>#REF!</v>
      </c>
      <c r="R14" s="4" t="str">
        <f t="shared" si="0"/>
        <v/>
      </c>
      <c r="S14" s="28"/>
      <c r="T14" s="11"/>
      <c r="U14" s="11"/>
      <c r="V14" s="4"/>
    </row>
    <row r="15" spans="1:31" x14ac:dyDescent="0.25">
      <c r="B15" s="23"/>
      <c r="C15" s="18"/>
      <c r="D15" s="18"/>
      <c r="E15" s="18"/>
      <c r="F15" s="19" t="s">
        <v>100</v>
      </c>
      <c r="G15" t="s">
        <v>69</v>
      </c>
      <c r="J15" s="14">
        <v>2.9234074823053589</v>
      </c>
      <c r="K15" s="14">
        <v>3.6598923665203227</v>
      </c>
      <c r="L15" s="13"/>
      <c r="M15" s="13"/>
      <c r="N15" s="13"/>
      <c r="O15" s="13"/>
      <c r="P15" s="16"/>
      <c r="Q15" s="7" t="e">
        <f>#REF!</f>
        <v>#REF!</v>
      </c>
      <c r="R15" s="4" t="str">
        <f t="shared" si="0"/>
        <v/>
      </c>
      <c r="T15" s="11"/>
      <c r="U15" s="11"/>
      <c r="V15" s="4"/>
    </row>
    <row r="16" spans="1:31" x14ac:dyDescent="0.25">
      <c r="B16" s="23"/>
      <c r="C16" s="18"/>
      <c r="D16" s="18"/>
      <c r="E16" s="18"/>
      <c r="F16" s="19" t="s">
        <v>50</v>
      </c>
      <c r="G16" t="s">
        <v>69</v>
      </c>
      <c r="J16" s="14">
        <v>1.0734830829706585</v>
      </c>
      <c r="K16" s="14">
        <v>1.4866770779108105</v>
      </c>
      <c r="L16" s="13"/>
      <c r="M16" s="13"/>
      <c r="N16" s="13"/>
      <c r="O16" s="13"/>
      <c r="P16" s="16"/>
      <c r="Q16" s="7" t="e">
        <f>#REF!</f>
        <v>#REF!</v>
      </c>
      <c r="R16" s="4" t="str">
        <f t="shared" si="0"/>
        <v/>
      </c>
      <c r="T16" s="11"/>
      <c r="U16" s="11"/>
      <c r="V16" s="4"/>
    </row>
    <row r="17" spans="1:22" ht="47.25" x14ac:dyDescent="0.25">
      <c r="A17">
        <v>7</v>
      </c>
      <c r="B17" s="23" t="s">
        <v>1</v>
      </c>
      <c r="C17" s="19" t="s">
        <v>91</v>
      </c>
      <c r="D17" s="19" t="s">
        <v>84</v>
      </c>
      <c r="E17" s="19" t="s">
        <v>80</v>
      </c>
      <c r="F17" s="19" t="s">
        <v>75</v>
      </c>
      <c r="G17" t="s">
        <v>70</v>
      </c>
      <c r="J17" s="12">
        <v>0.4</v>
      </c>
      <c r="K17" s="12">
        <v>0</v>
      </c>
      <c r="L17" s="13"/>
      <c r="M17" s="13"/>
      <c r="N17" s="13"/>
      <c r="O17" s="13"/>
      <c r="P17" s="22">
        <v>1</v>
      </c>
      <c r="Q17" s="7" t="e">
        <f>#REF!</f>
        <v>#REF!</v>
      </c>
      <c r="R17" s="4" t="e">
        <f>IF($G17="D",MIN(MAX(1,11-ROUND(((Q17-$K17)/($J17-$K17))*9+1,0)),10),MIN(MAX(1,ROUND(((Q17-$J17)/($K17-$J17))*9+1,0)),10))</f>
        <v>#REF!</v>
      </c>
      <c r="S17" s="7"/>
      <c r="T17" s="4"/>
      <c r="U17" s="4"/>
      <c r="V17" s="4"/>
    </row>
    <row r="18" spans="1:22" ht="31.5" x14ac:dyDescent="0.25">
      <c r="A18">
        <v>8</v>
      </c>
      <c r="B18" s="23" t="s">
        <v>14</v>
      </c>
      <c r="C18" s="19" t="s">
        <v>19</v>
      </c>
      <c r="D18" s="19" t="s">
        <v>84</v>
      </c>
      <c r="E18" s="19" t="s">
        <v>80</v>
      </c>
      <c r="F18" s="19" t="s">
        <v>75</v>
      </c>
      <c r="G18" t="s">
        <v>70</v>
      </c>
      <c r="J18" s="12">
        <v>0.4</v>
      </c>
      <c r="K18" s="12">
        <v>0</v>
      </c>
      <c r="L18" s="13"/>
      <c r="M18" s="13"/>
      <c r="N18" s="13"/>
      <c r="O18" s="13"/>
      <c r="P18" s="22">
        <v>1</v>
      </c>
      <c r="Q18" s="7" t="e">
        <f>#REF!</f>
        <v>#REF!</v>
      </c>
      <c r="R18" s="4" t="e">
        <f>IF($G18="D",MIN(MAX(1,11-ROUND(((Q18-$K18)/($J18-$K18))*9+1,0)),10),MIN(MAX(1,ROUND(((Q18-$J18)/($K18-$J18))*9+1,0)),10))</f>
        <v>#REF!</v>
      </c>
      <c r="S18" s="7"/>
      <c r="T18" s="4"/>
      <c r="U18" s="4"/>
      <c r="V18" s="4"/>
    </row>
    <row r="20" spans="1:22" ht="18.75" x14ac:dyDescent="0.3">
      <c r="Q20" s="3" t="s">
        <v>74</v>
      </c>
      <c r="R20" s="29" t="e">
        <f>(SUMPRODUCT($P7:$P10,R7:R10)+SUMPRODUCT($P17:$P18,R17:R18)+SUMPRODUCT($P3:$P5,R3:R5))/SUM($P7:$P10,$P17:$P18,P3:P5)</f>
        <v>#REF!</v>
      </c>
      <c r="S20" s="3"/>
      <c r="T20" s="29"/>
      <c r="U20" s="29"/>
      <c r="V20" s="29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95377-AA0B-7341-94D1-504DBC81267D}">
  <dimension ref="A1:H16"/>
  <sheetViews>
    <sheetView workbookViewId="0">
      <selection activeCell="D1" sqref="D1:E15"/>
    </sheetView>
  </sheetViews>
  <sheetFormatPr defaultColWidth="11.25" defaultRowHeight="15.75" x14ac:dyDescent="0.25"/>
  <cols>
    <col min="1" max="1" width="18.75" customWidth="1"/>
    <col min="2" max="2" width="30.75" customWidth="1"/>
    <col min="3" max="3" width="8.75" customWidth="1"/>
    <col min="4" max="4" width="12.25" bestFit="1" customWidth="1"/>
    <col min="5" max="5" width="13.25" bestFit="1" customWidth="1"/>
    <col min="6" max="6" width="17.75" bestFit="1" customWidth="1"/>
    <col min="7" max="7" width="13" bestFit="1" customWidth="1"/>
    <col min="8" max="8" width="12.75" bestFit="1" customWidth="1"/>
  </cols>
  <sheetData>
    <row r="1" spans="1:8" ht="18.75" x14ac:dyDescent="0.3">
      <c r="A1" s="3" t="str">
        <f>SCORES!B1</f>
        <v>Indicator</v>
      </c>
      <c r="B1" s="3" t="str">
        <f>SCORES!C1</f>
        <v>Description</v>
      </c>
      <c r="C1" s="3" t="str">
        <f>SCORES!D1</f>
        <v>Units</v>
      </c>
      <c r="D1" s="3" t="str">
        <f>SCORES!J1</f>
        <v>Critical Value</v>
      </c>
      <c r="E1" s="3" t="str">
        <f>SCORES!K1</f>
        <v>Target Value</v>
      </c>
      <c r="F1" s="3" t="str">
        <f>SCORES!Q1</f>
        <v>Value</v>
      </c>
      <c r="G1" s="3" t="s">
        <v>147</v>
      </c>
      <c r="H1" s="3"/>
    </row>
    <row r="2" spans="1:8" x14ac:dyDescent="0.25">
      <c r="A2" s="23" t="str">
        <f>SCORES!B3</f>
        <v>Cropping Intensity</v>
      </c>
      <c r="B2" s="19" t="str">
        <f>SCORES!C3</f>
        <v>Cropping Intensity, considering CCA</v>
      </c>
      <c r="C2" t="str">
        <f>SCORES!D3</f>
        <v>%/100</v>
      </c>
      <c r="D2" s="7">
        <f>SCORES!J3</f>
        <v>1</v>
      </c>
      <c r="E2" s="7">
        <f>SCORES!K3</f>
        <v>1.5</v>
      </c>
      <c r="F2" s="7" t="e">
        <f>SCORES!Q3</f>
        <v>#REF!</v>
      </c>
      <c r="G2" s="4" t="e">
        <f>SCORES!R3</f>
        <v>#REF!</v>
      </c>
      <c r="H2" s="4"/>
    </row>
    <row r="3" spans="1:8" x14ac:dyDescent="0.25">
      <c r="A3" s="23" t="str">
        <f>SCORES!B4</f>
        <v>Irrigation Utilization</v>
      </c>
      <c r="B3" s="19" t="str">
        <f>SCORES!C4</f>
        <v>Fraction of CCA irrigated</v>
      </c>
      <c r="C3" s="19" t="str">
        <f>SCORES!D4</f>
        <v>%/100</v>
      </c>
      <c r="D3" s="7">
        <f>SCORES!J4</f>
        <v>0.25</v>
      </c>
      <c r="E3" s="7">
        <f>SCORES!K4</f>
        <v>0.8</v>
      </c>
      <c r="F3" s="7" t="e">
        <f>SCORES!Q4</f>
        <v>#REF!</v>
      </c>
      <c r="G3" s="4" t="e">
        <f>SCORES!R4</f>
        <v>#REF!</v>
      </c>
      <c r="H3" s="4"/>
    </row>
    <row r="4" spans="1:8" ht="31.5" x14ac:dyDescent="0.25">
      <c r="A4" s="23" t="str">
        <f>SCORES!B5</f>
        <v>Low Water Intensive Crops</v>
      </c>
      <c r="B4" s="19" t="s">
        <v>126</v>
      </c>
      <c r="C4" s="19" t="str">
        <f>SCORES!D5</f>
        <v>%/100</v>
      </c>
      <c r="D4" s="7">
        <f>SCORES!J5</f>
        <v>0</v>
      </c>
      <c r="E4" s="7">
        <f>SCORES!K5</f>
        <v>1</v>
      </c>
      <c r="F4" s="7" t="e">
        <f>IF(ISNUMBER(SCORES!Q5),SCORES!Q5,SCORES!Q6)</f>
        <v>#REF!</v>
      </c>
      <c r="G4" s="4" t="e">
        <f>SCORES!R5</f>
        <v>#REF!</v>
      </c>
      <c r="H4" s="4"/>
    </row>
    <row r="5" spans="1:8" x14ac:dyDescent="0.25">
      <c r="A5" s="23" t="str">
        <f>SCORES!B7</f>
        <v>Adequacy</v>
      </c>
      <c r="B5" s="18" t="str">
        <f>SCORES!C7</f>
        <v>RWD=1-(Eta/Etp)</v>
      </c>
      <c r="C5" s="19" t="str">
        <f>SCORES!D7</f>
        <v>-</v>
      </c>
      <c r="D5" s="7">
        <f>SCORES!J7</f>
        <v>0.4</v>
      </c>
      <c r="E5" s="7">
        <f>SCORES!K7</f>
        <v>0</v>
      </c>
      <c r="F5" s="7" t="e">
        <f>SCORES!Q7</f>
        <v>#REF!</v>
      </c>
      <c r="G5" s="4" t="e">
        <f>SCORES!R7</f>
        <v>#REF!</v>
      </c>
      <c r="H5" s="4"/>
    </row>
    <row r="6" spans="1:8" ht="47.25" x14ac:dyDescent="0.25">
      <c r="A6" s="23" t="str">
        <f>SCORES!B8</f>
        <v>Equity</v>
      </c>
      <c r="B6" s="19" t="str">
        <f>SCORES!C8</f>
        <v>Standard deviation of ETa over irrigated areas divided by average ETa</v>
      </c>
      <c r="C6" s="19" t="str">
        <f>SCORES!D8</f>
        <v>-</v>
      </c>
      <c r="D6" s="7">
        <f>SCORES!J8</f>
        <v>0.4</v>
      </c>
      <c r="E6" s="7">
        <f>SCORES!K8</f>
        <v>0</v>
      </c>
      <c r="F6" s="7" t="e">
        <f>SCORES!Q8</f>
        <v>#REF!</v>
      </c>
      <c r="G6" s="4" t="e">
        <f>SCORES!R8</f>
        <v>#REF!</v>
      </c>
      <c r="H6" s="4"/>
    </row>
    <row r="7" spans="1:8" x14ac:dyDescent="0.25">
      <c r="A7" s="23" t="str">
        <f>SCORES!B10</f>
        <v>Productivity</v>
      </c>
      <c r="B7" s="19" t="str">
        <f>SCORES!C10</f>
        <v>Water Productivity (in terms of yield)</v>
      </c>
      <c r="C7" s="18" t="str">
        <f>SCORES!D10</f>
        <v>kg/m3</v>
      </c>
      <c r="D7" s="7"/>
      <c r="E7" s="7"/>
      <c r="G7" s="4" t="e">
        <f>SCORES!R10</f>
        <v>#DIV/0!</v>
      </c>
      <c r="H7" s="15"/>
    </row>
    <row r="8" spans="1:8" x14ac:dyDescent="0.25">
      <c r="A8" s="23"/>
      <c r="B8" s="19" t="s">
        <v>47</v>
      </c>
      <c r="C8" s="19"/>
      <c r="D8" s="7">
        <v>0.10559418457648546</v>
      </c>
      <c r="E8" s="7">
        <v>0.41678402355094091</v>
      </c>
      <c r="F8" s="7" t="e">
        <f>SCORES!Q11</f>
        <v>#REF!</v>
      </c>
      <c r="G8" s="4" t="str">
        <f>SCORES!R11</f>
        <v/>
      </c>
      <c r="H8" s="11"/>
    </row>
    <row r="9" spans="1:8" x14ac:dyDescent="0.25">
      <c r="A9" s="23"/>
      <c r="B9" s="19" t="s">
        <v>52</v>
      </c>
      <c r="C9" s="18"/>
      <c r="D9" s="7">
        <v>0.53490679217423409</v>
      </c>
      <c r="E9" s="7">
        <v>0.81847970216238275</v>
      </c>
      <c r="F9" s="7" t="e">
        <f>SCORES!Q12</f>
        <v>#REF!</v>
      </c>
      <c r="G9" s="4" t="str">
        <f>SCORES!R12</f>
        <v/>
      </c>
      <c r="H9" s="11"/>
    </row>
    <row r="10" spans="1:8" x14ac:dyDescent="0.25">
      <c r="A10" s="23"/>
      <c r="B10" s="19" t="s">
        <v>57</v>
      </c>
      <c r="C10" s="18"/>
      <c r="D10" s="7">
        <v>0.46496333713540816</v>
      </c>
      <c r="E10" s="7">
        <v>1</v>
      </c>
      <c r="F10" s="7" t="e">
        <f>SCORES!Q13</f>
        <v>#REF!</v>
      </c>
      <c r="G10" s="4" t="str">
        <f>SCORES!R13</f>
        <v/>
      </c>
      <c r="H10" s="11"/>
    </row>
    <row r="11" spans="1:8" x14ac:dyDescent="0.25">
      <c r="A11" s="23"/>
      <c r="B11" s="19" t="s">
        <v>48</v>
      </c>
      <c r="C11" s="18"/>
      <c r="D11" s="7">
        <v>3.8966165413533838</v>
      </c>
      <c r="E11" s="7">
        <v>5.2341920374707263</v>
      </c>
      <c r="F11" s="7" t="e">
        <f>SCORES!Q14</f>
        <v>#REF!</v>
      </c>
      <c r="G11" s="4" t="str">
        <f>SCORES!R14</f>
        <v/>
      </c>
      <c r="H11" s="11"/>
    </row>
    <row r="12" spans="1:8" x14ac:dyDescent="0.25">
      <c r="A12" s="23"/>
      <c r="B12" s="19" t="s">
        <v>100</v>
      </c>
      <c r="C12" s="18"/>
      <c r="D12" s="7">
        <v>2.9234074823053589</v>
      </c>
      <c r="E12" s="7">
        <v>3.6598923665203227</v>
      </c>
      <c r="F12" s="7" t="e">
        <f>SCORES!Q15</f>
        <v>#REF!</v>
      </c>
      <c r="G12" s="4" t="str">
        <f>SCORES!R15</f>
        <v/>
      </c>
      <c r="H12" s="11"/>
    </row>
    <row r="13" spans="1:8" x14ac:dyDescent="0.25">
      <c r="A13" s="23"/>
      <c r="B13" s="19" t="s">
        <v>50</v>
      </c>
      <c r="C13" s="18"/>
      <c r="D13" s="7">
        <v>1.0734830829706585</v>
      </c>
      <c r="E13" s="7">
        <v>1.4866770779108105</v>
      </c>
      <c r="F13" s="7" t="e">
        <f>SCORES!Q16</f>
        <v>#REF!</v>
      </c>
      <c r="G13" s="4" t="str">
        <f>SCORES!R16</f>
        <v/>
      </c>
      <c r="H13" s="11"/>
    </row>
    <row r="14" spans="1:8" ht="47.25" x14ac:dyDescent="0.25">
      <c r="A14" s="23" t="str">
        <f>SCORES!B17</f>
        <v>Reliability</v>
      </c>
      <c r="B14" s="19" t="str">
        <f>SCORES!C17</f>
        <v>Range of average crop-specific monthly Relative
ET (ET/ETp)</v>
      </c>
      <c r="C14" s="19" t="str">
        <f>SCORES!D17</f>
        <v>%/100</v>
      </c>
      <c r="D14" s="7">
        <f>SCORES!J17</f>
        <v>0.4</v>
      </c>
      <c r="E14" s="7">
        <f>SCORES!K17</f>
        <v>0</v>
      </c>
      <c r="F14" s="7" t="e">
        <f>SCORES!Q17</f>
        <v>#REF!</v>
      </c>
      <c r="G14" s="4" t="e">
        <f>SCORES!R17</f>
        <v>#REF!</v>
      </c>
      <c r="H14" s="4"/>
    </row>
    <row r="15" spans="1:8" ht="31.5" x14ac:dyDescent="0.25">
      <c r="A15" s="23" t="str">
        <f>SCORES!B18</f>
        <v>Yield Gap due to water stress</v>
      </c>
      <c r="B15" s="19" t="str">
        <f>SCORES!C18</f>
        <v>(Ypotential​−Yactual​​)/(Ypotential​)×100</v>
      </c>
      <c r="C15" s="19" t="str">
        <f>SCORES!D18</f>
        <v>%/100</v>
      </c>
      <c r="D15" s="7">
        <f>SCORES!J18</f>
        <v>0.4</v>
      </c>
      <c r="E15" s="7">
        <f>SCORES!K18</f>
        <v>0</v>
      </c>
      <c r="F15" s="7" t="e">
        <f>SCORES!Q18</f>
        <v>#REF!</v>
      </c>
      <c r="G15" s="4" t="e">
        <f>SCORES!R18</f>
        <v>#REF!</v>
      </c>
      <c r="H15" s="4"/>
    </row>
    <row r="16" spans="1:8" ht="18.75" x14ac:dyDescent="0.3">
      <c r="F16" s="3" t="str">
        <f>SCORES!Q20</f>
        <v>AVERAGE SCORE</v>
      </c>
      <c r="G16" s="16" t="e">
        <f>AVERAGE(G14:G15,G2:G7)</f>
        <v>#REF!</v>
      </c>
      <c r="H16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E9C6-349E-9541-9ACA-C5D18CF6D7F3}">
  <dimension ref="A1:AE485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V4" sqref="A1:XFD1048576"/>
    </sheetView>
  </sheetViews>
  <sheetFormatPr defaultColWidth="11.25" defaultRowHeight="15.75" x14ac:dyDescent="0.25"/>
  <cols>
    <col min="1" max="2" width="10.25" customWidth="1"/>
    <col min="3" max="3" width="19.75" customWidth="1"/>
    <col min="4" max="19" width="10.25" customWidth="1"/>
    <col min="20" max="20" width="10.25" style="34" customWidth="1"/>
    <col min="26" max="31" width="10.75" style="10"/>
  </cols>
  <sheetData>
    <row r="1" spans="1:20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109</v>
      </c>
      <c r="G1" t="s">
        <v>26</v>
      </c>
      <c r="H1" t="s">
        <v>27</v>
      </c>
      <c r="I1" t="s">
        <v>96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s="34" t="s">
        <v>86</v>
      </c>
    </row>
    <row r="2" spans="1:20" x14ac:dyDescent="0.25">
      <c r="A2">
        <v>892.75171087141996</v>
      </c>
      <c r="B2">
        <v>7.6</v>
      </c>
      <c r="C2" t="s">
        <v>102</v>
      </c>
      <c r="D2">
        <v>31</v>
      </c>
      <c r="E2">
        <v>287</v>
      </c>
      <c r="F2">
        <v>344</v>
      </c>
      <c r="G2">
        <v>68</v>
      </c>
      <c r="H2">
        <v>0.126172476181793</v>
      </c>
      <c r="I2">
        <v>0.52725009227184905</v>
      </c>
      <c r="J2">
        <v>217</v>
      </c>
      <c r="K2" t="s">
        <v>173</v>
      </c>
      <c r="L2">
        <v>1313</v>
      </c>
      <c r="M2">
        <v>0.90091945755770597</v>
      </c>
      <c r="N2">
        <v>0.42328921372824402</v>
      </c>
      <c r="O2">
        <v>1</v>
      </c>
      <c r="P2">
        <v>6243</v>
      </c>
      <c r="Q2">
        <v>7324</v>
      </c>
      <c r="R2" t="s">
        <v>39</v>
      </c>
      <c r="S2">
        <v>2018</v>
      </c>
      <c r="T2" s="34">
        <f>IF(R2="IRRIGATED",IF(F2&gt;=SCORES!I$6,1,0),"")</f>
        <v>1</v>
      </c>
    </row>
    <row r="3" spans="1:20" x14ac:dyDescent="0.25">
      <c r="A3">
        <v>493.768332635886</v>
      </c>
      <c r="B3">
        <v>4.7</v>
      </c>
      <c r="C3" t="s">
        <v>102</v>
      </c>
      <c r="D3">
        <v>31</v>
      </c>
      <c r="E3">
        <v>222</v>
      </c>
      <c r="F3">
        <v>262</v>
      </c>
      <c r="G3">
        <v>23</v>
      </c>
      <c r="H3">
        <v>4.0802421096639903E-2</v>
      </c>
      <c r="I3">
        <v>0.38562955986719799</v>
      </c>
      <c r="J3">
        <v>194</v>
      </c>
      <c r="K3" t="s">
        <v>173</v>
      </c>
      <c r="L3">
        <v>52</v>
      </c>
      <c r="M3">
        <v>0.91055892816492601</v>
      </c>
      <c r="N3">
        <v>0.90898865877132595</v>
      </c>
      <c r="O3">
        <v>2</v>
      </c>
      <c r="P3">
        <v>5782</v>
      </c>
      <c r="Q3">
        <v>8449</v>
      </c>
      <c r="R3" t="s">
        <v>39</v>
      </c>
      <c r="S3">
        <v>2018</v>
      </c>
      <c r="T3" s="34">
        <f>IF(R3="IRRIGATED",IF(F3&gt;=SCORES!I$6,1,0),"")</f>
        <v>0</v>
      </c>
    </row>
    <row r="4" spans="1:20" x14ac:dyDescent="0.25">
      <c r="A4">
        <v>32.092347733992</v>
      </c>
      <c r="B4">
        <v>1.2</v>
      </c>
      <c r="C4" t="s">
        <v>102</v>
      </c>
      <c r="D4">
        <v>31</v>
      </c>
      <c r="E4">
        <v>389</v>
      </c>
      <c r="F4">
        <v>493</v>
      </c>
      <c r="G4">
        <v>109</v>
      </c>
      <c r="H4">
        <v>9.8095934790621203E-2</v>
      </c>
      <c r="I4">
        <v>0.33488716120267398</v>
      </c>
      <c r="J4">
        <v>278</v>
      </c>
      <c r="K4" t="s">
        <v>173</v>
      </c>
      <c r="L4">
        <v>85</v>
      </c>
      <c r="O4">
        <v>3</v>
      </c>
      <c r="P4">
        <v>2846</v>
      </c>
      <c r="Q4">
        <v>3909</v>
      </c>
      <c r="R4" t="s">
        <v>39</v>
      </c>
      <c r="S4">
        <v>2018</v>
      </c>
      <c r="T4" s="34">
        <f>IF(R4="IRRIGATED",IF(F4&gt;=SCORES!I$6,1,0),"")</f>
        <v>1</v>
      </c>
    </row>
    <row r="5" spans="1:20" x14ac:dyDescent="0.25">
      <c r="A5">
        <v>490.68952754643101</v>
      </c>
      <c r="B5">
        <v>4.2</v>
      </c>
      <c r="C5" t="s">
        <v>102</v>
      </c>
      <c r="D5">
        <v>31</v>
      </c>
      <c r="E5">
        <v>217</v>
      </c>
      <c r="F5">
        <v>246</v>
      </c>
      <c r="G5">
        <v>0</v>
      </c>
      <c r="J5">
        <v>215</v>
      </c>
      <c r="K5" t="s">
        <v>173</v>
      </c>
      <c r="L5">
        <v>1255</v>
      </c>
      <c r="M5">
        <v>0.90091945755770597</v>
      </c>
      <c r="N5">
        <v>0.42328921372824402</v>
      </c>
      <c r="O5">
        <v>1</v>
      </c>
      <c r="P5">
        <v>5039</v>
      </c>
      <c r="R5" t="s">
        <v>55</v>
      </c>
      <c r="S5">
        <v>2018</v>
      </c>
      <c r="T5" s="34" t="str">
        <f>IF(R5="IRRIGATED",IF(F5&gt;=SCORES!I$6,1,0),"")</f>
        <v/>
      </c>
    </row>
    <row r="6" spans="1:20" x14ac:dyDescent="0.25">
      <c r="A6">
        <v>524.99812069155098</v>
      </c>
      <c r="B6">
        <v>5</v>
      </c>
      <c r="C6" t="s">
        <v>102</v>
      </c>
      <c r="D6">
        <v>31</v>
      </c>
      <c r="E6">
        <v>195</v>
      </c>
      <c r="F6">
        <v>206</v>
      </c>
      <c r="G6">
        <v>0</v>
      </c>
      <c r="J6">
        <v>190</v>
      </c>
      <c r="K6" t="s">
        <v>173</v>
      </c>
      <c r="L6">
        <v>51</v>
      </c>
      <c r="M6">
        <v>0.91055892816492601</v>
      </c>
      <c r="N6">
        <v>0.90898865877132595</v>
      </c>
      <c r="O6">
        <v>2</v>
      </c>
      <c r="P6">
        <v>4683</v>
      </c>
      <c r="R6" t="s">
        <v>55</v>
      </c>
      <c r="S6">
        <v>2018</v>
      </c>
      <c r="T6" s="34" t="str">
        <f>IF(R6="IRRIGATED",IF(F6&gt;=SCORES!I$6,1,0),"")</f>
        <v/>
      </c>
    </row>
    <row r="7" spans="1:20" x14ac:dyDescent="0.25">
      <c r="A7">
        <v>4.0898163182726002</v>
      </c>
      <c r="B7">
        <v>0.2</v>
      </c>
      <c r="C7" t="s">
        <v>102</v>
      </c>
      <c r="D7">
        <v>31</v>
      </c>
      <c r="E7">
        <v>239</v>
      </c>
      <c r="F7">
        <v>456</v>
      </c>
      <c r="G7">
        <v>0</v>
      </c>
      <c r="J7">
        <v>189</v>
      </c>
      <c r="K7" t="s">
        <v>173</v>
      </c>
      <c r="L7">
        <v>56</v>
      </c>
      <c r="O7">
        <v>3</v>
      </c>
      <c r="P7">
        <v>1963</v>
      </c>
      <c r="R7" t="s">
        <v>55</v>
      </c>
      <c r="S7">
        <v>2018</v>
      </c>
      <c r="T7" s="34" t="str">
        <f>IF(R7="IRRIGATED",IF(F7&gt;=SCORES!I$6,1,0),"")</f>
        <v/>
      </c>
    </row>
    <row r="8" spans="1:20" x14ac:dyDescent="0.25">
      <c r="A8">
        <v>1103.4963688442199</v>
      </c>
      <c r="B8">
        <v>9.4</v>
      </c>
      <c r="C8" t="s">
        <v>106</v>
      </c>
      <c r="D8">
        <v>34</v>
      </c>
      <c r="E8">
        <v>302</v>
      </c>
      <c r="F8">
        <v>358</v>
      </c>
      <c r="G8">
        <v>82</v>
      </c>
      <c r="H8">
        <v>0.126172476181793</v>
      </c>
      <c r="I8">
        <v>0.52725009227184905</v>
      </c>
      <c r="J8">
        <v>218</v>
      </c>
      <c r="K8" t="s">
        <v>173</v>
      </c>
      <c r="L8">
        <v>1342</v>
      </c>
      <c r="M8">
        <v>0.92854274445001805</v>
      </c>
      <c r="N8">
        <v>0.49314123381986502</v>
      </c>
      <c r="O8">
        <v>1</v>
      </c>
      <c r="P8">
        <v>6380</v>
      </c>
      <c r="Q8">
        <v>7342</v>
      </c>
      <c r="R8" t="s">
        <v>39</v>
      </c>
      <c r="S8">
        <v>2018</v>
      </c>
      <c r="T8" s="34">
        <f>IF(R8="IRRIGATED",IF(F8&gt;=SCORES!I$6,1,0),"")</f>
        <v>1</v>
      </c>
    </row>
    <row r="9" spans="1:20" x14ac:dyDescent="0.25">
      <c r="A9">
        <v>1027.58627186422</v>
      </c>
      <c r="B9">
        <v>9.9</v>
      </c>
      <c r="C9" t="s">
        <v>106</v>
      </c>
      <c r="D9">
        <v>34</v>
      </c>
      <c r="E9">
        <v>263</v>
      </c>
      <c r="F9">
        <v>336</v>
      </c>
      <c r="G9">
        <v>34</v>
      </c>
      <c r="H9">
        <v>4.0802421096639903E-2</v>
      </c>
      <c r="I9">
        <v>0.38562955986719799</v>
      </c>
      <c r="J9">
        <v>224</v>
      </c>
      <c r="K9" t="s">
        <v>173</v>
      </c>
      <c r="L9">
        <v>57</v>
      </c>
      <c r="M9">
        <v>0.92393575277522599</v>
      </c>
      <c r="N9">
        <v>0.90944058230462299</v>
      </c>
      <c r="O9">
        <v>2</v>
      </c>
      <c r="P9">
        <v>7535</v>
      </c>
      <c r="Q9">
        <v>10404</v>
      </c>
      <c r="R9" t="s">
        <v>39</v>
      </c>
      <c r="S9">
        <v>2018</v>
      </c>
      <c r="T9" s="34">
        <f>IF(R9="IRRIGATED",IF(F9&gt;=SCORES!I$6,1,0),"")</f>
        <v>1</v>
      </c>
    </row>
    <row r="10" spans="1:20" x14ac:dyDescent="0.25">
      <c r="A10">
        <v>788.22196759386497</v>
      </c>
      <c r="B10">
        <v>29.9</v>
      </c>
      <c r="C10" t="s">
        <v>106</v>
      </c>
      <c r="D10">
        <v>34</v>
      </c>
      <c r="E10">
        <v>460</v>
      </c>
      <c r="F10">
        <v>553</v>
      </c>
      <c r="G10">
        <v>151</v>
      </c>
      <c r="H10">
        <v>9.8095934790621203E-2</v>
      </c>
      <c r="I10">
        <v>0.33488716120267398</v>
      </c>
      <c r="J10">
        <v>307</v>
      </c>
      <c r="K10" t="s">
        <v>173</v>
      </c>
      <c r="L10">
        <v>99</v>
      </c>
      <c r="O10">
        <v>3</v>
      </c>
      <c r="P10">
        <v>3435</v>
      </c>
      <c r="Q10">
        <v>4487</v>
      </c>
      <c r="R10" t="s">
        <v>39</v>
      </c>
      <c r="S10">
        <v>2018</v>
      </c>
      <c r="T10" s="34">
        <f>IF(R10="IRRIGATED",IF(F10&gt;=SCORES!I$6,1,0),"")</f>
        <v>1</v>
      </c>
    </row>
    <row r="11" spans="1:20" x14ac:dyDescent="0.25">
      <c r="A11">
        <v>327.26933558292399</v>
      </c>
      <c r="B11">
        <v>2.8</v>
      </c>
      <c r="C11" t="s">
        <v>106</v>
      </c>
      <c r="D11">
        <v>34</v>
      </c>
      <c r="E11">
        <v>225</v>
      </c>
      <c r="F11">
        <v>302</v>
      </c>
      <c r="G11">
        <v>0</v>
      </c>
      <c r="J11">
        <v>217</v>
      </c>
      <c r="K11" t="s">
        <v>173</v>
      </c>
      <c r="L11">
        <v>1303</v>
      </c>
      <c r="M11">
        <v>0.92854274445001805</v>
      </c>
      <c r="N11">
        <v>0.49314123381986502</v>
      </c>
      <c r="O11">
        <v>1</v>
      </c>
      <c r="P11">
        <v>5071</v>
      </c>
      <c r="R11" t="s">
        <v>55</v>
      </c>
      <c r="S11">
        <v>2018</v>
      </c>
      <c r="T11" s="34" t="str">
        <f>IF(R11="IRRIGATED",IF(F11&gt;=SCORES!I$6,1,0),"")</f>
        <v/>
      </c>
    </row>
    <row r="12" spans="1:20" x14ac:dyDescent="0.25">
      <c r="A12">
        <v>368.601106548823</v>
      </c>
      <c r="B12">
        <v>3.5</v>
      </c>
      <c r="C12" t="s">
        <v>106</v>
      </c>
      <c r="D12">
        <v>34</v>
      </c>
      <c r="E12">
        <v>238</v>
      </c>
      <c r="F12">
        <v>320</v>
      </c>
      <c r="G12">
        <v>0</v>
      </c>
      <c r="J12">
        <v>224</v>
      </c>
      <c r="K12" t="s">
        <v>173</v>
      </c>
      <c r="L12">
        <v>57</v>
      </c>
      <c r="M12">
        <v>0.92393575277522599</v>
      </c>
      <c r="N12">
        <v>0.90944058230462299</v>
      </c>
      <c r="O12">
        <v>2</v>
      </c>
      <c r="P12">
        <v>6439</v>
      </c>
      <c r="R12" t="s">
        <v>55</v>
      </c>
      <c r="S12">
        <v>2018</v>
      </c>
      <c r="T12" s="34" t="str">
        <f>IF(R12="IRRIGATED",IF(F12&gt;=SCORES!I$6,1,0),"")</f>
        <v/>
      </c>
    </row>
    <row r="13" spans="1:20" x14ac:dyDescent="0.25">
      <c r="A13">
        <v>55.825652434880801</v>
      </c>
      <c r="B13">
        <v>2.1</v>
      </c>
      <c r="C13" t="s">
        <v>106</v>
      </c>
      <c r="D13">
        <v>34</v>
      </c>
      <c r="E13">
        <v>407</v>
      </c>
      <c r="F13">
        <v>529</v>
      </c>
      <c r="G13">
        <v>0</v>
      </c>
      <c r="J13">
        <v>291</v>
      </c>
      <c r="K13" t="s">
        <v>173</v>
      </c>
      <c r="L13">
        <v>95</v>
      </c>
      <c r="O13">
        <v>3</v>
      </c>
      <c r="P13">
        <v>3451</v>
      </c>
      <c r="R13" t="s">
        <v>55</v>
      </c>
      <c r="S13">
        <v>2018</v>
      </c>
      <c r="T13" s="34" t="str">
        <f>IF(R13="IRRIGATED",IF(F13&gt;=SCORES!I$6,1,0),"")</f>
        <v/>
      </c>
    </row>
    <row r="14" spans="1:20" x14ac:dyDescent="0.25">
      <c r="A14">
        <v>59.843343867378898</v>
      </c>
      <c r="B14">
        <v>0.5</v>
      </c>
      <c r="C14" t="s">
        <v>42</v>
      </c>
      <c r="D14">
        <v>4</v>
      </c>
      <c r="E14">
        <v>633</v>
      </c>
      <c r="F14">
        <v>745</v>
      </c>
      <c r="G14">
        <v>88</v>
      </c>
      <c r="H14">
        <v>8.9735727844073895E-2</v>
      </c>
      <c r="I14">
        <v>0.75002358981967299</v>
      </c>
      <c r="J14">
        <v>523</v>
      </c>
      <c r="K14" t="s">
        <v>173</v>
      </c>
      <c r="L14">
        <v>1242</v>
      </c>
      <c r="O14">
        <v>0</v>
      </c>
      <c r="P14">
        <v>15645</v>
      </c>
      <c r="Q14">
        <v>18670</v>
      </c>
      <c r="R14" t="s">
        <v>39</v>
      </c>
      <c r="S14">
        <v>2018</v>
      </c>
      <c r="T14" s="34">
        <f>IF(R14="IRRIGATED",IF(F14&gt;=SCORES!I$6,1,0),"")</f>
        <v>1</v>
      </c>
    </row>
    <row r="15" spans="1:20" x14ac:dyDescent="0.25">
      <c r="A15">
        <v>10.8345299928403</v>
      </c>
      <c r="B15">
        <v>0.1</v>
      </c>
      <c r="C15" t="s">
        <v>42</v>
      </c>
      <c r="D15">
        <v>4</v>
      </c>
      <c r="E15">
        <v>418</v>
      </c>
      <c r="F15">
        <v>569</v>
      </c>
      <c r="G15">
        <v>0</v>
      </c>
      <c r="J15">
        <v>394</v>
      </c>
      <c r="K15" t="s">
        <v>173</v>
      </c>
      <c r="L15">
        <v>1184</v>
      </c>
      <c r="O15">
        <v>0</v>
      </c>
      <c r="P15">
        <v>9845</v>
      </c>
      <c r="R15" t="s">
        <v>55</v>
      </c>
      <c r="S15">
        <v>2018</v>
      </c>
      <c r="T15" s="34" t="str">
        <f>IF(R15="IRRIGATED",IF(F15&gt;=SCORES!I$6,1,0),"")</f>
        <v/>
      </c>
    </row>
    <row r="16" spans="1:20" x14ac:dyDescent="0.25">
      <c r="A16">
        <v>2204.0051542435499</v>
      </c>
      <c r="B16">
        <v>18.7</v>
      </c>
      <c r="C16" t="s">
        <v>43</v>
      </c>
      <c r="D16">
        <v>5</v>
      </c>
      <c r="E16">
        <v>954</v>
      </c>
      <c r="F16">
        <v>1107</v>
      </c>
      <c r="G16">
        <v>248</v>
      </c>
      <c r="H16">
        <v>8.9735727844073895E-2</v>
      </c>
      <c r="I16">
        <v>0.75002358981967299</v>
      </c>
      <c r="J16">
        <v>700</v>
      </c>
      <c r="K16" t="s">
        <v>173</v>
      </c>
      <c r="L16">
        <v>1401</v>
      </c>
      <c r="O16">
        <v>0</v>
      </c>
      <c r="P16">
        <v>14847</v>
      </c>
      <c r="Q16">
        <v>17291</v>
      </c>
      <c r="R16" t="s">
        <v>39</v>
      </c>
      <c r="S16">
        <v>2018</v>
      </c>
      <c r="T16" s="34">
        <f>IF(R16="IRRIGATED",IF(F16&gt;=SCORES!I$6,1,0),"")</f>
        <v>1</v>
      </c>
    </row>
    <row r="17" spans="1:20" x14ac:dyDescent="0.25">
      <c r="A17">
        <v>44.942276484225403</v>
      </c>
      <c r="B17">
        <v>0.4</v>
      </c>
      <c r="C17" t="s">
        <v>43</v>
      </c>
      <c r="D17">
        <v>5</v>
      </c>
      <c r="E17">
        <v>733</v>
      </c>
      <c r="F17">
        <v>1003</v>
      </c>
      <c r="G17">
        <v>0</v>
      </c>
      <c r="J17">
        <v>632</v>
      </c>
      <c r="K17" t="s">
        <v>173</v>
      </c>
      <c r="L17">
        <v>1363</v>
      </c>
      <c r="O17">
        <v>0</v>
      </c>
      <c r="P17">
        <v>11556</v>
      </c>
      <c r="R17" t="s">
        <v>55</v>
      </c>
      <c r="S17">
        <v>2018</v>
      </c>
      <c r="T17" s="34" t="str">
        <f>IF(R17="IRRIGATED",IF(F17&gt;=SCORES!I$6,1,0),"")</f>
        <v/>
      </c>
    </row>
    <row r="18" spans="1:20" x14ac:dyDescent="0.25">
      <c r="A18">
        <v>6429.0185732130503</v>
      </c>
      <c r="B18">
        <v>54.5</v>
      </c>
      <c r="C18" t="s">
        <v>38</v>
      </c>
      <c r="D18">
        <v>1</v>
      </c>
      <c r="E18">
        <v>496</v>
      </c>
      <c r="F18">
        <v>573</v>
      </c>
      <c r="G18">
        <v>81</v>
      </c>
      <c r="H18">
        <v>8.9735727844073895E-2</v>
      </c>
      <c r="I18">
        <v>0.75002358981967299</v>
      </c>
      <c r="J18">
        <v>406</v>
      </c>
      <c r="K18" t="s">
        <v>173</v>
      </c>
      <c r="L18">
        <v>1313</v>
      </c>
      <c r="O18">
        <v>0</v>
      </c>
      <c r="P18">
        <v>11892</v>
      </c>
      <c r="Q18">
        <v>14094</v>
      </c>
      <c r="R18" t="s">
        <v>39</v>
      </c>
      <c r="S18">
        <v>2018</v>
      </c>
      <c r="T18" s="34">
        <f>IF(R18="IRRIGATED",IF(F18&gt;=SCORES!I$6,1,0),"")</f>
        <v>1</v>
      </c>
    </row>
    <row r="19" spans="1:20" x14ac:dyDescent="0.25">
      <c r="A19">
        <v>2248.5740852476201</v>
      </c>
      <c r="B19">
        <v>19.100000000000001</v>
      </c>
      <c r="C19" t="s">
        <v>38</v>
      </c>
      <c r="D19">
        <v>1</v>
      </c>
      <c r="E19">
        <v>388</v>
      </c>
      <c r="F19">
        <v>469</v>
      </c>
      <c r="G19">
        <v>0</v>
      </c>
      <c r="J19">
        <v>377</v>
      </c>
      <c r="K19" t="s">
        <v>173</v>
      </c>
      <c r="L19">
        <v>1301</v>
      </c>
      <c r="O19">
        <v>0</v>
      </c>
      <c r="P19">
        <v>8815</v>
      </c>
      <c r="R19" t="s">
        <v>55</v>
      </c>
      <c r="S19">
        <v>2018</v>
      </c>
      <c r="T19" s="34" t="str">
        <f>IF(R19="IRRIGATED",IF(F19&gt;=SCORES!I$6,1,0),"")</f>
        <v/>
      </c>
    </row>
    <row r="20" spans="1:20" x14ac:dyDescent="0.25">
      <c r="A20">
        <v>1486.84613455358</v>
      </c>
      <c r="B20">
        <v>56.5</v>
      </c>
      <c r="C20" t="s">
        <v>53</v>
      </c>
      <c r="D20">
        <v>14</v>
      </c>
      <c r="E20">
        <v>493</v>
      </c>
      <c r="F20">
        <v>573</v>
      </c>
      <c r="G20">
        <v>181</v>
      </c>
      <c r="H20">
        <v>9.8095934790621203E-2</v>
      </c>
      <c r="I20">
        <v>0.33488716120267398</v>
      </c>
      <c r="J20">
        <v>310</v>
      </c>
      <c r="K20" t="s">
        <v>173</v>
      </c>
      <c r="L20">
        <v>99</v>
      </c>
      <c r="O20">
        <v>3</v>
      </c>
      <c r="P20">
        <v>3385</v>
      </c>
      <c r="Q20">
        <v>4074</v>
      </c>
      <c r="R20" t="s">
        <v>39</v>
      </c>
      <c r="S20">
        <v>2018</v>
      </c>
      <c r="T20" s="34">
        <f>IF(R20="IRRIGATED",IF(F20&gt;=SCORES!I$6,1,0),"")</f>
        <v>1</v>
      </c>
    </row>
    <row r="21" spans="1:20" x14ac:dyDescent="0.25">
      <c r="A21">
        <v>141.06024110038501</v>
      </c>
      <c r="B21">
        <v>1.2</v>
      </c>
      <c r="C21" t="s">
        <v>53</v>
      </c>
      <c r="D21">
        <v>14</v>
      </c>
      <c r="E21">
        <v>342</v>
      </c>
      <c r="F21">
        <v>378</v>
      </c>
      <c r="G21">
        <v>125</v>
      </c>
      <c r="H21">
        <v>0.126172476181793</v>
      </c>
      <c r="I21">
        <v>0.52725009227184905</v>
      </c>
      <c r="J21">
        <v>216</v>
      </c>
      <c r="K21" t="s">
        <v>173</v>
      </c>
      <c r="L21">
        <v>1345</v>
      </c>
      <c r="O21">
        <v>1</v>
      </c>
      <c r="P21">
        <v>6652</v>
      </c>
      <c r="Q21">
        <v>7128</v>
      </c>
      <c r="R21" t="s">
        <v>39</v>
      </c>
      <c r="S21">
        <v>2018</v>
      </c>
      <c r="T21" s="34">
        <f>IF(R21="IRRIGATED",IF(F21&gt;=SCORES!I$6,1,0),"")</f>
        <v>1</v>
      </c>
    </row>
    <row r="22" spans="1:20" x14ac:dyDescent="0.25">
      <c r="A22">
        <v>13.1352250055171</v>
      </c>
      <c r="B22">
        <v>0.1</v>
      </c>
      <c r="C22" t="s">
        <v>53</v>
      </c>
      <c r="D22">
        <v>14</v>
      </c>
      <c r="E22">
        <v>340</v>
      </c>
      <c r="F22">
        <v>388</v>
      </c>
      <c r="G22">
        <v>0</v>
      </c>
      <c r="J22">
        <v>210</v>
      </c>
      <c r="K22" t="s">
        <v>173</v>
      </c>
      <c r="L22">
        <v>1296</v>
      </c>
      <c r="O22">
        <v>1</v>
      </c>
      <c r="P22">
        <v>6662</v>
      </c>
      <c r="R22" t="s">
        <v>55</v>
      </c>
      <c r="S22">
        <v>2018</v>
      </c>
      <c r="T22" s="34" t="str">
        <f>IF(R22="IRRIGATED",IF(F22&gt;=SCORES!I$6,1,0),"")</f>
        <v/>
      </c>
    </row>
    <row r="23" spans="1:20" x14ac:dyDescent="0.25">
      <c r="A23">
        <v>23.214123270491001</v>
      </c>
      <c r="B23">
        <v>0.9</v>
      </c>
      <c r="C23" t="s">
        <v>53</v>
      </c>
      <c r="D23">
        <v>14</v>
      </c>
      <c r="E23">
        <v>290</v>
      </c>
      <c r="F23">
        <v>577</v>
      </c>
      <c r="G23">
        <v>0</v>
      </c>
      <c r="J23">
        <v>182</v>
      </c>
      <c r="K23" t="s">
        <v>173</v>
      </c>
      <c r="L23">
        <v>59</v>
      </c>
      <c r="O23">
        <v>3</v>
      </c>
      <c r="P23">
        <v>2281</v>
      </c>
      <c r="R23" t="s">
        <v>55</v>
      </c>
      <c r="S23">
        <v>2018</v>
      </c>
      <c r="T23" s="34" t="str">
        <f>IF(R23="IRRIGATED",IF(F23&gt;=SCORES!I$6,1,0),"")</f>
        <v/>
      </c>
    </row>
    <row r="24" spans="1:20" x14ac:dyDescent="0.25">
      <c r="A24">
        <v>180.69503764097601</v>
      </c>
      <c r="B24">
        <v>6.9</v>
      </c>
      <c r="C24" t="s">
        <v>49</v>
      </c>
      <c r="D24">
        <v>15</v>
      </c>
      <c r="E24">
        <v>336</v>
      </c>
      <c r="F24">
        <v>412</v>
      </c>
      <c r="G24">
        <v>76</v>
      </c>
      <c r="H24">
        <v>9.8095934790621203E-2</v>
      </c>
      <c r="I24">
        <v>0.33488716120267398</v>
      </c>
      <c r="J24">
        <v>258</v>
      </c>
      <c r="K24" t="s">
        <v>173</v>
      </c>
      <c r="L24">
        <v>68</v>
      </c>
      <c r="O24">
        <v>3</v>
      </c>
      <c r="P24">
        <v>2729</v>
      </c>
      <c r="Q24">
        <v>3429</v>
      </c>
      <c r="R24" t="s">
        <v>39</v>
      </c>
      <c r="S24">
        <v>2018</v>
      </c>
      <c r="T24" s="34">
        <f>IF(R24="IRRIGATED",IF(F24&gt;=SCORES!I$6,1,0),"")</f>
        <v>1</v>
      </c>
    </row>
    <row r="25" spans="1:20" x14ac:dyDescent="0.25">
      <c r="A25">
        <v>501.66725891546099</v>
      </c>
      <c r="B25">
        <v>4.3</v>
      </c>
      <c r="C25" t="s">
        <v>49</v>
      </c>
      <c r="D25">
        <v>15</v>
      </c>
      <c r="E25">
        <v>288</v>
      </c>
      <c r="F25">
        <v>314</v>
      </c>
      <c r="G25">
        <v>71</v>
      </c>
      <c r="H25">
        <v>0.126172476181793</v>
      </c>
      <c r="I25">
        <v>0.52725009227184905</v>
      </c>
      <c r="J25">
        <v>216</v>
      </c>
      <c r="K25" t="s">
        <v>173</v>
      </c>
      <c r="L25">
        <v>1300</v>
      </c>
      <c r="O25">
        <v>1</v>
      </c>
      <c r="P25">
        <v>6208</v>
      </c>
      <c r="Q25">
        <v>6619</v>
      </c>
      <c r="R25" t="s">
        <v>39</v>
      </c>
      <c r="S25">
        <v>2018</v>
      </c>
      <c r="T25" s="34">
        <f>IF(R25="IRRIGATED",IF(F25&gt;=SCORES!I$6,1,0),"")</f>
        <v>1</v>
      </c>
    </row>
    <row r="26" spans="1:20" x14ac:dyDescent="0.25">
      <c r="A26">
        <v>54.598896247247403</v>
      </c>
      <c r="B26">
        <v>0.5</v>
      </c>
      <c r="C26" t="s">
        <v>49</v>
      </c>
      <c r="D26">
        <v>15</v>
      </c>
      <c r="E26">
        <v>229</v>
      </c>
      <c r="F26">
        <v>288</v>
      </c>
      <c r="G26">
        <v>28</v>
      </c>
      <c r="H26">
        <v>4.0802421096639903E-2</v>
      </c>
      <c r="I26">
        <v>0.38562955986719799</v>
      </c>
      <c r="J26">
        <v>197</v>
      </c>
      <c r="K26" t="s">
        <v>173</v>
      </c>
      <c r="L26">
        <v>52</v>
      </c>
      <c r="O26">
        <v>2</v>
      </c>
      <c r="P26">
        <v>6293</v>
      </c>
      <c r="Q26">
        <v>9319</v>
      </c>
      <c r="R26" t="s">
        <v>39</v>
      </c>
      <c r="S26">
        <v>2018</v>
      </c>
      <c r="T26" s="34">
        <f>IF(R26="IRRIGATED",IF(F26&gt;=SCORES!I$6,1,0),"")</f>
        <v>0</v>
      </c>
    </row>
    <row r="27" spans="1:20" x14ac:dyDescent="0.25">
      <c r="A27">
        <v>54.429868623097697</v>
      </c>
      <c r="B27">
        <v>0.5</v>
      </c>
      <c r="C27" t="s">
        <v>49</v>
      </c>
      <c r="D27">
        <v>15</v>
      </c>
      <c r="E27">
        <v>266</v>
      </c>
      <c r="F27">
        <v>308</v>
      </c>
      <c r="G27">
        <v>0</v>
      </c>
      <c r="J27">
        <v>209</v>
      </c>
      <c r="K27" t="s">
        <v>173</v>
      </c>
      <c r="L27">
        <v>1264</v>
      </c>
      <c r="O27">
        <v>1</v>
      </c>
      <c r="P27">
        <v>5810</v>
      </c>
      <c r="R27" t="s">
        <v>55</v>
      </c>
      <c r="S27">
        <v>2018</v>
      </c>
      <c r="T27" s="34" t="str">
        <f>IF(R27="IRRIGATED",IF(F27&gt;=SCORES!I$6,1,0),"")</f>
        <v/>
      </c>
    </row>
    <row r="28" spans="1:20" x14ac:dyDescent="0.25">
      <c r="A28">
        <v>33.8776154336338</v>
      </c>
      <c r="B28">
        <v>0.3</v>
      </c>
      <c r="C28" t="s">
        <v>49</v>
      </c>
      <c r="D28">
        <v>15</v>
      </c>
      <c r="E28">
        <v>260</v>
      </c>
      <c r="F28">
        <v>344</v>
      </c>
      <c r="G28">
        <v>0</v>
      </c>
      <c r="J28">
        <v>222</v>
      </c>
      <c r="K28" t="s">
        <v>173</v>
      </c>
      <c r="L28">
        <v>57</v>
      </c>
      <c r="O28">
        <v>2</v>
      </c>
      <c r="P28">
        <v>7359</v>
      </c>
      <c r="R28" t="s">
        <v>55</v>
      </c>
      <c r="S28">
        <v>2018</v>
      </c>
      <c r="T28" s="34" t="str">
        <f>IF(R28="IRRIGATED",IF(F28&gt;=SCORES!I$6,1,0),"")</f>
        <v/>
      </c>
    </row>
    <row r="29" spans="1:20" x14ac:dyDescent="0.25">
      <c r="A29">
        <v>7.8548074236043304</v>
      </c>
      <c r="B29">
        <v>0.3</v>
      </c>
      <c r="C29" t="s">
        <v>49</v>
      </c>
      <c r="D29">
        <v>15</v>
      </c>
      <c r="E29">
        <v>147</v>
      </c>
      <c r="F29">
        <v>370</v>
      </c>
      <c r="G29">
        <v>0</v>
      </c>
      <c r="J29">
        <v>118</v>
      </c>
      <c r="K29" t="s">
        <v>173</v>
      </c>
      <c r="L29">
        <v>32</v>
      </c>
      <c r="O29">
        <v>3</v>
      </c>
      <c r="P29">
        <v>1338</v>
      </c>
      <c r="R29" t="s">
        <v>55</v>
      </c>
      <c r="S29">
        <v>2018</v>
      </c>
      <c r="T29" s="34" t="str">
        <f>IF(R29="IRRIGATED",IF(F29&gt;=SCORES!I$6,1,0),"")</f>
        <v/>
      </c>
    </row>
    <row r="30" spans="1:20" x14ac:dyDescent="0.25">
      <c r="A30">
        <v>1586.74937230308</v>
      </c>
      <c r="B30">
        <v>13.5</v>
      </c>
      <c r="C30" t="s">
        <v>98</v>
      </c>
      <c r="D30">
        <v>17</v>
      </c>
      <c r="E30">
        <v>221</v>
      </c>
      <c r="F30">
        <v>264</v>
      </c>
      <c r="G30">
        <v>0</v>
      </c>
      <c r="J30">
        <v>213</v>
      </c>
      <c r="K30" t="s">
        <v>173</v>
      </c>
      <c r="L30">
        <v>1247</v>
      </c>
      <c r="O30">
        <v>1</v>
      </c>
      <c r="P30">
        <v>4919</v>
      </c>
      <c r="R30" t="s">
        <v>55</v>
      </c>
      <c r="S30">
        <v>2018</v>
      </c>
      <c r="T30" s="34" t="str">
        <f>IF(R30="IRRIGATED",IF(F30&gt;=SCORES!I$6,1,0),"")</f>
        <v/>
      </c>
    </row>
    <row r="31" spans="1:20" x14ac:dyDescent="0.25">
      <c r="A31">
        <v>1321.15504789788</v>
      </c>
      <c r="B31">
        <v>12.7</v>
      </c>
      <c r="C31" t="s">
        <v>98</v>
      </c>
      <c r="D31">
        <v>17</v>
      </c>
      <c r="E31">
        <v>193</v>
      </c>
      <c r="F31">
        <v>212</v>
      </c>
      <c r="G31">
        <v>0</v>
      </c>
      <c r="J31">
        <v>186</v>
      </c>
      <c r="K31" t="s">
        <v>173</v>
      </c>
      <c r="L31">
        <v>50</v>
      </c>
      <c r="O31">
        <v>2</v>
      </c>
      <c r="P31">
        <v>4657</v>
      </c>
      <c r="R31" t="s">
        <v>55</v>
      </c>
      <c r="S31">
        <v>2018</v>
      </c>
      <c r="T31" s="34" t="str">
        <f>IF(R31="IRRIGATED",IF(F31&gt;=SCORES!I$6,1,0),"")</f>
        <v/>
      </c>
    </row>
    <row r="32" spans="1:20" x14ac:dyDescent="0.25">
      <c r="A32">
        <v>53.557747630621201</v>
      </c>
      <c r="B32">
        <v>2</v>
      </c>
      <c r="C32" t="s">
        <v>98</v>
      </c>
      <c r="D32">
        <v>17</v>
      </c>
      <c r="E32">
        <v>258</v>
      </c>
      <c r="F32">
        <v>329</v>
      </c>
      <c r="G32">
        <v>0</v>
      </c>
      <c r="J32">
        <v>219</v>
      </c>
      <c r="K32" t="s">
        <v>173</v>
      </c>
      <c r="L32">
        <v>50</v>
      </c>
      <c r="O32">
        <v>3</v>
      </c>
      <c r="P32">
        <v>2748</v>
      </c>
      <c r="R32" t="s">
        <v>55</v>
      </c>
      <c r="S32">
        <v>2018</v>
      </c>
      <c r="T32" s="34" t="str">
        <f>IF(R32="IRRIGATED",IF(F32&gt;=SCORES!I$6,1,0),"")</f>
        <v/>
      </c>
    </row>
    <row r="33" spans="1:20" x14ac:dyDescent="0.25">
      <c r="A33">
        <v>5050.8789496593199</v>
      </c>
      <c r="B33">
        <v>43</v>
      </c>
      <c r="C33" t="s">
        <v>57</v>
      </c>
      <c r="D33">
        <v>2</v>
      </c>
      <c r="E33">
        <v>289</v>
      </c>
      <c r="F33">
        <v>346</v>
      </c>
      <c r="G33">
        <v>71</v>
      </c>
      <c r="H33">
        <v>0.126172476181793</v>
      </c>
      <c r="I33">
        <v>0.52725009227184905</v>
      </c>
      <c r="J33">
        <v>216</v>
      </c>
      <c r="K33" t="s">
        <v>173</v>
      </c>
      <c r="L33">
        <v>1265</v>
      </c>
      <c r="M33">
        <v>0.95435267619954101</v>
      </c>
      <c r="N33">
        <v>0.41419999383122402</v>
      </c>
      <c r="O33">
        <v>1</v>
      </c>
      <c r="P33">
        <v>6299</v>
      </c>
      <c r="Q33">
        <v>7355</v>
      </c>
      <c r="R33" t="s">
        <v>39</v>
      </c>
      <c r="S33">
        <v>2018</v>
      </c>
      <c r="T33" s="34">
        <f>IF(R33="IRRIGATED",IF(F33&gt;=SCORES!I$6,1,0),"")</f>
        <v>1</v>
      </c>
    </row>
    <row r="34" spans="1:20" x14ac:dyDescent="0.25">
      <c r="A34">
        <v>5992.4791311799099</v>
      </c>
      <c r="B34">
        <v>57.5</v>
      </c>
      <c r="C34" t="s">
        <v>57</v>
      </c>
      <c r="D34">
        <v>2</v>
      </c>
      <c r="E34">
        <v>228</v>
      </c>
      <c r="F34">
        <v>272</v>
      </c>
      <c r="G34">
        <v>32</v>
      </c>
      <c r="H34">
        <v>4.0802421096639903E-2</v>
      </c>
      <c r="I34">
        <v>0.38562955986719799</v>
      </c>
      <c r="J34">
        <v>194</v>
      </c>
      <c r="K34" t="s">
        <v>173</v>
      </c>
      <c r="L34">
        <v>51</v>
      </c>
      <c r="M34">
        <v>0.95441365352000995</v>
      </c>
      <c r="N34">
        <v>0.91788744358061303</v>
      </c>
      <c r="O34">
        <v>2</v>
      </c>
      <c r="P34">
        <v>6299</v>
      </c>
      <c r="Q34">
        <v>8955</v>
      </c>
      <c r="R34" t="s">
        <v>39</v>
      </c>
      <c r="S34">
        <v>2018</v>
      </c>
      <c r="T34" s="34">
        <f>IF(R34="IRRIGATED",IF(F34&gt;=SCORES!I$6,1,0),"")</f>
        <v>0</v>
      </c>
    </row>
    <row r="35" spans="1:20" x14ac:dyDescent="0.25">
      <c r="A35">
        <v>1596.0865662609799</v>
      </c>
      <c r="B35">
        <v>13.6</v>
      </c>
      <c r="C35" t="s">
        <v>57</v>
      </c>
      <c r="D35">
        <v>2</v>
      </c>
      <c r="E35">
        <v>212</v>
      </c>
      <c r="F35">
        <v>244</v>
      </c>
      <c r="G35">
        <v>0</v>
      </c>
      <c r="J35">
        <v>211</v>
      </c>
      <c r="K35" t="s">
        <v>173</v>
      </c>
      <c r="L35">
        <v>1158</v>
      </c>
      <c r="M35">
        <v>0.95435267619954101</v>
      </c>
      <c r="N35">
        <v>0.41419999383122402</v>
      </c>
      <c r="O35">
        <v>1</v>
      </c>
      <c r="P35">
        <v>4793</v>
      </c>
      <c r="R35" t="s">
        <v>55</v>
      </c>
      <c r="S35">
        <v>2018</v>
      </c>
      <c r="T35" s="34" t="str">
        <f>IF(R35="IRRIGATED",IF(F35&gt;=SCORES!I$6,1,0),"")</f>
        <v/>
      </c>
    </row>
    <row r="36" spans="1:20" x14ac:dyDescent="0.25">
      <c r="A36">
        <v>611.32788979757197</v>
      </c>
      <c r="B36">
        <v>5.9</v>
      </c>
      <c r="C36" t="s">
        <v>57</v>
      </c>
      <c r="D36">
        <v>2</v>
      </c>
      <c r="E36">
        <v>202</v>
      </c>
      <c r="F36">
        <v>220</v>
      </c>
      <c r="G36">
        <v>0</v>
      </c>
      <c r="J36">
        <v>192</v>
      </c>
      <c r="K36" t="s">
        <v>173</v>
      </c>
      <c r="L36">
        <v>51</v>
      </c>
      <c r="M36">
        <v>0.95441365352000995</v>
      </c>
      <c r="N36">
        <v>0.91788744358061303</v>
      </c>
      <c r="O36">
        <v>2</v>
      </c>
      <c r="P36">
        <v>5126</v>
      </c>
      <c r="R36" t="s">
        <v>55</v>
      </c>
      <c r="S36">
        <v>2018</v>
      </c>
      <c r="T36" s="34" t="str">
        <f>IF(R36="IRRIGATED",IF(F36&gt;=SCORES!I$6,1,0),"")</f>
        <v/>
      </c>
    </row>
    <row r="37" spans="1:20" x14ac:dyDescent="0.25">
      <c r="A37">
        <v>674.82990028568304</v>
      </c>
      <c r="B37">
        <v>5.7</v>
      </c>
      <c r="C37" t="s">
        <v>46</v>
      </c>
      <c r="D37">
        <v>8</v>
      </c>
      <c r="E37">
        <v>1041</v>
      </c>
      <c r="F37">
        <v>1197</v>
      </c>
      <c r="G37">
        <v>224</v>
      </c>
      <c r="H37">
        <v>8.9735727844073895E-2</v>
      </c>
      <c r="I37">
        <v>0.75002358981967299</v>
      </c>
      <c r="J37">
        <v>800</v>
      </c>
      <c r="K37" t="s">
        <v>173</v>
      </c>
      <c r="L37">
        <v>1503</v>
      </c>
      <c r="O37">
        <v>0</v>
      </c>
      <c r="P37">
        <v>19377</v>
      </c>
      <c r="Q37">
        <v>21259</v>
      </c>
      <c r="R37" t="s">
        <v>39</v>
      </c>
      <c r="S37">
        <v>2018</v>
      </c>
      <c r="T37" s="34">
        <f>IF(R37="IRRIGATED",IF(F37&gt;=SCORES!I$6,1,0),"")</f>
        <v>1</v>
      </c>
    </row>
    <row r="38" spans="1:20" x14ac:dyDescent="0.25">
      <c r="A38">
        <v>122.039328824983</v>
      </c>
      <c r="B38">
        <v>1</v>
      </c>
      <c r="C38" t="s">
        <v>46</v>
      </c>
      <c r="D38">
        <v>8</v>
      </c>
      <c r="E38">
        <v>1012</v>
      </c>
      <c r="F38">
        <v>1185</v>
      </c>
      <c r="G38">
        <v>0</v>
      </c>
      <c r="J38">
        <v>806</v>
      </c>
      <c r="K38" t="s">
        <v>173</v>
      </c>
      <c r="L38">
        <v>1513</v>
      </c>
      <c r="O38">
        <v>0</v>
      </c>
      <c r="P38">
        <v>19070</v>
      </c>
      <c r="R38" t="s">
        <v>55</v>
      </c>
      <c r="S38">
        <v>2018</v>
      </c>
      <c r="T38" s="34" t="str">
        <f>IF(R38="IRRIGATED",IF(F38&gt;=SCORES!I$6,1,0),"")</f>
        <v/>
      </c>
    </row>
    <row r="39" spans="1:20" x14ac:dyDescent="0.25">
      <c r="A39">
        <v>486.04367420180398</v>
      </c>
      <c r="B39">
        <v>3.8</v>
      </c>
      <c r="C39" t="s">
        <v>102</v>
      </c>
      <c r="D39">
        <v>31</v>
      </c>
      <c r="E39">
        <v>223</v>
      </c>
      <c r="F39">
        <v>320</v>
      </c>
      <c r="G39">
        <v>22</v>
      </c>
      <c r="H39">
        <v>4.2562362247116903E-2</v>
      </c>
      <c r="I39">
        <v>0.54302631415500702</v>
      </c>
      <c r="J39">
        <v>195</v>
      </c>
      <c r="K39" t="s">
        <v>173</v>
      </c>
      <c r="L39">
        <v>93</v>
      </c>
      <c r="M39">
        <v>0.925152601270122</v>
      </c>
      <c r="N39">
        <v>0.90250255231404397</v>
      </c>
      <c r="O39">
        <v>2</v>
      </c>
      <c r="P39">
        <v>6349</v>
      </c>
      <c r="Q39">
        <v>9465</v>
      </c>
      <c r="R39" t="s">
        <v>39</v>
      </c>
      <c r="S39">
        <v>2019</v>
      </c>
      <c r="T39" s="34">
        <f>IF(R39="IRRIGATED",IF(F39&gt;=SCORES!I$6,1,0),"")</f>
        <v>1</v>
      </c>
    </row>
    <row r="40" spans="1:20" x14ac:dyDescent="0.25">
      <c r="A40">
        <v>804.64819681717495</v>
      </c>
      <c r="B40">
        <v>6</v>
      </c>
      <c r="C40" t="s">
        <v>102</v>
      </c>
      <c r="D40">
        <v>31</v>
      </c>
      <c r="E40">
        <v>235</v>
      </c>
      <c r="F40">
        <v>296</v>
      </c>
      <c r="G40">
        <v>45</v>
      </c>
      <c r="H40">
        <v>0.193306122131854</v>
      </c>
      <c r="I40">
        <v>0.89136114588304005</v>
      </c>
      <c r="J40">
        <v>187</v>
      </c>
      <c r="K40" t="s">
        <v>173</v>
      </c>
      <c r="L40">
        <v>1172</v>
      </c>
      <c r="M40">
        <v>0.91927536211694505</v>
      </c>
      <c r="N40">
        <v>0.35232797217211698</v>
      </c>
      <c r="O40">
        <v>1</v>
      </c>
      <c r="P40">
        <v>4175</v>
      </c>
      <c r="Q40">
        <v>5169</v>
      </c>
      <c r="R40" t="s">
        <v>39</v>
      </c>
      <c r="S40">
        <v>2019</v>
      </c>
      <c r="T40" s="34">
        <f>IF(R40="IRRIGATED",IF(F40&gt;=SCORES!I$6,1,0),"")</f>
        <v>0</v>
      </c>
    </row>
    <row r="41" spans="1:20" x14ac:dyDescent="0.25">
      <c r="A41">
        <v>251.30926642697199</v>
      </c>
      <c r="B41">
        <v>3.1</v>
      </c>
      <c r="C41" t="s">
        <v>102</v>
      </c>
      <c r="D41">
        <v>31</v>
      </c>
      <c r="E41">
        <v>325</v>
      </c>
      <c r="F41">
        <v>438</v>
      </c>
      <c r="G41">
        <v>74</v>
      </c>
      <c r="H41">
        <v>0.104348037828291</v>
      </c>
      <c r="I41">
        <v>0.41887680066525901</v>
      </c>
      <c r="J41">
        <v>248</v>
      </c>
      <c r="K41" t="s">
        <v>173</v>
      </c>
      <c r="L41">
        <v>120</v>
      </c>
      <c r="O41">
        <v>3</v>
      </c>
      <c r="P41">
        <v>4055</v>
      </c>
      <c r="Q41">
        <v>5813</v>
      </c>
      <c r="R41" t="s">
        <v>39</v>
      </c>
      <c r="S41">
        <v>2019</v>
      </c>
      <c r="T41" s="34">
        <f>IF(R41="IRRIGATED",IF(F41&gt;=SCORES!I$6,1,0),"")</f>
        <v>1</v>
      </c>
    </row>
    <row r="42" spans="1:20" x14ac:dyDescent="0.25">
      <c r="A42">
        <v>1024.75739646173</v>
      </c>
      <c r="B42">
        <v>7.7</v>
      </c>
      <c r="C42" t="s">
        <v>102</v>
      </c>
      <c r="D42">
        <v>31</v>
      </c>
      <c r="E42">
        <v>191</v>
      </c>
      <c r="F42">
        <v>228</v>
      </c>
      <c r="G42">
        <v>0</v>
      </c>
      <c r="J42">
        <v>185</v>
      </c>
      <c r="K42" t="s">
        <v>173</v>
      </c>
      <c r="L42">
        <v>1132</v>
      </c>
      <c r="M42">
        <v>0.91927536211694505</v>
      </c>
      <c r="N42">
        <v>0.35232797217211698</v>
      </c>
      <c r="O42">
        <v>1</v>
      </c>
      <c r="P42">
        <v>3474</v>
      </c>
      <c r="R42" t="s">
        <v>55</v>
      </c>
      <c r="S42">
        <v>2019</v>
      </c>
      <c r="T42" s="34" t="str">
        <f>IF(R42="IRRIGATED",IF(F42&gt;=SCORES!I$6,1,0),"")</f>
        <v/>
      </c>
    </row>
    <row r="43" spans="1:20" x14ac:dyDescent="0.25">
      <c r="A43">
        <v>1159.5291868817301</v>
      </c>
      <c r="B43">
        <v>9</v>
      </c>
      <c r="C43" t="s">
        <v>102</v>
      </c>
      <c r="D43">
        <v>31</v>
      </c>
      <c r="E43">
        <v>188</v>
      </c>
      <c r="F43">
        <v>276</v>
      </c>
      <c r="G43">
        <v>0</v>
      </c>
      <c r="J43">
        <v>181</v>
      </c>
      <c r="K43" t="s">
        <v>173</v>
      </c>
      <c r="L43">
        <v>93</v>
      </c>
      <c r="M43">
        <v>0.925152601270122</v>
      </c>
      <c r="N43">
        <v>0.90250255231404397</v>
      </c>
      <c r="O43">
        <v>2</v>
      </c>
      <c r="P43">
        <v>5125</v>
      </c>
      <c r="R43" t="s">
        <v>55</v>
      </c>
      <c r="S43">
        <v>2019</v>
      </c>
      <c r="T43" s="34" t="str">
        <f>IF(R43="IRRIGATED",IF(F43&gt;=SCORES!I$6,1,0),"")</f>
        <v/>
      </c>
    </row>
    <row r="44" spans="1:20" x14ac:dyDescent="0.25">
      <c r="A44">
        <v>58.6419466260812</v>
      </c>
      <c r="B44">
        <v>0.7</v>
      </c>
      <c r="C44" t="s">
        <v>102</v>
      </c>
      <c r="D44">
        <v>31</v>
      </c>
      <c r="E44">
        <v>280</v>
      </c>
      <c r="F44">
        <v>425</v>
      </c>
      <c r="G44">
        <v>0</v>
      </c>
      <c r="J44">
        <v>229</v>
      </c>
      <c r="K44" t="s">
        <v>173</v>
      </c>
      <c r="L44">
        <v>116</v>
      </c>
      <c r="O44">
        <v>3</v>
      </c>
      <c r="P44">
        <v>3483</v>
      </c>
      <c r="R44" t="s">
        <v>55</v>
      </c>
      <c r="S44">
        <v>2019</v>
      </c>
      <c r="T44" s="34" t="str">
        <f>IF(R44="IRRIGATED",IF(F44&gt;=SCORES!I$6,1,0),"")</f>
        <v/>
      </c>
    </row>
    <row r="45" spans="1:20" x14ac:dyDescent="0.25">
      <c r="A45">
        <v>4306.16760870691</v>
      </c>
      <c r="B45">
        <v>33.299999999999997</v>
      </c>
      <c r="C45" t="s">
        <v>106</v>
      </c>
      <c r="D45">
        <v>34</v>
      </c>
      <c r="E45">
        <v>266</v>
      </c>
      <c r="F45">
        <v>334</v>
      </c>
      <c r="G45">
        <v>34</v>
      </c>
      <c r="H45">
        <v>4.2562362247116903E-2</v>
      </c>
      <c r="I45">
        <v>0.54302631415500702</v>
      </c>
      <c r="J45">
        <v>227</v>
      </c>
      <c r="K45" t="s">
        <v>173</v>
      </c>
      <c r="L45">
        <v>98</v>
      </c>
      <c r="M45">
        <v>0.92849869998342305</v>
      </c>
      <c r="N45">
        <v>0.85365428457894399</v>
      </c>
      <c r="O45">
        <v>2</v>
      </c>
      <c r="P45">
        <v>7819</v>
      </c>
      <c r="Q45">
        <v>10165</v>
      </c>
      <c r="R45" t="s">
        <v>39</v>
      </c>
      <c r="S45">
        <v>2019</v>
      </c>
      <c r="T45" s="34">
        <f>IF(R45="IRRIGATED",IF(F45&gt;=SCORES!I$6,1,0),"")</f>
        <v>1</v>
      </c>
    </row>
    <row r="46" spans="1:20" x14ac:dyDescent="0.25">
      <c r="A46">
        <v>3808.661310122</v>
      </c>
      <c r="B46">
        <v>28.6</v>
      </c>
      <c r="C46" t="s">
        <v>106</v>
      </c>
      <c r="D46">
        <v>34</v>
      </c>
      <c r="E46">
        <v>252</v>
      </c>
      <c r="F46">
        <v>336</v>
      </c>
      <c r="G46">
        <v>58</v>
      </c>
      <c r="H46">
        <v>0.193306122131854</v>
      </c>
      <c r="I46">
        <v>0.89136114588304005</v>
      </c>
      <c r="J46">
        <v>190</v>
      </c>
      <c r="K46" t="s">
        <v>173</v>
      </c>
      <c r="L46">
        <v>1225</v>
      </c>
      <c r="M46">
        <v>0.93095674722017496</v>
      </c>
      <c r="N46">
        <v>0.36360957766928398</v>
      </c>
      <c r="O46">
        <v>1</v>
      </c>
      <c r="P46">
        <v>4294</v>
      </c>
      <c r="Q46">
        <v>5568</v>
      </c>
      <c r="R46" t="s">
        <v>39</v>
      </c>
      <c r="S46">
        <v>2019</v>
      </c>
      <c r="T46" s="34">
        <f>IF(R46="IRRIGATED",IF(F46&gt;=SCORES!I$6,1,0),"")</f>
        <v>1</v>
      </c>
    </row>
    <row r="47" spans="1:20" x14ac:dyDescent="0.25">
      <c r="A47">
        <v>4645.8124647906097</v>
      </c>
      <c r="B47">
        <v>56.4</v>
      </c>
      <c r="C47" t="s">
        <v>106</v>
      </c>
      <c r="D47">
        <v>34</v>
      </c>
      <c r="E47">
        <v>404</v>
      </c>
      <c r="F47">
        <v>481</v>
      </c>
      <c r="G47">
        <v>107</v>
      </c>
      <c r="H47">
        <v>0.104348037828291</v>
      </c>
      <c r="I47">
        <v>0.41887680066525901</v>
      </c>
      <c r="J47">
        <v>295</v>
      </c>
      <c r="K47" t="s">
        <v>173</v>
      </c>
      <c r="L47">
        <v>146</v>
      </c>
      <c r="O47">
        <v>3</v>
      </c>
      <c r="P47">
        <v>5210</v>
      </c>
      <c r="Q47">
        <v>6638</v>
      </c>
      <c r="R47" t="s">
        <v>39</v>
      </c>
      <c r="S47">
        <v>2019</v>
      </c>
      <c r="T47" s="34">
        <f>IF(R47="IRRIGATED",IF(F47&gt;=SCORES!I$6,1,0),"")</f>
        <v>1</v>
      </c>
    </row>
    <row r="48" spans="1:20" x14ac:dyDescent="0.25">
      <c r="A48">
        <v>2611.0197078524102</v>
      </c>
      <c r="B48">
        <v>19.600000000000001</v>
      </c>
      <c r="C48" t="s">
        <v>106</v>
      </c>
      <c r="D48">
        <v>34</v>
      </c>
      <c r="E48">
        <v>197</v>
      </c>
      <c r="F48">
        <v>234</v>
      </c>
      <c r="G48">
        <v>0</v>
      </c>
      <c r="J48">
        <v>190</v>
      </c>
      <c r="K48" t="s">
        <v>173</v>
      </c>
      <c r="L48">
        <v>1208</v>
      </c>
      <c r="M48">
        <v>0.93095674722017496</v>
      </c>
      <c r="N48">
        <v>0.36360957766928398</v>
      </c>
      <c r="O48">
        <v>1</v>
      </c>
      <c r="P48">
        <v>3496</v>
      </c>
      <c r="R48" t="s">
        <v>55</v>
      </c>
      <c r="S48">
        <v>2019</v>
      </c>
      <c r="T48" s="34" t="str">
        <f>IF(R48="IRRIGATED",IF(F48&gt;=SCORES!I$6,1,0),"")</f>
        <v/>
      </c>
    </row>
    <row r="49" spans="1:20" x14ac:dyDescent="0.25">
      <c r="A49">
        <v>2096.6907208323801</v>
      </c>
      <c r="B49">
        <v>16.2</v>
      </c>
      <c r="C49" t="s">
        <v>106</v>
      </c>
      <c r="D49">
        <v>34</v>
      </c>
      <c r="E49">
        <v>237</v>
      </c>
      <c r="F49">
        <v>318</v>
      </c>
      <c r="G49">
        <v>0</v>
      </c>
      <c r="J49">
        <v>220</v>
      </c>
      <c r="K49" t="s">
        <v>173</v>
      </c>
      <c r="L49">
        <v>98</v>
      </c>
      <c r="M49">
        <v>0.92849869998342305</v>
      </c>
      <c r="N49">
        <v>0.85365428457894399</v>
      </c>
      <c r="O49">
        <v>2</v>
      </c>
      <c r="P49">
        <v>6684</v>
      </c>
      <c r="R49" t="s">
        <v>55</v>
      </c>
      <c r="S49">
        <v>2019</v>
      </c>
      <c r="T49" s="34" t="str">
        <f>IF(R49="IRRIGATED",IF(F49&gt;=SCORES!I$6,1,0),"")</f>
        <v/>
      </c>
    </row>
    <row r="50" spans="1:20" x14ac:dyDescent="0.25">
      <c r="A50">
        <v>558.16472716569501</v>
      </c>
      <c r="B50">
        <v>6.8</v>
      </c>
      <c r="C50" t="s">
        <v>106</v>
      </c>
      <c r="D50">
        <v>34</v>
      </c>
      <c r="E50">
        <v>368</v>
      </c>
      <c r="F50">
        <v>445</v>
      </c>
      <c r="G50">
        <v>0</v>
      </c>
      <c r="J50">
        <v>289</v>
      </c>
      <c r="K50" t="s">
        <v>173</v>
      </c>
      <c r="L50">
        <v>147</v>
      </c>
      <c r="O50">
        <v>3</v>
      </c>
      <c r="P50">
        <v>4894</v>
      </c>
      <c r="R50" t="s">
        <v>55</v>
      </c>
      <c r="S50">
        <v>2019</v>
      </c>
      <c r="T50" s="34" t="str">
        <f>IF(R50="IRRIGATED",IF(F50&gt;=SCORES!I$6,1,0),"")</f>
        <v/>
      </c>
    </row>
    <row r="51" spans="1:20" x14ac:dyDescent="0.25">
      <c r="A51">
        <v>75.894637203207495</v>
      </c>
      <c r="B51">
        <v>0.6</v>
      </c>
      <c r="C51" t="s">
        <v>42</v>
      </c>
      <c r="D51">
        <v>4</v>
      </c>
      <c r="E51">
        <v>382</v>
      </c>
      <c r="F51">
        <v>545</v>
      </c>
      <c r="G51">
        <v>69</v>
      </c>
      <c r="H51">
        <v>8.7340805097124496E-2</v>
      </c>
      <c r="I51">
        <v>0.664382019266052</v>
      </c>
      <c r="J51">
        <v>305</v>
      </c>
      <c r="K51" t="s">
        <v>173</v>
      </c>
      <c r="L51">
        <v>839</v>
      </c>
      <c r="O51">
        <v>0</v>
      </c>
      <c r="P51">
        <v>8449</v>
      </c>
      <c r="Q51">
        <v>14292</v>
      </c>
      <c r="R51" t="s">
        <v>39</v>
      </c>
      <c r="S51">
        <v>2019</v>
      </c>
      <c r="T51" s="34">
        <f>IF(R51="IRRIGATED",IF(F51&gt;=SCORES!I$6,1,0),"")</f>
        <v>1</v>
      </c>
    </row>
    <row r="52" spans="1:20" x14ac:dyDescent="0.25">
      <c r="A52">
        <v>42.775744847127903</v>
      </c>
      <c r="B52">
        <v>0.3</v>
      </c>
      <c r="C52" t="s">
        <v>42</v>
      </c>
      <c r="D52">
        <v>4</v>
      </c>
      <c r="E52">
        <v>351</v>
      </c>
      <c r="F52">
        <v>473</v>
      </c>
      <c r="G52">
        <v>0</v>
      </c>
      <c r="J52">
        <v>324</v>
      </c>
      <c r="K52" t="s">
        <v>173</v>
      </c>
      <c r="L52">
        <v>1012</v>
      </c>
      <c r="O52">
        <v>0</v>
      </c>
      <c r="P52">
        <v>7588</v>
      </c>
      <c r="R52" t="s">
        <v>55</v>
      </c>
      <c r="S52">
        <v>2019</v>
      </c>
      <c r="T52" s="34" t="str">
        <f>IF(R52="IRRIGATED",IF(F52&gt;=SCORES!I$6,1,0),"")</f>
        <v/>
      </c>
    </row>
    <row r="53" spans="1:20" x14ac:dyDescent="0.25">
      <c r="A53">
        <v>4609.0600970074602</v>
      </c>
      <c r="B53">
        <v>33.9</v>
      </c>
      <c r="C53" t="s">
        <v>43</v>
      </c>
      <c r="D53">
        <v>5</v>
      </c>
      <c r="E53">
        <v>822</v>
      </c>
      <c r="F53">
        <v>971</v>
      </c>
      <c r="G53">
        <v>171</v>
      </c>
      <c r="H53">
        <v>8.7340805097124496E-2</v>
      </c>
      <c r="I53">
        <v>0.664382019266052</v>
      </c>
      <c r="J53">
        <v>642</v>
      </c>
      <c r="K53" t="s">
        <v>173</v>
      </c>
      <c r="L53">
        <v>1393</v>
      </c>
      <c r="O53">
        <v>0</v>
      </c>
      <c r="P53">
        <v>14289</v>
      </c>
      <c r="Q53">
        <v>17314</v>
      </c>
      <c r="R53" t="s">
        <v>39</v>
      </c>
      <c r="S53">
        <v>2019</v>
      </c>
      <c r="T53" s="34">
        <f>IF(R53="IRRIGATED",IF(F53&gt;=SCORES!I$6,1,0),"")</f>
        <v>1</v>
      </c>
    </row>
    <row r="54" spans="1:20" x14ac:dyDescent="0.25">
      <c r="A54">
        <v>279.81731720195</v>
      </c>
      <c r="B54">
        <v>2.1</v>
      </c>
      <c r="C54" t="s">
        <v>43</v>
      </c>
      <c r="D54">
        <v>5</v>
      </c>
      <c r="E54">
        <v>663</v>
      </c>
      <c r="F54">
        <v>811</v>
      </c>
      <c r="G54">
        <v>0</v>
      </c>
      <c r="J54">
        <v>595</v>
      </c>
      <c r="K54" t="s">
        <v>173</v>
      </c>
      <c r="L54">
        <v>1410</v>
      </c>
      <c r="O54">
        <v>0</v>
      </c>
      <c r="P54">
        <v>11485</v>
      </c>
      <c r="R54" t="s">
        <v>55</v>
      </c>
      <c r="S54">
        <v>2019</v>
      </c>
      <c r="T54" s="34" t="str">
        <f>IF(R54="IRRIGATED",IF(F54&gt;=SCORES!I$6,1,0),"")</f>
        <v/>
      </c>
    </row>
    <row r="55" spans="1:20" x14ac:dyDescent="0.25">
      <c r="A55">
        <v>49.024805529692401</v>
      </c>
      <c r="B55">
        <v>0.4</v>
      </c>
      <c r="C55" t="s">
        <v>44</v>
      </c>
      <c r="D55">
        <v>6</v>
      </c>
      <c r="E55">
        <v>601</v>
      </c>
      <c r="F55">
        <v>785</v>
      </c>
      <c r="G55">
        <v>138</v>
      </c>
      <c r="H55">
        <v>8.7340805097124496E-2</v>
      </c>
      <c r="I55">
        <v>0.664382019266052</v>
      </c>
      <c r="J55">
        <v>458</v>
      </c>
      <c r="K55" t="s">
        <v>173</v>
      </c>
      <c r="L55">
        <v>225</v>
      </c>
      <c r="O55">
        <v>0</v>
      </c>
      <c r="P55">
        <v>10544</v>
      </c>
      <c r="Q55">
        <v>14107</v>
      </c>
      <c r="R55" t="s">
        <v>39</v>
      </c>
      <c r="S55">
        <v>2019</v>
      </c>
      <c r="T55" s="34">
        <f>IF(R55="IRRIGATED",IF(F55&gt;=SCORES!I$6,1,0),"")</f>
        <v>1</v>
      </c>
    </row>
    <row r="56" spans="1:20" x14ac:dyDescent="0.25">
      <c r="A56">
        <v>2517.5208993528599</v>
      </c>
      <c r="B56">
        <v>18.5</v>
      </c>
      <c r="C56" t="s">
        <v>38</v>
      </c>
      <c r="D56">
        <v>1</v>
      </c>
      <c r="E56">
        <v>436</v>
      </c>
      <c r="F56">
        <v>545</v>
      </c>
      <c r="G56">
        <v>49</v>
      </c>
      <c r="H56">
        <v>8.7340805097124496E-2</v>
      </c>
      <c r="I56">
        <v>0.664382019266052</v>
      </c>
      <c r="J56">
        <v>375</v>
      </c>
      <c r="K56" t="s">
        <v>173</v>
      </c>
      <c r="L56">
        <v>1236</v>
      </c>
      <c r="O56">
        <v>0</v>
      </c>
      <c r="P56">
        <v>9937</v>
      </c>
      <c r="Q56">
        <v>12838</v>
      </c>
      <c r="R56" t="s">
        <v>39</v>
      </c>
      <c r="S56">
        <v>2019</v>
      </c>
      <c r="T56" s="34">
        <f>IF(R56="IRRIGATED",IF(F56&gt;=SCORES!I$6,1,0),"")</f>
        <v>1</v>
      </c>
    </row>
    <row r="57" spans="1:20" x14ac:dyDescent="0.25">
      <c r="A57">
        <v>2020.15637318266</v>
      </c>
      <c r="B57">
        <v>14.8</v>
      </c>
      <c r="C57" t="s">
        <v>38</v>
      </c>
      <c r="D57">
        <v>1</v>
      </c>
      <c r="E57">
        <v>369</v>
      </c>
      <c r="F57">
        <v>469</v>
      </c>
      <c r="G57">
        <v>0</v>
      </c>
      <c r="J57">
        <v>357</v>
      </c>
      <c r="K57" t="s">
        <v>173</v>
      </c>
      <c r="L57">
        <v>1214</v>
      </c>
      <c r="O57">
        <v>0</v>
      </c>
      <c r="P57">
        <v>8102</v>
      </c>
      <c r="R57" t="s">
        <v>55</v>
      </c>
      <c r="S57">
        <v>2019</v>
      </c>
      <c r="T57" s="34" t="str">
        <f>IF(R57="IRRIGATED",IF(F57&gt;=SCORES!I$6,1,0),"")</f>
        <v/>
      </c>
    </row>
    <row r="58" spans="1:20" x14ac:dyDescent="0.25">
      <c r="A58">
        <v>1924.6786916134799</v>
      </c>
      <c r="B58">
        <v>23.4</v>
      </c>
      <c r="C58" t="s">
        <v>53</v>
      </c>
      <c r="D58">
        <v>14</v>
      </c>
      <c r="E58">
        <v>477</v>
      </c>
      <c r="F58">
        <v>537</v>
      </c>
      <c r="G58">
        <v>168</v>
      </c>
      <c r="H58">
        <v>0.104348037828291</v>
      </c>
      <c r="I58">
        <v>0.41887680066525901</v>
      </c>
      <c r="J58">
        <v>307</v>
      </c>
      <c r="K58" t="s">
        <v>173</v>
      </c>
      <c r="L58">
        <v>150</v>
      </c>
      <c r="O58">
        <v>3</v>
      </c>
      <c r="P58">
        <v>5503</v>
      </c>
      <c r="Q58">
        <v>6110</v>
      </c>
      <c r="R58" t="s">
        <v>39</v>
      </c>
      <c r="S58">
        <v>2019</v>
      </c>
      <c r="T58" s="34">
        <f>IF(R58="IRRIGATED",IF(F58&gt;=SCORES!I$6,1,0),"")</f>
        <v>1</v>
      </c>
    </row>
    <row r="59" spans="1:20" x14ac:dyDescent="0.25">
      <c r="A59">
        <v>41.066688733625199</v>
      </c>
      <c r="B59">
        <v>0.3</v>
      </c>
      <c r="C59" t="s">
        <v>53</v>
      </c>
      <c r="D59">
        <v>14</v>
      </c>
      <c r="E59">
        <v>318</v>
      </c>
      <c r="F59">
        <v>386</v>
      </c>
      <c r="G59">
        <v>134</v>
      </c>
      <c r="H59">
        <v>0.193306122131854</v>
      </c>
      <c r="I59">
        <v>0.89136114588304005</v>
      </c>
      <c r="J59">
        <v>182</v>
      </c>
      <c r="K59" t="s">
        <v>173</v>
      </c>
      <c r="L59">
        <v>1209</v>
      </c>
      <c r="O59">
        <v>1</v>
      </c>
      <c r="P59">
        <v>4626</v>
      </c>
      <c r="Q59">
        <v>3297</v>
      </c>
      <c r="R59" t="s">
        <v>39</v>
      </c>
      <c r="S59">
        <v>2019</v>
      </c>
      <c r="T59" s="34">
        <f>IF(R59="IRRIGATED",IF(F59&gt;=SCORES!I$6,1,0),"")</f>
        <v>1</v>
      </c>
    </row>
    <row r="60" spans="1:20" x14ac:dyDescent="0.25">
      <c r="A60">
        <v>17.898486158761401</v>
      </c>
      <c r="B60">
        <v>0.1</v>
      </c>
      <c r="C60" t="s">
        <v>53</v>
      </c>
      <c r="D60">
        <v>14</v>
      </c>
      <c r="E60">
        <v>329</v>
      </c>
      <c r="F60">
        <v>408</v>
      </c>
      <c r="G60">
        <v>0</v>
      </c>
      <c r="J60">
        <v>180</v>
      </c>
      <c r="K60" t="s">
        <v>173</v>
      </c>
      <c r="L60">
        <v>1201</v>
      </c>
      <c r="O60">
        <v>1</v>
      </c>
      <c r="P60">
        <v>4883</v>
      </c>
      <c r="R60" t="s">
        <v>55</v>
      </c>
      <c r="S60">
        <v>2019</v>
      </c>
      <c r="T60" s="34" t="str">
        <f>IF(R60="IRRIGATED",IF(F60&gt;=SCORES!I$6,1,0),"")</f>
        <v/>
      </c>
    </row>
    <row r="61" spans="1:20" x14ac:dyDescent="0.25">
      <c r="A61">
        <v>60.9508809673234</v>
      </c>
      <c r="B61">
        <v>0.7</v>
      </c>
      <c r="C61" t="s">
        <v>53</v>
      </c>
      <c r="D61">
        <v>14</v>
      </c>
      <c r="E61">
        <v>360</v>
      </c>
      <c r="F61">
        <v>525</v>
      </c>
      <c r="G61">
        <v>0</v>
      </c>
      <c r="J61">
        <v>238</v>
      </c>
      <c r="K61" t="s">
        <v>173</v>
      </c>
      <c r="L61">
        <v>117</v>
      </c>
      <c r="O61">
        <v>3</v>
      </c>
      <c r="P61">
        <v>5007</v>
      </c>
      <c r="R61" t="s">
        <v>55</v>
      </c>
      <c r="S61">
        <v>2019</v>
      </c>
      <c r="T61" s="34" t="str">
        <f>IF(R61="IRRIGATED",IF(F61&gt;=SCORES!I$6,1,0),"")</f>
        <v/>
      </c>
    </row>
    <row r="62" spans="1:20" x14ac:dyDescent="0.25">
      <c r="A62">
        <v>557.28849852511803</v>
      </c>
      <c r="B62">
        <v>6.8</v>
      </c>
      <c r="C62" t="s">
        <v>49</v>
      </c>
      <c r="D62">
        <v>15</v>
      </c>
      <c r="E62">
        <v>331</v>
      </c>
      <c r="F62">
        <v>414</v>
      </c>
      <c r="G62">
        <v>72</v>
      </c>
      <c r="H62">
        <v>0.104348037828291</v>
      </c>
      <c r="I62">
        <v>0.41887680066525901</v>
      </c>
      <c r="J62">
        <v>256</v>
      </c>
      <c r="K62" t="s">
        <v>173</v>
      </c>
      <c r="L62">
        <v>118</v>
      </c>
      <c r="O62">
        <v>3</v>
      </c>
      <c r="P62">
        <v>4107</v>
      </c>
      <c r="Q62">
        <v>5462</v>
      </c>
      <c r="R62" t="s">
        <v>39</v>
      </c>
      <c r="S62">
        <v>2019</v>
      </c>
      <c r="T62" s="34">
        <f>IF(R62="IRRIGATED",IF(F62&gt;=SCORES!I$6,1,0),"")</f>
        <v>1</v>
      </c>
    </row>
    <row r="63" spans="1:20" x14ac:dyDescent="0.25">
      <c r="A63">
        <v>144.219474639716</v>
      </c>
      <c r="B63">
        <v>1.1000000000000001</v>
      </c>
      <c r="C63" t="s">
        <v>49</v>
      </c>
      <c r="D63">
        <v>15</v>
      </c>
      <c r="E63">
        <v>221</v>
      </c>
      <c r="F63">
        <v>324</v>
      </c>
      <c r="G63">
        <v>27</v>
      </c>
      <c r="H63">
        <v>4.2562362247116903E-2</v>
      </c>
      <c r="I63">
        <v>0.54302631415500702</v>
      </c>
      <c r="J63">
        <v>190</v>
      </c>
      <c r="K63" t="s">
        <v>173</v>
      </c>
      <c r="L63">
        <v>92</v>
      </c>
      <c r="O63">
        <v>2</v>
      </c>
      <c r="P63">
        <v>6490</v>
      </c>
      <c r="Q63">
        <v>9716</v>
      </c>
      <c r="R63" t="s">
        <v>39</v>
      </c>
      <c r="S63">
        <v>2019</v>
      </c>
      <c r="T63" s="34">
        <f>IF(R63="IRRIGATED",IF(F63&gt;=SCORES!I$6,1,0),"")</f>
        <v>1</v>
      </c>
    </row>
    <row r="64" spans="1:20" x14ac:dyDescent="0.25">
      <c r="A64">
        <v>149.36319359326799</v>
      </c>
      <c r="B64">
        <v>1.1000000000000001</v>
      </c>
      <c r="C64" t="s">
        <v>49</v>
      </c>
      <c r="D64">
        <v>15</v>
      </c>
      <c r="E64">
        <v>229</v>
      </c>
      <c r="F64">
        <v>284</v>
      </c>
      <c r="G64">
        <v>44</v>
      </c>
      <c r="H64">
        <v>0.193306122131854</v>
      </c>
      <c r="I64">
        <v>0.89136114588304005</v>
      </c>
      <c r="J64">
        <v>182</v>
      </c>
      <c r="K64" t="s">
        <v>173</v>
      </c>
      <c r="L64">
        <v>1152</v>
      </c>
      <c r="O64">
        <v>1</v>
      </c>
      <c r="P64">
        <v>4023</v>
      </c>
      <c r="Q64">
        <v>4678</v>
      </c>
      <c r="R64" t="s">
        <v>39</v>
      </c>
      <c r="S64">
        <v>2019</v>
      </c>
      <c r="T64" s="34">
        <f>IF(R64="IRRIGATED",IF(F64&gt;=SCORES!I$6,1,0),"")</f>
        <v>0</v>
      </c>
    </row>
    <row r="65" spans="1:20" x14ac:dyDescent="0.25">
      <c r="A65">
        <v>103.48927470282101</v>
      </c>
      <c r="B65">
        <v>0.8</v>
      </c>
      <c r="C65" t="s">
        <v>49</v>
      </c>
      <c r="D65">
        <v>15</v>
      </c>
      <c r="E65">
        <v>223</v>
      </c>
      <c r="F65">
        <v>272</v>
      </c>
      <c r="G65">
        <v>0</v>
      </c>
      <c r="J65">
        <v>183</v>
      </c>
      <c r="K65" t="s">
        <v>173</v>
      </c>
      <c r="L65">
        <v>1176</v>
      </c>
      <c r="O65">
        <v>1</v>
      </c>
      <c r="P65">
        <v>3932</v>
      </c>
      <c r="R65" t="s">
        <v>55</v>
      </c>
      <c r="S65">
        <v>2019</v>
      </c>
      <c r="T65" s="34" t="str">
        <f>IF(R65="IRRIGATED",IF(F65&gt;=SCORES!I$6,1,0),"")</f>
        <v/>
      </c>
    </row>
    <row r="66" spans="1:20" x14ac:dyDescent="0.25">
      <c r="A66">
        <v>115.70220411026</v>
      </c>
      <c r="B66">
        <v>0.9</v>
      </c>
      <c r="C66" t="s">
        <v>49</v>
      </c>
      <c r="D66">
        <v>15</v>
      </c>
      <c r="E66">
        <v>287</v>
      </c>
      <c r="F66">
        <v>346</v>
      </c>
      <c r="G66">
        <v>0</v>
      </c>
      <c r="J66">
        <v>240</v>
      </c>
      <c r="K66" t="s">
        <v>173</v>
      </c>
      <c r="L66">
        <v>99</v>
      </c>
      <c r="O66">
        <v>2</v>
      </c>
      <c r="P66">
        <v>8476</v>
      </c>
      <c r="R66" t="s">
        <v>55</v>
      </c>
      <c r="S66">
        <v>2019</v>
      </c>
      <c r="T66" s="34" t="str">
        <f>IF(R66="IRRIGATED",IF(F66&gt;=SCORES!I$6,1,0),"")</f>
        <v/>
      </c>
    </row>
    <row r="67" spans="1:20" x14ac:dyDescent="0.25">
      <c r="A67">
        <v>51.878162759704502</v>
      </c>
      <c r="B67">
        <v>0.6</v>
      </c>
      <c r="C67" t="s">
        <v>49</v>
      </c>
      <c r="D67">
        <v>15</v>
      </c>
      <c r="E67">
        <v>160</v>
      </c>
      <c r="F67">
        <v>404</v>
      </c>
      <c r="G67">
        <v>0</v>
      </c>
      <c r="J67">
        <v>130</v>
      </c>
      <c r="K67" t="s">
        <v>173</v>
      </c>
      <c r="L67">
        <v>61</v>
      </c>
      <c r="O67">
        <v>3</v>
      </c>
      <c r="P67">
        <v>2208</v>
      </c>
      <c r="R67" t="s">
        <v>55</v>
      </c>
      <c r="S67">
        <v>2019</v>
      </c>
      <c r="T67" s="34" t="str">
        <f>IF(R67="IRRIGATED",IF(F67&gt;=SCORES!I$6,1,0),"")</f>
        <v/>
      </c>
    </row>
    <row r="68" spans="1:20" x14ac:dyDescent="0.25">
      <c r="A68">
        <v>851.12172927893403</v>
      </c>
      <c r="B68">
        <v>6.4</v>
      </c>
      <c r="C68" t="s">
        <v>98</v>
      </c>
      <c r="D68">
        <v>17</v>
      </c>
      <c r="E68">
        <v>182</v>
      </c>
      <c r="F68">
        <v>226</v>
      </c>
      <c r="G68">
        <v>0</v>
      </c>
      <c r="J68">
        <v>181</v>
      </c>
      <c r="K68" t="s">
        <v>173</v>
      </c>
      <c r="L68">
        <v>1098</v>
      </c>
      <c r="O68">
        <v>1</v>
      </c>
      <c r="P68">
        <v>3267</v>
      </c>
      <c r="R68" t="s">
        <v>55</v>
      </c>
      <c r="S68">
        <v>2019</v>
      </c>
      <c r="T68" s="34" t="str">
        <f>IF(R68="IRRIGATED",IF(F68&gt;=SCORES!I$6,1,0),"")</f>
        <v/>
      </c>
    </row>
    <row r="69" spans="1:20" x14ac:dyDescent="0.25">
      <c r="A69">
        <v>634.22274024361298</v>
      </c>
      <c r="B69">
        <v>4.9000000000000004</v>
      </c>
      <c r="C69" t="s">
        <v>98</v>
      </c>
      <c r="D69">
        <v>17</v>
      </c>
      <c r="E69">
        <v>175</v>
      </c>
      <c r="F69">
        <v>216</v>
      </c>
      <c r="G69">
        <v>0</v>
      </c>
      <c r="J69">
        <v>173</v>
      </c>
      <c r="K69" t="s">
        <v>173</v>
      </c>
      <c r="L69">
        <v>92</v>
      </c>
      <c r="O69">
        <v>2</v>
      </c>
      <c r="P69">
        <v>4632</v>
      </c>
      <c r="R69" t="s">
        <v>55</v>
      </c>
      <c r="S69">
        <v>2019</v>
      </c>
      <c r="T69" s="34" t="str">
        <f>IF(R69="IRRIGATED",IF(F69&gt;=SCORES!I$6,1,0),"")</f>
        <v/>
      </c>
    </row>
    <row r="70" spans="1:20" x14ac:dyDescent="0.25">
      <c r="A70">
        <v>130.89135847991599</v>
      </c>
      <c r="B70">
        <v>1.6</v>
      </c>
      <c r="C70" t="s">
        <v>98</v>
      </c>
      <c r="D70">
        <v>17</v>
      </c>
      <c r="E70">
        <v>281</v>
      </c>
      <c r="F70">
        <v>368</v>
      </c>
      <c r="G70">
        <v>0</v>
      </c>
      <c r="J70">
        <v>246</v>
      </c>
      <c r="K70" t="s">
        <v>173</v>
      </c>
      <c r="L70">
        <v>101</v>
      </c>
      <c r="O70">
        <v>3</v>
      </c>
      <c r="P70">
        <v>3643</v>
      </c>
      <c r="R70" t="s">
        <v>55</v>
      </c>
      <c r="S70">
        <v>2019</v>
      </c>
      <c r="T70" s="34" t="str">
        <f>IF(R70="IRRIGATED",IF(F70&gt;=SCORES!I$6,1,0),"")</f>
        <v/>
      </c>
    </row>
    <row r="71" spans="1:20" x14ac:dyDescent="0.25">
      <c r="A71">
        <v>3005.3927551380302</v>
      </c>
      <c r="B71">
        <v>23.2</v>
      </c>
      <c r="C71" t="s">
        <v>57</v>
      </c>
      <c r="D71">
        <v>2</v>
      </c>
      <c r="E71">
        <v>210</v>
      </c>
      <c r="F71">
        <v>264</v>
      </c>
      <c r="G71">
        <v>25</v>
      </c>
      <c r="H71">
        <v>4.2562362247116903E-2</v>
      </c>
      <c r="I71">
        <v>0.54302631415500702</v>
      </c>
      <c r="J71">
        <v>181</v>
      </c>
      <c r="K71" t="s">
        <v>173</v>
      </c>
      <c r="L71">
        <v>93</v>
      </c>
      <c r="M71">
        <v>0.93664637163638997</v>
      </c>
      <c r="N71">
        <v>0.93307420831978105</v>
      </c>
      <c r="O71">
        <v>2</v>
      </c>
      <c r="P71">
        <v>6266</v>
      </c>
      <c r="Q71">
        <v>9047</v>
      </c>
      <c r="R71" t="s">
        <v>39</v>
      </c>
      <c r="S71">
        <v>2019</v>
      </c>
      <c r="T71" s="34">
        <f>IF(R71="IRRIGATED",IF(F71&gt;=SCORES!I$6,1,0),"")</f>
        <v>0</v>
      </c>
    </row>
    <row r="72" spans="1:20" x14ac:dyDescent="0.25">
      <c r="A72">
        <v>2055.4886627748301</v>
      </c>
      <c r="B72">
        <v>15.4</v>
      </c>
      <c r="C72" t="s">
        <v>57</v>
      </c>
      <c r="D72">
        <v>2</v>
      </c>
      <c r="E72">
        <v>238</v>
      </c>
      <c r="F72">
        <v>318</v>
      </c>
      <c r="G72">
        <v>47</v>
      </c>
      <c r="H72">
        <v>0.193306122131854</v>
      </c>
      <c r="I72">
        <v>0.89136114588304005</v>
      </c>
      <c r="J72">
        <v>188</v>
      </c>
      <c r="K72" t="s">
        <v>173</v>
      </c>
      <c r="L72">
        <v>1140</v>
      </c>
      <c r="M72">
        <v>0.93493883519485199</v>
      </c>
      <c r="N72">
        <v>0.325835692449092</v>
      </c>
      <c r="O72">
        <v>1</v>
      </c>
      <c r="P72">
        <v>4178</v>
      </c>
      <c r="Q72">
        <v>5505</v>
      </c>
      <c r="R72" t="s">
        <v>39</v>
      </c>
      <c r="S72">
        <v>2019</v>
      </c>
      <c r="T72" s="34">
        <f>IF(R72="IRRIGATED",IF(F72&gt;=SCORES!I$6,1,0),"")</f>
        <v>1</v>
      </c>
    </row>
    <row r="73" spans="1:20" x14ac:dyDescent="0.25">
      <c r="A73">
        <v>1871.1957558742299</v>
      </c>
      <c r="B73">
        <v>14</v>
      </c>
      <c r="C73" t="s">
        <v>57</v>
      </c>
      <c r="D73">
        <v>2</v>
      </c>
      <c r="E73">
        <v>180</v>
      </c>
      <c r="F73">
        <v>210</v>
      </c>
      <c r="G73">
        <v>0</v>
      </c>
      <c r="J73">
        <v>182</v>
      </c>
      <c r="K73" t="s">
        <v>173</v>
      </c>
      <c r="L73">
        <v>1038</v>
      </c>
      <c r="M73">
        <v>0.93493883519485199</v>
      </c>
      <c r="N73">
        <v>0.325835692449092</v>
      </c>
      <c r="O73">
        <v>1</v>
      </c>
      <c r="P73">
        <v>3281</v>
      </c>
      <c r="R73" t="s">
        <v>55</v>
      </c>
      <c r="S73">
        <v>2019</v>
      </c>
      <c r="T73" s="34" t="str">
        <f>IF(R73="IRRIGATED",IF(F73&gt;=SCORES!I$6,1,0),"")</f>
        <v/>
      </c>
    </row>
    <row r="74" spans="1:20" x14ac:dyDescent="0.25">
      <c r="A74">
        <v>978.73345579923796</v>
      </c>
      <c r="B74">
        <v>7.6</v>
      </c>
      <c r="C74" t="s">
        <v>57</v>
      </c>
      <c r="D74">
        <v>2</v>
      </c>
      <c r="E74">
        <v>184</v>
      </c>
      <c r="F74">
        <v>212</v>
      </c>
      <c r="G74">
        <v>0</v>
      </c>
      <c r="J74">
        <v>175</v>
      </c>
      <c r="K74" t="s">
        <v>173</v>
      </c>
      <c r="L74">
        <v>94</v>
      </c>
      <c r="M74">
        <v>0.93664637163638997</v>
      </c>
      <c r="N74">
        <v>0.93307420831978105</v>
      </c>
      <c r="O74">
        <v>2</v>
      </c>
      <c r="P74">
        <v>5081</v>
      </c>
      <c r="R74" t="s">
        <v>55</v>
      </c>
      <c r="S74">
        <v>2019</v>
      </c>
      <c r="T74" s="34" t="str">
        <f>IF(R74="IRRIGATED",IF(F74&gt;=SCORES!I$6,1,0),"")</f>
        <v/>
      </c>
    </row>
    <row r="75" spans="1:20" x14ac:dyDescent="0.25">
      <c r="A75">
        <v>3035.4939721681199</v>
      </c>
      <c r="B75">
        <v>22.3</v>
      </c>
      <c r="C75" t="s">
        <v>46</v>
      </c>
      <c r="D75">
        <v>8</v>
      </c>
      <c r="E75">
        <v>974</v>
      </c>
      <c r="F75">
        <v>1097</v>
      </c>
      <c r="G75">
        <v>185</v>
      </c>
      <c r="H75">
        <v>8.7340805097124496E-2</v>
      </c>
      <c r="I75">
        <v>0.664382019266052</v>
      </c>
      <c r="J75">
        <v>776</v>
      </c>
      <c r="K75" t="s">
        <v>173</v>
      </c>
      <c r="L75">
        <v>1488</v>
      </c>
      <c r="O75">
        <v>0</v>
      </c>
      <c r="P75">
        <v>18931</v>
      </c>
      <c r="Q75">
        <v>21199</v>
      </c>
      <c r="R75" t="s">
        <v>39</v>
      </c>
      <c r="S75">
        <v>2019</v>
      </c>
      <c r="T75" s="34">
        <f>IF(R75="IRRIGATED",IF(F75&gt;=SCORES!I$6,1,0),"")</f>
        <v>1</v>
      </c>
    </row>
    <row r="76" spans="1:20" x14ac:dyDescent="0.25">
      <c r="A76">
        <v>738.90942443782103</v>
      </c>
      <c r="B76">
        <v>5.4</v>
      </c>
      <c r="C76" t="s">
        <v>46</v>
      </c>
      <c r="D76">
        <v>8</v>
      </c>
      <c r="E76">
        <v>934</v>
      </c>
      <c r="F76">
        <v>1057</v>
      </c>
      <c r="G76">
        <v>0</v>
      </c>
      <c r="J76">
        <v>778</v>
      </c>
      <c r="K76" t="s">
        <v>173</v>
      </c>
      <c r="L76">
        <v>1519</v>
      </c>
      <c r="O76">
        <v>0</v>
      </c>
      <c r="P76">
        <v>18414</v>
      </c>
      <c r="R76" t="s">
        <v>55</v>
      </c>
      <c r="S76">
        <v>2019</v>
      </c>
      <c r="T76" s="34" t="str">
        <f>IF(R76="IRRIGATED",IF(F76&gt;=SCORES!I$6,1,0),"")</f>
        <v/>
      </c>
    </row>
    <row r="77" spans="1:20" x14ac:dyDescent="0.25">
      <c r="A77">
        <v>80.534693239644398</v>
      </c>
      <c r="B77">
        <v>0.6</v>
      </c>
      <c r="C77" t="s">
        <v>40</v>
      </c>
      <c r="D77">
        <v>2</v>
      </c>
      <c r="E77">
        <v>443</v>
      </c>
      <c r="F77">
        <v>773</v>
      </c>
      <c r="G77">
        <v>80</v>
      </c>
      <c r="H77">
        <v>8.7340805097124496E-2</v>
      </c>
      <c r="I77">
        <v>0.664382019266052</v>
      </c>
      <c r="J77">
        <v>356</v>
      </c>
      <c r="K77" t="s">
        <v>173</v>
      </c>
      <c r="L77">
        <v>161</v>
      </c>
      <c r="O77">
        <v>0</v>
      </c>
      <c r="P77">
        <v>10100</v>
      </c>
      <c r="Q77">
        <v>16316</v>
      </c>
      <c r="R77" t="s">
        <v>39</v>
      </c>
      <c r="S77">
        <v>2019</v>
      </c>
      <c r="T77" s="34">
        <f>IF(R77="IRRIGATED",IF(F77&gt;=SCORES!I$6,1,0),"")</f>
        <v>1</v>
      </c>
    </row>
    <row r="78" spans="1:20" x14ac:dyDescent="0.25">
      <c r="A78">
        <v>39.735976500746702</v>
      </c>
      <c r="B78">
        <v>0.3</v>
      </c>
      <c r="C78" t="s">
        <v>40</v>
      </c>
      <c r="D78">
        <v>2</v>
      </c>
      <c r="E78">
        <v>246</v>
      </c>
      <c r="F78">
        <v>606</v>
      </c>
      <c r="G78">
        <v>0</v>
      </c>
      <c r="J78">
        <v>227</v>
      </c>
      <c r="K78" t="s">
        <v>173</v>
      </c>
      <c r="L78">
        <v>115</v>
      </c>
      <c r="O78">
        <v>0</v>
      </c>
      <c r="P78">
        <v>5780</v>
      </c>
      <c r="R78" t="s">
        <v>55</v>
      </c>
      <c r="S78">
        <v>2019</v>
      </c>
      <c r="T78" s="34" t="str">
        <f>IF(R78="IRRIGATED",IF(F78&gt;=SCORES!I$6,1,0),"")</f>
        <v/>
      </c>
    </row>
    <row r="79" spans="1:20" x14ac:dyDescent="0.25">
      <c r="A79">
        <v>107.797327464159</v>
      </c>
      <c r="B79">
        <v>0.8</v>
      </c>
      <c r="C79" t="s">
        <v>45</v>
      </c>
      <c r="D79">
        <v>7</v>
      </c>
      <c r="E79">
        <v>674</v>
      </c>
      <c r="F79">
        <v>829</v>
      </c>
      <c r="G79">
        <v>165</v>
      </c>
      <c r="H79">
        <v>8.7340805097124496E-2</v>
      </c>
      <c r="I79">
        <v>0.664382019266052</v>
      </c>
      <c r="J79">
        <v>503</v>
      </c>
      <c r="K79" t="s">
        <v>173</v>
      </c>
      <c r="L79">
        <v>840</v>
      </c>
      <c r="O79">
        <v>0</v>
      </c>
      <c r="P79">
        <v>11293</v>
      </c>
      <c r="Q79">
        <v>14816</v>
      </c>
      <c r="R79" t="s">
        <v>39</v>
      </c>
      <c r="S79">
        <v>2019</v>
      </c>
      <c r="T79" s="34">
        <f>IF(R79="IRRIGATED",IF(F79&gt;=SCORES!I$6,1,0),"")</f>
        <v>1</v>
      </c>
    </row>
    <row r="80" spans="1:20" x14ac:dyDescent="0.25">
      <c r="A80">
        <v>7.8892189413811202</v>
      </c>
      <c r="B80">
        <v>0.1</v>
      </c>
      <c r="C80" t="s">
        <v>41</v>
      </c>
      <c r="D80">
        <v>3</v>
      </c>
      <c r="E80">
        <v>375</v>
      </c>
      <c r="F80">
        <v>513</v>
      </c>
      <c r="G80">
        <v>101</v>
      </c>
      <c r="H80">
        <v>8.7340805097124496E-2</v>
      </c>
      <c r="I80">
        <v>0.664382019266052</v>
      </c>
      <c r="J80">
        <v>270</v>
      </c>
      <c r="K80" t="s">
        <v>173</v>
      </c>
      <c r="L80">
        <v>128</v>
      </c>
      <c r="O80">
        <v>0</v>
      </c>
      <c r="P80">
        <v>4467</v>
      </c>
      <c r="Q80">
        <v>8213</v>
      </c>
      <c r="R80" t="s">
        <v>39</v>
      </c>
      <c r="S80">
        <v>2019</v>
      </c>
      <c r="T80" s="34">
        <f>IF(R80="IRRIGATED",IF(F80&gt;=SCORES!I$6,1,0),"")</f>
        <v>1</v>
      </c>
    </row>
    <row r="81" spans="1:20" x14ac:dyDescent="0.25">
      <c r="A81">
        <v>440.46393581672697</v>
      </c>
      <c r="B81">
        <v>4.5999999999999996</v>
      </c>
      <c r="C81" t="s">
        <v>102</v>
      </c>
      <c r="D81">
        <v>31</v>
      </c>
      <c r="E81">
        <v>246</v>
      </c>
      <c r="F81">
        <v>286</v>
      </c>
      <c r="G81">
        <v>24</v>
      </c>
      <c r="H81">
        <v>4.2734244163670401E-2</v>
      </c>
      <c r="I81">
        <v>0.44241038492330598</v>
      </c>
      <c r="J81">
        <v>216</v>
      </c>
      <c r="K81" t="s">
        <v>173</v>
      </c>
      <c r="L81">
        <v>93</v>
      </c>
      <c r="M81">
        <v>0.90312693120190601</v>
      </c>
      <c r="N81">
        <v>0.90276146878405505</v>
      </c>
      <c r="O81">
        <v>2</v>
      </c>
      <c r="P81">
        <v>5737</v>
      </c>
      <c r="Q81">
        <v>7741</v>
      </c>
      <c r="R81" t="s">
        <v>39</v>
      </c>
      <c r="S81">
        <v>2020</v>
      </c>
      <c r="T81" s="34">
        <f>IF(R81="IRRIGATED",IF(F81&gt;=SCORES!I$6,1,0),"")</f>
        <v>0</v>
      </c>
    </row>
    <row r="82" spans="1:20" x14ac:dyDescent="0.25">
      <c r="A82">
        <v>573.60987432403999</v>
      </c>
      <c r="B82">
        <v>5.5</v>
      </c>
      <c r="C82" t="s">
        <v>102</v>
      </c>
      <c r="D82">
        <v>31</v>
      </c>
      <c r="E82">
        <v>321</v>
      </c>
      <c r="F82">
        <v>384</v>
      </c>
      <c r="G82">
        <v>91</v>
      </c>
      <c r="H82">
        <v>0.142510961535599</v>
      </c>
      <c r="I82">
        <v>0.485414820537721</v>
      </c>
      <c r="J82">
        <v>233</v>
      </c>
      <c r="K82" t="s">
        <v>173</v>
      </c>
      <c r="L82">
        <v>1426</v>
      </c>
      <c r="M82">
        <v>0.89788855107537002</v>
      </c>
      <c r="N82">
        <v>0.54220802990454198</v>
      </c>
      <c r="O82">
        <v>1</v>
      </c>
      <c r="P82">
        <v>4863</v>
      </c>
      <c r="Q82">
        <v>6207</v>
      </c>
      <c r="R82" t="s">
        <v>39</v>
      </c>
      <c r="S82">
        <v>2020</v>
      </c>
      <c r="T82" s="34">
        <f>IF(R82="IRRIGATED",IF(F82&gt;=SCORES!I$6,1,0),"")</f>
        <v>1</v>
      </c>
    </row>
    <row r="83" spans="1:20" x14ac:dyDescent="0.25">
      <c r="A83">
        <v>79.219020296092296</v>
      </c>
      <c r="B83">
        <v>3.4</v>
      </c>
      <c r="C83" t="s">
        <v>102</v>
      </c>
      <c r="D83">
        <v>31</v>
      </c>
      <c r="E83">
        <v>288</v>
      </c>
      <c r="F83">
        <v>417</v>
      </c>
      <c r="G83">
        <v>110</v>
      </c>
      <c r="H83">
        <v>0.12550526164343501</v>
      </c>
      <c r="I83">
        <v>0.33515564576896401</v>
      </c>
      <c r="J83">
        <v>177</v>
      </c>
      <c r="K83" t="s">
        <v>173</v>
      </c>
      <c r="L83">
        <v>136</v>
      </c>
      <c r="O83">
        <v>3</v>
      </c>
      <c r="P83">
        <v>2354</v>
      </c>
      <c r="Q83">
        <v>3920</v>
      </c>
      <c r="R83" t="s">
        <v>39</v>
      </c>
      <c r="S83">
        <v>2020</v>
      </c>
      <c r="T83" s="34">
        <f>IF(R83="IRRIGATED",IF(F83&gt;=SCORES!I$6,1,0),"")</f>
        <v>1</v>
      </c>
    </row>
    <row r="84" spans="1:20" x14ac:dyDescent="0.25">
      <c r="A84">
        <v>905.21449989134499</v>
      </c>
      <c r="B84">
        <v>8.6</v>
      </c>
      <c r="C84" t="s">
        <v>102</v>
      </c>
      <c r="D84">
        <v>31</v>
      </c>
      <c r="E84">
        <v>202</v>
      </c>
      <c r="F84">
        <v>288</v>
      </c>
      <c r="G84">
        <v>0</v>
      </c>
      <c r="J84">
        <v>220</v>
      </c>
      <c r="K84" t="s">
        <v>173</v>
      </c>
      <c r="L84">
        <v>1305</v>
      </c>
      <c r="M84">
        <v>0.89788855107537002</v>
      </c>
      <c r="N84">
        <v>0.54220802990454198</v>
      </c>
      <c r="O84">
        <v>1</v>
      </c>
      <c r="P84">
        <v>2991</v>
      </c>
      <c r="R84" t="s">
        <v>55</v>
      </c>
      <c r="S84">
        <v>2020</v>
      </c>
      <c r="T84" s="34" t="str">
        <f>IF(R84="IRRIGATED",IF(F84&gt;=SCORES!I$6,1,0),"")</f>
        <v/>
      </c>
    </row>
    <row r="85" spans="1:20" x14ac:dyDescent="0.25">
      <c r="A85">
        <v>886.03518602663905</v>
      </c>
      <c r="B85">
        <v>9.1999999999999993</v>
      </c>
      <c r="C85" t="s">
        <v>102</v>
      </c>
      <c r="D85">
        <v>31</v>
      </c>
      <c r="E85">
        <v>215</v>
      </c>
      <c r="F85">
        <v>268</v>
      </c>
      <c r="G85">
        <v>0</v>
      </c>
      <c r="J85">
        <v>208</v>
      </c>
      <c r="K85" t="s">
        <v>173</v>
      </c>
      <c r="L85">
        <v>92</v>
      </c>
      <c r="M85">
        <v>0.90312693120190601</v>
      </c>
      <c r="N85">
        <v>0.90276146878405505</v>
      </c>
      <c r="O85">
        <v>2</v>
      </c>
      <c r="P85">
        <v>4724</v>
      </c>
      <c r="R85" t="s">
        <v>55</v>
      </c>
      <c r="S85">
        <v>2020</v>
      </c>
      <c r="T85" s="34" t="str">
        <f>IF(R85="IRRIGATED",IF(F85&gt;=SCORES!I$6,1,0),"")</f>
        <v/>
      </c>
    </row>
    <row r="86" spans="1:20" x14ac:dyDescent="0.25">
      <c r="A86">
        <v>13.050283949082299</v>
      </c>
      <c r="B86">
        <v>0.6</v>
      </c>
      <c r="C86" t="s">
        <v>102</v>
      </c>
      <c r="D86">
        <v>31</v>
      </c>
      <c r="E86">
        <v>182</v>
      </c>
      <c r="F86">
        <v>352</v>
      </c>
      <c r="G86">
        <v>0</v>
      </c>
      <c r="J86">
        <v>130</v>
      </c>
      <c r="K86" t="s">
        <v>173</v>
      </c>
      <c r="L86">
        <v>109</v>
      </c>
      <c r="O86">
        <v>3</v>
      </c>
      <c r="P86">
        <v>1443</v>
      </c>
      <c r="R86" t="s">
        <v>55</v>
      </c>
      <c r="S86">
        <v>2020</v>
      </c>
      <c r="T86" s="34" t="str">
        <f>IF(R86="IRRIGATED",IF(F86&gt;=SCORES!I$6,1,0),"")</f>
        <v/>
      </c>
    </row>
    <row r="87" spans="1:20" x14ac:dyDescent="0.25">
      <c r="A87">
        <v>364.76801616310598</v>
      </c>
      <c r="B87">
        <v>3.8</v>
      </c>
      <c r="C87" t="s">
        <v>106</v>
      </c>
      <c r="D87">
        <v>34</v>
      </c>
      <c r="E87">
        <v>285</v>
      </c>
      <c r="F87">
        <v>362</v>
      </c>
      <c r="G87">
        <v>33</v>
      </c>
      <c r="H87">
        <v>4.2734244163670401E-2</v>
      </c>
      <c r="I87">
        <v>0.44241038492330598</v>
      </c>
      <c r="J87">
        <v>247</v>
      </c>
      <c r="K87" t="s">
        <v>173</v>
      </c>
      <c r="L87">
        <v>102</v>
      </c>
      <c r="M87">
        <v>0.92276156674590704</v>
      </c>
      <c r="N87">
        <v>0.89632062780980504</v>
      </c>
      <c r="O87">
        <v>2</v>
      </c>
      <c r="P87">
        <v>6758</v>
      </c>
      <c r="Q87">
        <v>8977</v>
      </c>
      <c r="R87" t="s">
        <v>39</v>
      </c>
      <c r="S87">
        <v>2020</v>
      </c>
      <c r="T87" s="34">
        <f>IF(R87="IRRIGATED",IF(F87&gt;=SCORES!I$6,1,0),"")</f>
        <v>1</v>
      </c>
    </row>
    <row r="88" spans="1:20" x14ac:dyDescent="0.25">
      <c r="A88">
        <v>348.25434140223399</v>
      </c>
      <c r="B88">
        <v>3.3</v>
      </c>
      <c r="C88" t="s">
        <v>106</v>
      </c>
      <c r="D88">
        <v>34</v>
      </c>
      <c r="E88">
        <v>321</v>
      </c>
      <c r="F88">
        <v>382</v>
      </c>
      <c r="G88">
        <v>93</v>
      </c>
      <c r="H88">
        <v>0.142510961535599</v>
      </c>
      <c r="I88">
        <v>0.485414820537721</v>
      </c>
      <c r="J88">
        <v>236</v>
      </c>
      <c r="K88" t="s">
        <v>173</v>
      </c>
      <c r="L88">
        <v>1460</v>
      </c>
      <c r="M88">
        <v>0.92059014744204404</v>
      </c>
      <c r="N88">
        <v>0.62613629707784202</v>
      </c>
      <c r="O88">
        <v>1</v>
      </c>
      <c r="P88">
        <v>4788</v>
      </c>
      <c r="Q88">
        <v>6114</v>
      </c>
      <c r="R88" t="s">
        <v>39</v>
      </c>
      <c r="S88">
        <v>2020</v>
      </c>
      <c r="T88" s="34">
        <f>IF(R88="IRRIGATED",IF(F88&gt;=SCORES!I$6,1,0),"")</f>
        <v>1</v>
      </c>
    </row>
    <row r="89" spans="1:20" x14ac:dyDescent="0.25">
      <c r="A89">
        <v>421.759614879347</v>
      </c>
      <c r="B89">
        <v>18.3</v>
      </c>
      <c r="C89" t="s">
        <v>106</v>
      </c>
      <c r="D89">
        <v>34</v>
      </c>
      <c r="E89">
        <v>383</v>
      </c>
      <c r="F89">
        <v>501</v>
      </c>
      <c r="G89">
        <v>161</v>
      </c>
      <c r="H89">
        <v>0.12550526164343501</v>
      </c>
      <c r="I89">
        <v>0.33515564576896401</v>
      </c>
      <c r="J89">
        <v>221</v>
      </c>
      <c r="K89" t="s">
        <v>173</v>
      </c>
      <c r="L89">
        <v>167</v>
      </c>
      <c r="O89">
        <v>3</v>
      </c>
      <c r="P89">
        <v>3337</v>
      </c>
      <c r="Q89">
        <v>4934</v>
      </c>
      <c r="R89" t="s">
        <v>39</v>
      </c>
      <c r="S89">
        <v>2020</v>
      </c>
      <c r="T89" s="34">
        <f>IF(R89="IRRIGATED",IF(F89&gt;=SCORES!I$6,1,0),"")</f>
        <v>1</v>
      </c>
    </row>
    <row r="90" spans="1:20" x14ac:dyDescent="0.25">
      <c r="A90">
        <v>205.053150076984</v>
      </c>
      <c r="B90">
        <v>2</v>
      </c>
      <c r="C90" t="s">
        <v>106</v>
      </c>
      <c r="D90">
        <v>34</v>
      </c>
      <c r="E90">
        <v>217</v>
      </c>
      <c r="F90">
        <v>298</v>
      </c>
      <c r="G90">
        <v>0</v>
      </c>
      <c r="J90">
        <v>227</v>
      </c>
      <c r="K90" t="s">
        <v>173</v>
      </c>
      <c r="L90">
        <v>1376</v>
      </c>
      <c r="M90">
        <v>0.92059014744204404</v>
      </c>
      <c r="N90">
        <v>0.62613629707784202</v>
      </c>
      <c r="O90">
        <v>1</v>
      </c>
      <c r="P90">
        <v>3254</v>
      </c>
      <c r="R90" t="s">
        <v>55</v>
      </c>
      <c r="S90">
        <v>2020</v>
      </c>
      <c r="T90" s="34" t="str">
        <f>IF(R90="IRRIGATED",IF(F90&gt;=SCORES!I$6,1,0),"")</f>
        <v/>
      </c>
    </row>
    <row r="91" spans="1:20" x14ac:dyDescent="0.25">
      <c r="A91">
        <v>177.92077258367399</v>
      </c>
      <c r="B91">
        <v>1.8</v>
      </c>
      <c r="C91" t="s">
        <v>106</v>
      </c>
      <c r="D91">
        <v>34</v>
      </c>
      <c r="E91">
        <v>255</v>
      </c>
      <c r="F91">
        <v>338</v>
      </c>
      <c r="G91">
        <v>0</v>
      </c>
      <c r="J91">
        <v>240</v>
      </c>
      <c r="K91" t="s">
        <v>173</v>
      </c>
      <c r="L91">
        <v>100</v>
      </c>
      <c r="M91">
        <v>0.92276156674590704</v>
      </c>
      <c r="N91">
        <v>0.89632062780980504</v>
      </c>
      <c r="O91">
        <v>2</v>
      </c>
      <c r="P91">
        <v>5733</v>
      </c>
      <c r="R91" t="s">
        <v>55</v>
      </c>
      <c r="S91">
        <v>2020</v>
      </c>
      <c r="T91" s="34" t="str">
        <f>IF(R91="IRRIGATED",IF(F91&gt;=SCORES!I$6,1,0),"")</f>
        <v/>
      </c>
    </row>
    <row r="92" spans="1:20" x14ac:dyDescent="0.25">
      <c r="A92">
        <v>26.7700866105173</v>
      </c>
      <c r="B92">
        <v>1.2</v>
      </c>
      <c r="C92" t="s">
        <v>106</v>
      </c>
      <c r="D92">
        <v>34</v>
      </c>
      <c r="E92">
        <v>308</v>
      </c>
      <c r="F92">
        <v>473</v>
      </c>
      <c r="G92">
        <v>0</v>
      </c>
      <c r="J92">
        <v>202</v>
      </c>
      <c r="K92" t="s">
        <v>173</v>
      </c>
      <c r="L92">
        <v>157</v>
      </c>
      <c r="O92">
        <v>3</v>
      </c>
      <c r="P92">
        <v>2888</v>
      </c>
      <c r="R92" t="s">
        <v>55</v>
      </c>
      <c r="S92">
        <v>2020</v>
      </c>
      <c r="T92" s="34" t="str">
        <f>IF(R92="IRRIGATED",IF(F92&gt;=SCORES!I$6,1,0),"")</f>
        <v/>
      </c>
    </row>
    <row r="93" spans="1:20" x14ac:dyDescent="0.25">
      <c r="A93">
        <v>25.360404259419099</v>
      </c>
      <c r="B93">
        <v>0.2</v>
      </c>
      <c r="C93" t="s">
        <v>42</v>
      </c>
      <c r="D93">
        <v>4</v>
      </c>
      <c r="E93">
        <v>447</v>
      </c>
      <c r="F93">
        <v>685</v>
      </c>
      <c r="G93">
        <v>80</v>
      </c>
      <c r="H93">
        <v>0.1208179445782</v>
      </c>
      <c r="I93">
        <v>0.79095224094397198</v>
      </c>
      <c r="J93">
        <v>364</v>
      </c>
      <c r="K93" t="s">
        <v>173</v>
      </c>
      <c r="L93">
        <v>1089</v>
      </c>
      <c r="O93">
        <v>0</v>
      </c>
      <c r="P93">
        <v>8161</v>
      </c>
      <c r="Q93">
        <v>14429</v>
      </c>
      <c r="R93" t="s">
        <v>39</v>
      </c>
      <c r="S93">
        <v>2020</v>
      </c>
      <c r="T93" s="34">
        <f>IF(R93="IRRIGATED",IF(F93&gt;=SCORES!I$6,1,0),"")</f>
        <v>1</v>
      </c>
    </row>
    <row r="94" spans="1:20" x14ac:dyDescent="0.25">
      <c r="A94">
        <v>34.237430110910402</v>
      </c>
      <c r="B94">
        <v>0.3</v>
      </c>
      <c r="C94" t="s">
        <v>42</v>
      </c>
      <c r="D94">
        <v>4</v>
      </c>
      <c r="E94">
        <v>309</v>
      </c>
      <c r="F94">
        <v>457</v>
      </c>
      <c r="G94">
        <v>0</v>
      </c>
      <c r="J94">
        <v>309</v>
      </c>
      <c r="K94" t="s">
        <v>173</v>
      </c>
      <c r="L94">
        <v>1062</v>
      </c>
      <c r="O94">
        <v>0</v>
      </c>
      <c r="P94">
        <v>5188</v>
      </c>
      <c r="R94" t="s">
        <v>55</v>
      </c>
      <c r="S94">
        <v>2020</v>
      </c>
      <c r="T94" s="34" t="str">
        <f>IF(R94="IRRIGATED",IF(F94&gt;=SCORES!I$6,1,0),"")</f>
        <v/>
      </c>
    </row>
    <row r="95" spans="1:20" x14ac:dyDescent="0.25">
      <c r="A95">
        <v>2154.3016933961699</v>
      </c>
      <c r="B95">
        <v>20.399999999999999</v>
      </c>
      <c r="C95" t="s">
        <v>43</v>
      </c>
      <c r="D95">
        <v>5</v>
      </c>
      <c r="E95">
        <v>861</v>
      </c>
      <c r="F95">
        <v>1043</v>
      </c>
      <c r="G95">
        <v>228</v>
      </c>
      <c r="H95">
        <v>0.1208179445782</v>
      </c>
      <c r="I95">
        <v>0.79095224094397198</v>
      </c>
      <c r="J95">
        <v>632</v>
      </c>
      <c r="K95" t="s">
        <v>173</v>
      </c>
      <c r="L95">
        <v>1503</v>
      </c>
      <c r="O95">
        <v>0</v>
      </c>
      <c r="P95">
        <v>12185</v>
      </c>
      <c r="Q95">
        <v>15383</v>
      </c>
      <c r="R95" t="s">
        <v>39</v>
      </c>
      <c r="S95">
        <v>2020</v>
      </c>
      <c r="T95" s="34">
        <f>IF(R95="IRRIGATED",IF(F95&gt;=SCORES!I$6,1,0),"")</f>
        <v>1</v>
      </c>
    </row>
    <row r="96" spans="1:20" x14ac:dyDescent="0.25">
      <c r="A96">
        <v>102.84125619908301</v>
      </c>
      <c r="B96">
        <v>1</v>
      </c>
      <c r="C96" t="s">
        <v>43</v>
      </c>
      <c r="D96">
        <v>5</v>
      </c>
      <c r="E96">
        <v>664</v>
      </c>
      <c r="F96">
        <v>875</v>
      </c>
      <c r="G96">
        <v>0</v>
      </c>
      <c r="J96">
        <v>573</v>
      </c>
      <c r="K96" t="s">
        <v>173</v>
      </c>
      <c r="L96">
        <v>1545</v>
      </c>
      <c r="O96">
        <v>0</v>
      </c>
      <c r="P96">
        <v>10216</v>
      </c>
      <c r="R96" t="s">
        <v>55</v>
      </c>
      <c r="S96">
        <v>2020</v>
      </c>
      <c r="T96" s="34" t="str">
        <f>IF(R96="IRRIGATED",IF(F96&gt;=SCORES!I$6,1,0),"")</f>
        <v/>
      </c>
    </row>
    <row r="97" spans="1:20" x14ac:dyDescent="0.25">
      <c r="A97">
        <v>15.666135669265399</v>
      </c>
      <c r="B97">
        <v>0.1</v>
      </c>
      <c r="C97" t="s">
        <v>44</v>
      </c>
      <c r="D97">
        <v>6</v>
      </c>
      <c r="E97">
        <v>660</v>
      </c>
      <c r="F97">
        <v>785</v>
      </c>
      <c r="G97">
        <v>208</v>
      </c>
      <c r="H97">
        <v>0.1208179445782</v>
      </c>
      <c r="I97">
        <v>0.79095224094397198</v>
      </c>
      <c r="J97">
        <v>448</v>
      </c>
      <c r="K97" t="s">
        <v>173</v>
      </c>
      <c r="L97">
        <v>269</v>
      </c>
      <c r="O97">
        <v>0</v>
      </c>
      <c r="P97">
        <v>8783</v>
      </c>
      <c r="Q97">
        <v>11692</v>
      </c>
      <c r="R97" t="s">
        <v>39</v>
      </c>
      <c r="S97">
        <v>2020</v>
      </c>
      <c r="T97" s="34">
        <f>IF(R97="IRRIGATED",IF(F97&gt;=SCORES!I$6,1,0),"")</f>
        <v>1</v>
      </c>
    </row>
    <row r="98" spans="1:20" x14ac:dyDescent="0.25">
      <c r="A98">
        <v>3835.7190811328801</v>
      </c>
      <c r="B98">
        <v>36.299999999999997</v>
      </c>
      <c r="C98" t="s">
        <v>38</v>
      </c>
      <c r="D98">
        <v>1</v>
      </c>
      <c r="E98">
        <v>476</v>
      </c>
      <c r="F98">
        <v>585</v>
      </c>
      <c r="G98">
        <v>66</v>
      </c>
      <c r="H98">
        <v>0.1208179445782</v>
      </c>
      <c r="I98">
        <v>0.79095224094397198</v>
      </c>
      <c r="J98">
        <v>413</v>
      </c>
      <c r="K98" t="s">
        <v>173</v>
      </c>
      <c r="L98">
        <v>1414</v>
      </c>
      <c r="O98">
        <v>0</v>
      </c>
      <c r="P98">
        <v>8876</v>
      </c>
      <c r="Q98">
        <v>11601</v>
      </c>
      <c r="R98" t="s">
        <v>39</v>
      </c>
      <c r="S98">
        <v>2020</v>
      </c>
      <c r="T98" s="34">
        <f>IF(R98="IRRIGATED",IF(F98&gt;=SCORES!I$6,1,0),"")</f>
        <v>1</v>
      </c>
    </row>
    <row r="99" spans="1:20" x14ac:dyDescent="0.25">
      <c r="A99">
        <v>4062.36004724544</v>
      </c>
      <c r="B99">
        <v>38.4</v>
      </c>
      <c r="C99" t="s">
        <v>38</v>
      </c>
      <c r="D99">
        <v>1</v>
      </c>
      <c r="E99">
        <v>373</v>
      </c>
      <c r="F99">
        <v>485</v>
      </c>
      <c r="G99">
        <v>0</v>
      </c>
      <c r="J99">
        <v>383</v>
      </c>
      <c r="K99" t="s">
        <v>173</v>
      </c>
      <c r="L99">
        <v>1263</v>
      </c>
      <c r="O99">
        <v>0</v>
      </c>
      <c r="P99">
        <v>6656</v>
      </c>
      <c r="R99" t="s">
        <v>55</v>
      </c>
      <c r="S99">
        <v>2020</v>
      </c>
      <c r="T99" s="34" t="str">
        <f>IF(R99="IRRIGATED",IF(F99&gt;=SCORES!I$6,1,0),"")</f>
        <v/>
      </c>
    </row>
    <row r="100" spans="1:20" x14ac:dyDescent="0.25">
      <c r="A100">
        <v>1619.26392212305</v>
      </c>
      <c r="B100">
        <v>70.099999999999994</v>
      </c>
      <c r="C100" t="s">
        <v>53</v>
      </c>
      <c r="D100">
        <v>14</v>
      </c>
      <c r="E100">
        <v>433</v>
      </c>
      <c r="F100">
        <v>529</v>
      </c>
      <c r="G100">
        <v>196</v>
      </c>
      <c r="H100">
        <v>0.12550526164343501</v>
      </c>
      <c r="I100">
        <v>0.33515564576896401</v>
      </c>
      <c r="J100">
        <v>236</v>
      </c>
      <c r="K100" t="s">
        <v>173</v>
      </c>
      <c r="L100">
        <v>175</v>
      </c>
      <c r="O100">
        <v>3</v>
      </c>
      <c r="P100">
        <v>3714</v>
      </c>
      <c r="Q100">
        <v>4632</v>
      </c>
      <c r="R100" t="s">
        <v>39</v>
      </c>
      <c r="S100">
        <v>2020</v>
      </c>
      <c r="T100" s="34">
        <f>IF(R100="IRRIGATED",IF(F100&gt;=SCORES!I$6,1,0),"")</f>
        <v>1</v>
      </c>
    </row>
    <row r="101" spans="1:20" x14ac:dyDescent="0.25">
      <c r="A101">
        <v>263.72243268315901</v>
      </c>
      <c r="B101">
        <v>2.5</v>
      </c>
      <c r="C101" t="s">
        <v>53</v>
      </c>
      <c r="D101">
        <v>14</v>
      </c>
      <c r="E101">
        <v>364</v>
      </c>
      <c r="F101">
        <v>390</v>
      </c>
      <c r="G101">
        <v>125</v>
      </c>
      <c r="H101">
        <v>0.142510961535599</v>
      </c>
      <c r="I101">
        <v>0.485414820537721</v>
      </c>
      <c r="J101">
        <v>236</v>
      </c>
      <c r="K101" t="s">
        <v>173</v>
      </c>
      <c r="L101">
        <v>1442</v>
      </c>
      <c r="O101">
        <v>1</v>
      </c>
      <c r="P101">
        <v>5696</v>
      </c>
      <c r="Q101">
        <v>6326</v>
      </c>
      <c r="R101" t="s">
        <v>39</v>
      </c>
      <c r="S101">
        <v>2020</v>
      </c>
      <c r="T101" s="34">
        <f>IF(R101="IRRIGATED",IF(F101&gt;=SCORES!I$6,1,0),"")</f>
        <v>1</v>
      </c>
    </row>
    <row r="102" spans="1:20" x14ac:dyDescent="0.25">
      <c r="A102">
        <v>21.1342349227426</v>
      </c>
      <c r="B102">
        <v>0.2</v>
      </c>
      <c r="C102" t="s">
        <v>53</v>
      </c>
      <c r="D102">
        <v>14</v>
      </c>
      <c r="E102">
        <v>348</v>
      </c>
      <c r="F102">
        <v>396</v>
      </c>
      <c r="G102">
        <v>0</v>
      </c>
      <c r="J102">
        <v>226</v>
      </c>
      <c r="K102" t="s">
        <v>173</v>
      </c>
      <c r="L102">
        <v>1362</v>
      </c>
      <c r="O102">
        <v>1</v>
      </c>
      <c r="P102">
        <v>5401</v>
      </c>
      <c r="R102" t="s">
        <v>55</v>
      </c>
      <c r="S102">
        <v>2020</v>
      </c>
      <c r="T102" s="34" t="str">
        <f>IF(R102="IRRIGATED",IF(F102&gt;=SCORES!I$6,1,0),"")</f>
        <v/>
      </c>
    </row>
    <row r="103" spans="1:20" x14ac:dyDescent="0.25">
      <c r="A103">
        <v>22.176328235081598</v>
      </c>
      <c r="B103">
        <v>1</v>
      </c>
      <c r="C103" t="s">
        <v>53</v>
      </c>
      <c r="D103">
        <v>14</v>
      </c>
      <c r="E103">
        <v>225</v>
      </c>
      <c r="F103">
        <v>513</v>
      </c>
      <c r="G103">
        <v>0</v>
      </c>
      <c r="J103">
        <v>121</v>
      </c>
      <c r="K103" t="s">
        <v>173</v>
      </c>
      <c r="L103">
        <v>93</v>
      </c>
      <c r="O103">
        <v>3</v>
      </c>
      <c r="P103">
        <v>2021</v>
      </c>
      <c r="R103" t="s">
        <v>55</v>
      </c>
      <c r="S103">
        <v>2020</v>
      </c>
      <c r="T103" s="34" t="str">
        <f>IF(R103="IRRIGATED",IF(F103&gt;=SCORES!I$6,1,0),"")</f>
        <v/>
      </c>
    </row>
    <row r="104" spans="1:20" x14ac:dyDescent="0.25">
      <c r="A104">
        <v>101.992670964208</v>
      </c>
      <c r="B104">
        <v>4.4000000000000004</v>
      </c>
      <c r="C104" t="s">
        <v>49</v>
      </c>
      <c r="D104">
        <v>15</v>
      </c>
      <c r="E104">
        <v>267</v>
      </c>
      <c r="F104">
        <v>334</v>
      </c>
      <c r="G104">
        <v>77</v>
      </c>
      <c r="H104">
        <v>0.12550526164343501</v>
      </c>
      <c r="I104">
        <v>0.33515564576896401</v>
      </c>
      <c r="J104">
        <v>190</v>
      </c>
      <c r="K104" t="s">
        <v>173</v>
      </c>
      <c r="L104">
        <v>133</v>
      </c>
      <c r="O104">
        <v>3</v>
      </c>
      <c r="P104">
        <v>2581</v>
      </c>
      <c r="Q104">
        <v>3443</v>
      </c>
      <c r="R104" t="s">
        <v>39</v>
      </c>
      <c r="S104">
        <v>2020</v>
      </c>
      <c r="T104" s="34">
        <f>IF(R104="IRRIGATED",IF(F104&gt;=SCORES!I$6,1,0),"")</f>
        <v>1</v>
      </c>
    </row>
    <row r="105" spans="1:20" x14ac:dyDescent="0.25">
      <c r="A105">
        <v>32.077952520377899</v>
      </c>
      <c r="B105">
        <v>0.3</v>
      </c>
      <c r="C105" t="s">
        <v>49</v>
      </c>
      <c r="D105">
        <v>15</v>
      </c>
      <c r="E105">
        <v>249</v>
      </c>
      <c r="F105">
        <v>344</v>
      </c>
      <c r="G105">
        <v>29</v>
      </c>
      <c r="H105">
        <v>4.2734244163670401E-2</v>
      </c>
      <c r="I105">
        <v>0.44241038492330598</v>
      </c>
      <c r="J105">
        <v>216</v>
      </c>
      <c r="K105" t="s">
        <v>173</v>
      </c>
      <c r="L105">
        <v>95</v>
      </c>
      <c r="O105">
        <v>2</v>
      </c>
      <c r="P105">
        <v>5794</v>
      </c>
      <c r="Q105">
        <v>8498</v>
      </c>
      <c r="R105" t="s">
        <v>39</v>
      </c>
      <c r="S105">
        <v>2020</v>
      </c>
      <c r="T105" s="34">
        <f>IF(R105="IRRIGATED",IF(F105&gt;=SCORES!I$6,1,0),"")</f>
        <v>1</v>
      </c>
    </row>
    <row r="106" spans="1:20" x14ac:dyDescent="0.25">
      <c r="A106">
        <v>468.78014767221401</v>
      </c>
      <c r="B106">
        <v>4.5</v>
      </c>
      <c r="C106" t="s">
        <v>49</v>
      </c>
      <c r="D106">
        <v>15</v>
      </c>
      <c r="E106">
        <v>316</v>
      </c>
      <c r="F106">
        <v>346</v>
      </c>
      <c r="G106">
        <v>84</v>
      </c>
      <c r="H106">
        <v>0.142510961535599</v>
      </c>
      <c r="I106">
        <v>0.485414820537721</v>
      </c>
      <c r="J106">
        <v>233</v>
      </c>
      <c r="K106" t="s">
        <v>173</v>
      </c>
      <c r="L106">
        <v>1429</v>
      </c>
      <c r="O106">
        <v>1</v>
      </c>
      <c r="P106">
        <v>4695</v>
      </c>
      <c r="Q106">
        <v>5500</v>
      </c>
      <c r="R106" t="s">
        <v>39</v>
      </c>
      <c r="S106">
        <v>2020</v>
      </c>
      <c r="T106" s="34">
        <f>IF(R106="IRRIGATED",IF(F106&gt;=SCORES!I$6,1,0),"")</f>
        <v>1</v>
      </c>
    </row>
    <row r="107" spans="1:20" x14ac:dyDescent="0.25">
      <c r="A107">
        <v>38.9010275597456</v>
      </c>
      <c r="B107">
        <v>0.4</v>
      </c>
      <c r="C107" t="s">
        <v>49</v>
      </c>
      <c r="D107">
        <v>15</v>
      </c>
      <c r="E107">
        <v>278</v>
      </c>
      <c r="F107">
        <v>340</v>
      </c>
      <c r="G107">
        <v>0</v>
      </c>
      <c r="J107">
        <v>218</v>
      </c>
      <c r="K107" t="s">
        <v>173</v>
      </c>
      <c r="L107">
        <v>1307</v>
      </c>
      <c r="O107">
        <v>1</v>
      </c>
      <c r="P107">
        <v>4125</v>
      </c>
      <c r="R107" t="s">
        <v>55</v>
      </c>
      <c r="S107">
        <v>2020</v>
      </c>
      <c r="T107" s="34" t="str">
        <f>IF(R107="IRRIGATED",IF(F107&gt;=SCORES!I$6,1,0),"")</f>
        <v/>
      </c>
    </row>
    <row r="108" spans="1:20" x14ac:dyDescent="0.25">
      <c r="A108">
        <v>18.052470426097202</v>
      </c>
      <c r="B108">
        <v>0.2</v>
      </c>
      <c r="C108" t="s">
        <v>49</v>
      </c>
      <c r="D108">
        <v>15</v>
      </c>
      <c r="E108">
        <v>262</v>
      </c>
      <c r="F108">
        <v>370</v>
      </c>
      <c r="G108">
        <v>0</v>
      </c>
      <c r="J108">
        <v>229</v>
      </c>
      <c r="K108" t="s">
        <v>173</v>
      </c>
      <c r="L108">
        <v>99</v>
      </c>
      <c r="O108">
        <v>2</v>
      </c>
      <c r="P108">
        <v>6127</v>
      </c>
      <c r="R108" t="s">
        <v>55</v>
      </c>
      <c r="S108">
        <v>2020</v>
      </c>
      <c r="T108" s="34" t="str">
        <f>IF(R108="IRRIGATED",IF(F108&gt;=SCORES!I$6,1,0),"")</f>
        <v/>
      </c>
    </row>
    <row r="109" spans="1:20" x14ac:dyDescent="0.25">
      <c r="A109">
        <v>5.0111631835339097</v>
      </c>
      <c r="B109">
        <v>0.2</v>
      </c>
      <c r="C109" t="s">
        <v>49</v>
      </c>
      <c r="D109">
        <v>15</v>
      </c>
      <c r="E109">
        <v>131</v>
      </c>
      <c r="F109">
        <v>307</v>
      </c>
      <c r="G109">
        <v>0</v>
      </c>
      <c r="J109">
        <v>105</v>
      </c>
      <c r="K109" t="s">
        <v>173</v>
      </c>
      <c r="L109">
        <v>81</v>
      </c>
      <c r="O109">
        <v>3</v>
      </c>
      <c r="P109">
        <v>1264</v>
      </c>
      <c r="R109" t="s">
        <v>55</v>
      </c>
      <c r="S109">
        <v>2020</v>
      </c>
      <c r="T109" s="34" t="str">
        <f>IF(R109="IRRIGATED",IF(F109&gt;=SCORES!I$6,1,0),"")</f>
        <v/>
      </c>
    </row>
    <row r="110" spans="1:20" x14ac:dyDescent="0.25">
      <c r="A110">
        <v>3058.3054209322499</v>
      </c>
      <c r="B110">
        <v>29.2</v>
      </c>
      <c r="C110" t="s">
        <v>98</v>
      </c>
      <c r="D110">
        <v>17</v>
      </c>
      <c r="E110">
        <v>186</v>
      </c>
      <c r="F110">
        <v>272</v>
      </c>
      <c r="G110">
        <v>0</v>
      </c>
      <c r="J110">
        <v>202</v>
      </c>
      <c r="K110" t="s">
        <v>173</v>
      </c>
      <c r="L110">
        <v>1141</v>
      </c>
      <c r="O110">
        <v>1</v>
      </c>
      <c r="P110">
        <v>2702</v>
      </c>
      <c r="R110" t="s">
        <v>55</v>
      </c>
      <c r="S110">
        <v>2020</v>
      </c>
      <c r="T110" s="34" t="str">
        <f>IF(R110="IRRIGATED",IF(F110&gt;=SCORES!I$6,1,0),"")</f>
        <v/>
      </c>
    </row>
    <row r="111" spans="1:20" x14ac:dyDescent="0.25">
      <c r="A111">
        <v>3098.16321037026</v>
      </c>
      <c r="B111">
        <v>32.200000000000003</v>
      </c>
      <c r="C111" t="s">
        <v>98</v>
      </c>
      <c r="D111">
        <v>17</v>
      </c>
      <c r="E111">
        <v>189</v>
      </c>
      <c r="F111">
        <v>212</v>
      </c>
      <c r="G111">
        <v>0</v>
      </c>
      <c r="J111">
        <v>182</v>
      </c>
      <c r="K111" t="s">
        <v>173</v>
      </c>
      <c r="L111">
        <v>91</v>
      </c>
      <c r="O111">
        <v>2</v>
      </c>
      <c r="P111">
        <v>4052</v>
      </c>
      <c r="R111" t="s">
        <v>55</v>
      </c>
      <c r="S111">
        <v>2020</v>
      </c>
      <c r="T111" s="34" t="str">
        <f>IF(R111="IRRIGATED",IF(F111&gt;=SCORES!I$6,1,0),"")</f>
        <v/>
      </c>
    </row>
    <row r="112" spans="1:20" x14ac:dyDescent="0.25">
      <c r="A112">
        <v>21.677386609380299</v>
      </c>
      <c r="B112">
        <v>0.9</v>
      </c>
      <c r="C112" t="s">
        <v>98</v>
      </c>
      <c r="D112">
        <v>17</v>
      </c>
      <c r="E112">
        <v>184</v>
      </c>
      <c r="F112">
        <v>269</v>
      </c>
      <c r="G112">
        <v>0</v>
      </c>
      <c r="J112">
        <v>148</v>
      </c>
      <c r="K112" t="s">
        <v>173</v>
      </c>
      <c r="L112">
        <v>111</v>
      </c>
      <c r="O112">
        <v>3</v>
      </c>
      <c r="P112">
        <v>1915</v>
      </c>
      <c r="R112" t="s">
        <v>55</v>
      </c>
      <c r="S112">
        <v>2020</v>
      </c>
      <c r="T112" s="34" t="str">
        <f>IF(R112="IRRIGATED",IF(F112&gt;=SCORES!I$6,1,0),"")</f>
        <v/>
      </c>
    </row>
    <row r="113" spans="1:20" x14ac:dyDescent="0.25">
      <c r="A113">
        <v>3757.6026251460098</v>
      </c>
      <c r="B113">
        <v>39.1</v>
      </c>
      <c r="C113" t="s">
        <v>57</v>
      </c>
      <c r="D113">
        <v>2</v>
      </c>
      <c r="E113">
        <v>221</v>
      </c>
      <c r="F113">
        <v>276</v>
      </c>
      <c r="G113">
        <v>25</v>
      </c>
      <c r="H113">
        <v>4.2734244163670401E-2</v>
      </c>
      <c r="I113">
        <v>0.44241038492330598</v>
      </c>
      <c r="J113">
        <v>192</v>
      </c>
      <c r="K113" t="s">
        <v>173</v>
      </c>
      <c r="L113">
        <v>94</v>
      </c>
      <c r="M113">
        <v>0.94869738213521604</v>
      </c>
      <c r="N113">
        <v>0.92253436103433295</v>
      </c>
      <c r="O113">
        <v>2</v>
      </c>
      <c r="P113">
        <v>5201</v>
      </c>
      <c r="Q113">
        <v>7166</v>
      </c>
      <c r="R113" t="s">
        <v>39</v>
      </c>
      <c r="S113">
        <v>2020</v>
      </c>
      <c r="T113" s="34">
        <f>IF(R113="IRRIGATED",IF(F113&gt;=SCORES!I$6,1,0),"")</f>
        <v>0</v>
      </c>
    </row>
    <row r="114" spans="1:20" x14ac:dyDescent="0.25">
      <c r="A114">
        <v>2233.22710793429</v>
      </c>
      <c r="B114">
        <v>21.3</v>
      </c>
      <c r="C114" t="s">
        <v>57</v>
      </c>
      <c r="D114">
        <v>2</v>
      </c>
      <c r="E114">
        <v>288</v>
      </c>
      <c r="F114">
        <v>368</v>
      </c>
      <c r="G114">
        <v>70</v>
      </c>
      <c r="H114">
        <v>0.142510961535599</v>
      </c>
      <c r="I114">
        <v>0.485414820537721</v>
      </c>
      <c r="J114">
        <v>221</v>
      </c>
      <c r="K114" t="s">
        <v>173</v>
      </c>
      <c r="L114">
        <v>1312</v>
      </c>
      <c r="M114">
        <v>0.94858677542160097</v>
      </c>
      <c r="N114">
        <v>0.53566960815738496</v>
      </c>
      <c r="O114">
        <v>1</v>
      </c>
      <c r="P114">
        <v>4441</v>
      </c>
      <c r="Q114">
        <v>6090</v>
      </c>
      <c r="R114" t="s">
        <v>39</v>
      </c>
      <c r="S114">
        <v>2020</v>
      </c>
      <c r="T114" s="34">
        <f>IF(R114="IRRIGATED",IF(F114&gt;=SCORES!I$6,1,0),"")</f>
        <v>1</v>
      </c>
    </row>
    <row r="115" spans="1:20" x14ac:dyDescent="0.25">
      <c r="A115">
        <v>2373.1180318533902</v>
      </c>
      <c r="B115">
        <v>22.6</v>
      </c>
      <c r="C115" t="s">
        <v>57</v>
      </c>
      <c r="D115">
        <v>2</v>
      </c>
      <c r="E115">
        <v>173</v>
      </c>
      <c r="F115">
        <v>244</v>
      </c>
      <c r="G115">
        <v>0</v>
      </c>
      <c r="J115">
        <v>202</v>
      </c>
      <c r="K115" t="s">
        <v>173</v>
      </c>
      <c r="L115">
        <v>1146</v>
      </c>
      <c r="M115">
        <v>0.94858677542160097</v>
      </c>
      <c r="N115">
        <v>0.53566960815738496</v>
      </c>
      <c r="O115">
        <v>1</v>
      </c>
      <c r="P115">
        <v>2659</v>
      </c>
      <c r="R115" t="s">
        <v>55</v>
      </c>
      <c r="S115">
        <v>2020</v>
      </c>
      <c r="T115" s="34" t="str">
        <f>IF(R115="IRRIGATED",IF(F115&gt;=SCORES!I$6,1,0),"")</f>
        <v/>
      </c>
    </row>
    <row r="116" spans="1:20" x14ac:dyDescent="0.25">
      <c r="A116">
        <v>847.05382950554895</v>
      </c>
      <c r="B116">
        <v>8.8000000000000007</v>
      </c>
      <c r="C116" t="s">
        <v>57</v>
      </c>
      <c r="D116">
        <v>2</v>
      </c>
      <c r="E116">
        <v>199</v>
      </c>
      <c r="F116">
        <v>248</v>
      </c>
      <c r="G116">
        <v>0</v>
      </c>
      <c r="J116">
        <v>190</v>
      </c>
      <c r="K116" t="s">
        <v>173</v>
      </c>
      <c r="L116">
        <v>94</v>
      </c>
      <c r="M116">
        <v>0.94869738213521604</v>
      </c>
      <c r="N116">
        <v>0.92253436103433295</v>
      </c>
      <c r="O116">
        <v>2</v>
      </c>
      <c r="P116">
        <v>4286</v>
      </c>
      <c r="R116" t="s">
        <v>55</v>
      </c>
      <c r="S116">
        <v>2020</v>
      </c>
      <c r="T116" s="34" t="str">
        <f>IF(R116="IRRIGATED",IF(F116&gt;=SCORES!I$6,1,0),"")</f>
        <v/>
      </c>
    </row>
    <row r="117" spans="1:20" x14ac:dyDescent="0.25">
      <c r="A117">
        <v>251.174209022013</v>
      </c>
      <c r="B117">
        <v>2.4</v>
      </c>
      <c r="C117" t="s">
        <v>46</v>
      </c>
      <c r="D117">
        <v>8</v>
      </c>
      <c r="E117">
        <v>1011</v>
      </c>
      <c r="F117">
        <v>1197</v>
      </c>
      <c r="G117">
        <v>231</v>
      </c>
      <c r="H117">
        <v>0.1208179445782</v>
      </c>
      <c r="I117">
        <v>0.79095224094397198</v>
      </c>
      <c r="J117">
        <v>777</v>
      </c>
      <c r="K117" t="s">
        <v>173</v>
      </c>
      <c r="L117">
        <v>1740</v>
      </c>
      <c r="O117">
        <v>0</v>
      </c>
      <c r="P117">
        <v>16052</v>
      </c>
      <c r="Q117">
        <v>19027</v>
      </c>
      <c r="R117" t="s">
        <v>39</v>
      </c>
      <c r="S117">
        <v>2020</v>
      </c>
      <c r="T117" s="34">
        <f>IF(R117="IRRIGATED",IF(F117&gt;=SCORES!I$6,1,0),"")</f>
        <v>1</v>
      </c>
    </row>
    <row r="118" spans="1:20" x14ac:dyDescent="0.25">
      <c r="A118">
        <v>55.763782093179699</v>
      </c>
      <c r="B118">
        <v>0.5</v>
      </c>
      <c r="C118" t="s">
        <v>46</v>
      </c>
      <c r="D118">
        <v>8</v>
      </c>
      <c r="E118">
        <v>954</v>
      </c>
      <c r="F118">
        <v>1173</v>
      </c>
      <c r="G118">
        <v>0</v>
      </c>
      <c r="J118">
        <v>780</v>
      </c>
      <c r="K118" t="s">
        <v>173</v>
      </c>
      <c r="L118">
        <v>1742</v>
      </c>
      <c r="O118">
        <v>0</v>
      </c>
      <c r="P118">
        <v>15452</v>
      </c>
      <c r="R118" t="s">
        <v>55</v>
      </c>
      <c r="S118">
        <v>2020</v>
      </c>
      <c r="T118" s="34" t="str">
        <f>IF(R118="IRRIGATED",IF(F118&gt;=SCORES!I$6,1,0),"")</f>
        <v/>
      </c>
    </row>
    <row r="119" spans="1:20" x14ac:dyDescent="0.25">
      <c r="A119">
        <v>13.2184320975599</v>
      </c>
      <c r="B119">
        <v>0.1</v>
      </c>
      <c r="C119" t="s">
        <v>40</v>
      </c>
      <c r="D119">
        <v>2</v>
      </c>
      <c r="E119">
        <v>179</v>
      </c>
      <c r="F119">
        <v>277</v>
      </c>
      <c r="G119">
        <v>0</v>
      </c>
      <c r="J119">
        <v>177</v>
      </c>
      <c r="K119" t="s">
        <v>173</v>
      </c>
      <c r="L119">
        <v>88</v>
      </c>
      <c r="O119">
        <v>0</v>
      </c>
      <c r="P119">
        <v>3666</v>
      </c>
      <c r="R119" t="s">
        <v>55</v>
      </c>
      <c r="S119">
        <v>2020</v>
      </c>
      <c r="T119" s="34" t="str">
        <f>IF(R119="IRRIGATED",IF(F119&gt;=SCORES!I$6,1,0),"")</f>
        <v/>
      </c>
    </row>
    <row r="120" spans="1:20" x14ac:dyDescent="0.25">
      <c r="A120">
        <v>6.7832797368995701</v>
      </c>
      <c r="B120">
        <v>0.1</v>
      </c>
      <c r="C120" t="s">
        <v>45</v>
      </c>
      <c r="D120">
        <v>7</v>
      </c>
      <c r="E120">
        <v>762</v>
      </c>
      <c r="F120">
        <v>973</v>
      </c>
      <c r="G120">
        <v>241</v>
      </c>
      <c r="H120">
        <v>0.1208179445782</v>
      </c>
      <c r="I120">
        <v>0.79095224094397198</v>
      </c>
      <c r="J120">
        <v>520</v>
      </c>
      <c r="K120" t="s">
        <v>173</v>
      </c>
      <c r="L120">
        <v>1163</v>
      </c>
      <c r="O120">
        <v>0</v>
      </c>
      <c r="P120">
        <v>9935</v>
      </c>
      <c r="Q120">
        <v>14435</v>
      </c>
      <c r="R120" t="s">
        <v>39</v>
      </c>
      <c r="S120">
        <v>2020</v>
      </c>
      <c r="T120" s="34">
        <f>IF(R120="IRRIGATED",IF(F120&gt;=SCORES!I$6,1,0),"")</f>
        <v>1</v>
      </c>
    </row>
    <row r="121" spans="1:20" x14ac:dyDescent="0.25">
      <c r="A121">
        <v>641.35861876530896</v>
      </c>
      <c r="B121">
        <v>7.2</v>
      </c>
      <c r="C121" t="s">
        <v>102</v>
      </c>
      <c r="D121">
        <v>31</v>
      </c>
      <c r="E121">
        <v>220</v>
      </c>
      <c r="F121">
        <v>288</v>
      </c>
      <c r="G121">
        <v>57</v>
      </c>
      <c r="H121">
        <v>0.21250162366161299</v>
      </c>
      <c r="I121">
        <v>0.65831415253023995</v>
      </c>
      <c r="J121">
        <v>165</v>
      </c>
      <c r="K121" t="s">
        <v>173</v>
      </c>
      <c r="L121">
        <v>936</v>
      </c>
      <c r="M121">
        <v>0.90406316320386204</v>
      </c>
      <c r="N121">
        <v>0.35947749718762501</v>
      </c>
      <c r="O121">
        <v>1</v>
      </c>
      <c r="P121">
        <v>3775</v>
      </c>
      <c r="Q121">
        <v>4904</v>
      </c>
      <c r="R121" t="s">
        <v>39</v>
      </c>
      <c r="S121">
        <v>2021</v>
      </c>
      <c r="T121" s="34">
        <f>IF(R121="IRRIGATED",IF(F121&gt;=SCORES!I$6,1,0),"")</f>
        <v>0</v>
      </c>
    </row>
    <row r="122" spans="1:20" x14ac:dyDescent="0.25">
      <c r="A122">
        <v>690.02423692899504</v>
      </c>
      <c r="B122">
        <v>8</v>
      </c>
      <c r="C122" t="s">
        <v>102</v>
      </c>
      <c r="D122">
        <v>31</v>
      </c>
      <c r="E122">
        <v>236</v>
      </c>
      <c r="F122">
        <v>324</v>
      </c>
      <c r="G122">
        <v>26</v>
      </c>
      <c r="H122">
        <v>4.39373584897031E-2</v>
      </c>
      <c r="I122">
        <v>0.424790395403013</v>
      </c>
      <c r="J122">
        <v>204</v>
      </c>
      <c r="K122" t="s">
        <v>173</v>
      </c>
      <c r="L122">
        <v>88</v>
      </c>
      <c r="M122">
        <v>0.90892785730897696</v>
      </c>
      <c r="N122">
        <v>0.90800831312137498</v>
      </c>
      <c r="O122">
        <v>2</v>
      </c>
      <c r="P122">
        <v>5740</v>
      </c>
      <c r="Q122">
        <v>9113</v>
      </c>
      <c r="R122" t="s">
        <v>39</v>
      </c>
      <c r="S122">
        <v>2021</v>
      </c>
      <c r="T122" s="34">
        <f>IF(R122="IRRIGATED",IF(F122&gt;=SCORES!I$6,1,0),"")</f>
        <v>1</v>
      </c>
    </row>
    <row r="123" spans="1:20" x14ac:dyDescent="0.25">
      <c r="A123">
        <v>81.540190848801501</v>
      </c>
      <c r="B123">
        <v>3.2</v>
      </c>
      <c r="C123" t="s">
        <v>102</v>
      </c>
      <c r="D123">
        <v>31</v>
      </c>
      <c r="E123">
        <v>318</v>
      </c>
      <c r="F123">
        <v>449</v>
      </c>
      <c r="G123">
        <v>119</v>
      </c>
      <c r="H123">
        <v>0.130117303959601</v>
      </c>
      <c r="I123">
        <v>0.31382273155333901</v>
      </c>
      <c r="J123">
        <v>198</v>
      </c>
      <c r="K123" t="s">
        <v>173</v>
      </c>
      <c r="L123">
        <v>115</v>
      </c>
      <c r="O123">
        <v>3</v>
      </c>
      <c r="P123">
        <v>2778</v>
      </c>
      <c r="Q123">
        <v>3601</v>
      </c>
      <c r="R123" t="s">
        <v>39</v>
      </c>
      <c r="S123">
        <v>2021</v>
      </c>
      <c r="T123" s="34">
        <f>IF(R123="IRRIGATED",IF(F123&gt;=SCORES!I$6,1,0),"")</f>
        <v>1</v>
      </c>
    </row>
    <row r="124" spans="1:20" x14ac:dyDescent="0.25">
      <c r="A124">
        <v>889.40239345230395</v>
      </c>
      <c r="B124">
        <v>10</v>
      </c>
      <c r="C124" t="s">
        <v>102</v>
      </c>
      <c r="D124">
        <v>31</v>
      </c>
      <c r="E124">
        <v>142</v>
      </c>
      <c r="F124">
        <v>202</v>
      </c>
      <c r="G124">
        <v>0</v>
      </c>
      <c r="J124">
        <v>151</v>
      </c>
      <c r="K124" t="s">
        <v>173</v>
      </c>
      <c r="L124">
        <v>799</v>
      </c>
      <c r="M124">
        <v>0.90406316320386204</v>
      </c>
      <c r="N124">
        <v>0.35947749718762501</v>
      </c>
      <c r="O124">
        <v>1</v>
      </c>
      <c r="P124">
        <v>2492</v>
      </c>
      <c r="R124" t="s">
        <v>55</v>
      </c>
      <c r="S124">
        <v>2021</v>
      </c>
      <c r="T124" s="34" t="str">
        <f>IF(R124="IRRIGATED",IF(F124&gt;=SCORES!I$6,1,0),"")</f>
        <v/>
      </c>
    </row>
    <row r="125" spans="1:20" x14ac:dyDescent="0.25">
      <c r="A125">
        <v>752.43328807409898</v>
      </c>
      <c r="B125">
        <v>8.8000000000000007</v>
      </c>
      <c r="C125" t="s">
        <v>102</v>
      </c>
      <c r="D125">
        <v>31</v>
      </c>
      <c r="E125">
        <v>207</v>
      </c>
      <c r="F125">
        <v>292</v>
      </c>
      <c r="G125">
        <v>0</v>
      </c>
      <c r="J125">
        <v>199</v>
      </c>
      <c r="K125" t="s">
        <v>173</v>
      </c>
      <c r="L125">
        <v>88</v>
      </c>
      <c r="M125">
        <v>0.90892785730897696</v>
      </c>
      <c r="N125">
        <v>0.90800831312137498</v>
      </c>
      <c r="O125">
        <v>2</v>
      </c>
      <c r="P125">
        <v>4793</v>
      </c>
      <c r="R125" t="s">
        <v>55</v>
      </c>
      <c r="S125">
        <v>2021</v>
      </c>
      <c r="T125" s="34" t="str">
        <f>IF(R125="IRRIGATED",IF(F125&gt;=SCORES!I$6,1,0),"")</f>
        <v/>
      </c>
    </row>
    <row r="126" spans="1:20" x14ac:dyDescent="0.25">
      <c r="A126">
        <v>8.3266426413143293</v>
      </c>
      <c r="B126">
        <v>0.3</v>
      </c>
      <c r="C126" t="s">
        <v>102</v>
      </c>
      <c r="D126">
        <v>31</v>
      </c>
      <c r="E126">
        <v>182</v>
      </c>
      <c r="F126">
        <v>349</v>
      </c>
      <c r="G126">
        <v>0</v>
      </c>
      <c r="J126">
        <v>143</v>
      </c>
      <c r="K126" t="s">
        <v>173</v>
      </c>
      <c r="L126">
        <v>52</v>
      </c>
      <c r="O126">
        <v>3</v>
      </c>
      <c r="P126">
        <v>2325</v>
      </c>
      <c r="R126" t="s">
        <v>55</v>
      </c>
      <c r="S126">
        <v>2021</v>
      </c>
      <c r="T126" s="34" t="str">
        <f>IF(R126="IRRIGATED",IF(F126&gt;=SCORES!I$6,1,0),"")</f>
        <v/>
      </c>
    </row>
    <row r="127" spans="1:20" x14ac:dyDescent="0.25">
      <c r="A127">
        <v>465.10641521983399</v>
      </c>
      <c r="B127">
        <v>5.2</v>
      </c>
      <c r="C127" t="s">
        <v>106</v>
      </c>
      <c r="D127">
        <v>34</v>
      </c>
      <c r="E127">
        <v>250</v>
      </c>
      <c r="F127">
        <v>316</v>
      </c>
      <c r="G127">
        <v>79</v>
      </c>
      <c r="H127">
        <v>0.21250162366161299</v>
      </c>
      <c r="I127">
        <v>0.65831415253023995</v>
      </c>
      <c r="J127">
        <v>170</v>
      </c>
      <c r="K127" t="s">
        <v>173</v>
      </c>
      <c r="L127">
        <v>1077</v>
      </c>
      <c r="M127">
        <v>0.93467080111479794</v>
      </c>
      <c r="N127">
        <v>0.384683147016746</v>
      </c>
      <c r="O127">
        <v>1</v>
      </c>
      <c r="P127">
        <v>4091</v>
      </c>
      <c r="Q127">
        <v>5171</v>
      </c>
      <c r="R127" t="s">
        <v>39</v>
      </c>
      <c r="S127">
        <v>2021</v>
      </c>
      <c r="T127" s="34">
        <f>IF(R127="IRRIGATED",IF(F127&gt;=SCORES!I$6,1,0),"")</f>
        <v>1</v>
      </c>
    </row>
    <row r="128" spans="1:20" x14ac:dyDescent="0.25">
      <c r="A128">
        <v>638.98928018647405</v>
      </c>
      <c r="B128">
        <v>7.4</v>
      </c>
      <c r="C128" t="s">
        <v>106</v>
      </c>
      <c r="D128">
        <v>34</v>
      </c>
      <c r="E128">
        <v>271</v>
      </c>
      <c r="F128">
        <v>340</v>
      </c>
      <c r="G128">
        <v>36</v>
      </c>
      <c r="H128">
        <v>4.39373584897031E-2</v>
      </c>
      <c r="I128">
        <v>0.424790395403013</v>
      </c>
      <c r="J128">
        <v>230</v>
      </c>
      <c r="K128" t="s">
        <v>173</v>
      </c>
      <c r="L128">
        <v>100</v>
      </c>
      <c r="M128">
        <v>0.93573419497485599</v>
      </c>
      <c r="N128">
        <v>0.92303493805652004</v>
      </c>
      <c r="O128">
        <v>2</v>
      </c>
      <c r="P128">
        <v>7065</v>
      </c>
      <c r="Q128">
        <v>9783</v>
      </c>
      <c r="R128" t="s">
        <v>39</v>
      </c>
      <c r="S128">
        <v>2021</v>
      </c>
      <c r="T128" s="34">
        <f>IF(R128="IRRIGATED",IF(F128&gt;=SCORES!I$6,1,0),"")</f>
        <v>1</v>
      </c>
    </row>
    <row r="129" spans="1:20" x14ac:dyDescent="0.25">
      <c r="A129">
        <v>744.45875800567205</v>
      </c>
      <c r="B129">
        <v>29.5</v>
      </c>
      <c r="C129" t="s">
        <v>106</v>
      </c>
      <c r="D129">
        <v>34</v>
      </c>
      <c r="E129">
        <v>443</v>
      </c>
      <c r="F129">
        <v>545</v>
      </c>
      <c r="G129">
        <v>218</v>
      </c>
      <c r="H129">
        <v>0.130117303959601</v>
      </c>
      <c r="I129">
        <v>0.31382273155333901</v>
      </c>
      <c r="J129">
        <v>224</v>
      </c>
      <c r="K129" t="s">
        <v>173</v>
      </c>
      <c r="L129">
        <v>173</v>
      </c>
      <c r="O129">
        <v>3</v>
      </c>
      <c r="P129">
        <v>2884</v>
      </c>
      <c r="Q129">
        <v>4174</v>
      </c>
      <c r="R129" t="s">
        <v>39</v>
      </c>
      <c r="S129">
        <v>2021</v>
      </c>
      <c r="T129" s="34">
        <f>IF(R129="IRRIGATED",IF(F129&gt;=SCORES!I$6,1,0),"")</f>
        <v>1</v>
      </c>
    </row>
    <row r="130" spans="1:20" x14ac:dyDescent="0.25">
      <c r="A130">
        <v>347.71338569999199</v>
      </c>
      <c r="B130">
        <v>3.9</v>
      </c>
      <c r="C130" t="s">
        <v>106</v>
      </c>
      <c r="D130">
        <v>34</v>
      </c>
      <c r="E130">
        <v>158</v>
      </c>
      <c r="F130">
        <v>220</v>
      </c>
      <c r="G130">
        <v>0</v>
      </c>
      <c r="J130">
        <v>159</v>
      </c>
      <c r="K130" t="s">
        <v>173</v>
      </c>
      <c r="L130">
        <v>890</v>
      </c>
      <c r="M130">
        <v>0.93467080111479794</v>
      </c>
      <c r="N130">
        <v>0.384683147016746</v>
      </c>
      <c r="O130">
        <v>1</v>
      </c>
      <c r="P130">
        <v>2710</v>
      </c>
      <c r="R130" t="s">
        <v>55</v>
      </c>
      <c r="S130">
        <v>2021</v>
      </c>
      <c r="T130" s="34" t="str">
        <f>IF(R130="IRRIGATED",IF(F130&gt;=SCORES!I$6,1,0),"")</f>
        <v/>
      </c>
    </row>
    <row r="131" spans="1:20" x14ac:dyDescent="0.25">
      <c r="A131">
        <v>188.52867359409899</v>
      </c>
      <c r="B131">
        <v>2.2000000000000002</v>
      </c>
      <c r="C131" t="s">
        <v>106</v>
      </c>
      <c r="D131">
        <v>34</v>
      </c>
      <c r="E131">
        <v>242</v>
      </c>
      <c r="F131">
        <v>308</v>
      </c>
      <c r="G131">
        <v>0</v>
      </c>
      <c r="J131">
        <v>228</v>
      </c>
      <c r="K131" t="s">
        <v>173</v>
      </c>
      <c r="L131">
        <v>98</v>
      </c>
      <c r="M131">
        <v>0.93573419497485599</v>
      </c>
      <c r="N131">
        <v>0.92303493805652004</v>
      </c>
      <c r="O131">
        <v>2</v>
      </c>
      <c r="P131">
        <v>5941</v>
      </c>
      <c r="R131" t="s">
        <v>55</v>
      </c>
      <c r="S131">
        <v>2021</v>
      </c>
      <c r="T131" s="34" t="str">
        <f>IF(R131="IRRIGATED",IF(F131&gt;=SCORES!I$6,1,0),"")</f>
        <v/>
      </c>
    </row>
    <row r="132" spans="1:20" x14ac:dyDescent="0.25">
      <c r="A132">
        <v>13.543641483181201</v>
      </c>
      <c r="B132">
        <v>0.5</v>
      </c>
      <c r="C132" t="s">
        <v>106</v>
      </c>
      <c r="D132">
        <v>34</v>
      </c>
      <c r="E132">
        <v>231</v>
      </c>
      <c r="F132">
        <v>445</v>
      </c>
      <c r="G132">
        <v>0</v>
      </c>
      <c r="J132">
        <v>161</v>
      </c>
      <c r="K132" t="s">
        <v>173</v>
      </c>
      <c r="L132">
        <v>83</v>
      </c>
      <c r="O132">
        <v>3</v>
      </c>
      <c r="P132">
        <v>2564</v>
      </c>
      <c r="R132" t="s">
        <v>55</v>
      </c>
      <c r="S132">
        <v>2021</v>
      </c>
      <c r="T132" s="34" t="str">
        <f>IF(R132="IRRIGATED",IF(F132&gt;=SCORES!I$6,1,0),"")</f>
        <v/>
      </c>
    </row>
    <row r="133" spans="1:20" x14ac:dyDescent="0.25">
      <c r="A133">
        <v>67.455544868510998</v>
      </c>
      <c r="B133">
        <v>0.7</v>
      </c>
      <c r="C133" t="s">
        <v>42</v>
      </c>
      <c r="D133">
        <v>4</v>
      </c>
      <c r="E133">
        <v>481</v>
      </c>
      <c r="F133">
        <v>665</v>
      </c>
      <c r="G133">
        <v>64</v>
      </c>
      <c r="H133">
        <v>0.124434266924854</v>
      </c>
      <c r="I133">
        <v>0.871143462405506</v>
      </c>
      <c r="J133">
        <v>404</v>
      </c>
      <c r="K133" t="s">
        <v>173</v>
      </c>
      <c r="L133">
        <v>910</v>
      </c>
      <c r="O133">
        <v>0</v>
      </c>
      <c r="P133">
        <v>10517</v>
      </c>
      <c r="Q133">
        <v>14982</v>
      </c>
      <c r="R133" t="s">
        <v>39</v>
      </c>
      <c r="S133">
        <v>2021</v>
      </c>
      <c r="T133" s="34">
        <f>IF(R133="IRRIGATED",IF(F133&gt;=SCORES!I$6,1,0),"")</f>
        <v>1</v>
      </c>
    </row>
    <row r="134" spans="1:20" x14ac:dyDescent="0.25">
      <c r="A134">
        <v>47.0761432160919</v>
      </c>
      <c r="B134">
        <v>0.5</v>
      </c>
      <c r="C134" t="s">
        <v>42</v>
      </c>
      <c r="D134">
        <v>4</v>
      </c>
      <c r="E134">
        <v>346</v>
      </c>
      <c r="F134">
        <v>473</v>
      </c>
      <c r="G134">
        <v>0</v>
      </c>
      <c r="J134">
        <v>345</v>
      </c>
      <c r="K134" t="s">
        <v>173</v>
      </c>
      <c r="L134">
        <v>928</v>
      </c>
      <c r="O134">
        <v>0</v>
      </c>
      <c r="P134">
        <v>7308</v>
      </c>
      <c r="R134" t="s">
        <v>55</v>
      </c>
      <c r="S134">
        <v>2021</v>
      </c>
      <c r="T134" s="34" t="str">
        <f>IF(R134="IRRIGATED",IF(F134&gt;=SCORES!I$6,1,0),"")</f>
        <v/>
      </c>
    </row>
    <row r="135" spans="1:20" x14ac:dyDescent="0.25">
      <c r="A135">
        <v>2093.7227903912999</v>
      </c>
      <c r="B135">
        <v>23.2</v>
      </c>
      <c r="C135" t="s">
        <v>43</v>
      </c>
      <c r="D135">
        <v>5</v>
      </c>
      <c r="E135">
        <v>853</v>
      </c>
      <c r="F135">
        <v>995</v>
      </c>
      <c r="G135">
        <v>276</v>
      </c>
      <c r="H135">
        <v>0.124434266924854</v>
      </c>
      <c r="I135">
        <v>0.871143462405506</v>
      </c>
      <c r="J135">
        <v>569</v>
      </c>
      <c r="K135" t="s">
        <v>173</v>
      </c>
      <c r="L135">
        <v>1104</v>
      </c>
      <c r="O135">
        <v>0</v>
      </c>
      <c r="P135">
        <v>11173</v>
      </c>
      <c r="Q135">
        <v>13279</v>
      </c>
      <c r="R135" t="s">
        <v>39</v>
      </c>
      <c r="S135">
        <v>2021</v>
      </c>
      <c r="T135" s="34">
        <f>IF(R135="IRRIGATED",IF(F135&gt;=SCORES!I$6,1,0),"")</f>
        <v>1</v>
      </c>
    </row>
    <row r="136" spans="1:20" x14ac:dyDescent="0.25">
      <c r="A136">
        <v>29.198353668308599</v>
      </c>
      <c r="B136">
        <v>0.3</v>
      </c>
      <c r="C136" t="s">
        <v>43</v>
      </c>
      <c r="D136">
        <v>5</v>
      </c>
      <c r="E136">
        <v>661</v>
      </c>
      <c r="F136">
        <v>914</v>
      </c>
      <c r="G136">
        <v>0</v>
      </c>
      <c r="J136">
        <v>540</v>
      </c>
      <c r="K136" t="s">
        <v>173</v>
      </c>
      <c r="L136">
        <v>1054</v>
      </c>
      <c r="O136">
        <v>0</v>
      </c>
      <c r="P136">
        <v>10214</v>
      </c>
      <c r="R136" t="s">
        <v>55</v>
      </c>
      <c r="S136">
        <v>2021</v>
      </c>
      <c r="T136" s="34" t="str">
        <f>IF(R136="IRRIGATED",IF(F136&gt;=SCORES!I$6,1,0),"")</f>
        <v/>
      </c>
    </row>
    <row r="137" spans="1:20" x14ac:dyDescent="0.25">
      <c r="A137">
        <v>14.3835998596191</v>
      </c>
      <c r="B137">
        <v>0.2</v>
      </c>
      <c r="C137" t="s">
        <v>44</v>
      </c>
      <c r="D137">
        <v>6</v>
      </c>
      <c r="E137">
        <v>741</v>
      </c>
      <c r="F137">
        <v>870</v>
      </c>
      <c r="G137">
        <v>290</v>
      </c>
      <c r="H137">
        <v>0.124434266924854</v>
      </c>
      <c r="I137">
        <v>0.871143462405506</v>
      </c>
      <c r="J137">
        <v>446</v>
      </c>
      <c r="K137" t="s">
        <v>173</v>
      </c>
      <c r="L137">
        <v>275</v>
      </c>
      <c r="O137">
        <v>0</v>
      </c>
      <c r="P137">
        <v>9383</v>
      </c>
      <c r="Q137">
        <v>12174</v>
      </c>
      <c r="R137" t="s">
        <v>39</v>
      </c>
      <c r="S137">
        <v>2021</v>
      </c>
      <c r="T137" s="34">
        <f>IF(R137="IRRIGATED",IF(F137&gt;=SCORES!I$6,1,0),"")</f>
        <v>1</v>
      </c>
    </row>
    <row r="138" spans="1:20" x14ac:dyDescent="0.25">
      <c r="A138">
        <v>4053.7929421479998</v>
      </c>
      <c r="B138">
        <v>44.9</v>
      </c>
      <c r="C138" t="s">
        <v>38</v>
      </c>
      <c r="D138">
        <v>1</v>
      </c>
      <c r="E138">
        <v>420</v>
      </c>
      <c r="F138">
        <v>509</v>
      </c>
      <c r="G138">
        <v>60</v>
      </c>
      <c r="H138">
        <v>0.124434266924854</v>
      </c>
      <c r="I138">
        <v>0.871143462405506</v>
      </c>
      <c r="J138">
        <v>356</v>
      </c>
      <c r="K138" t="s">
        <v>173</v>
      </c>
      <c r="L138">
        <v>943</v>
      </c>
      <c r="O138">
        <v>0</v>
      </c>
      <c r="P138">
        <v>8714</v>
      </c>
      <c r="Q138">
        <v>12325</v>
      </c>
      <c r="R138" t="s">
        <v>39</v>
      </c>
      <c r="S138">
        <v>2021</v>
      </c>
      <c r="T138" s="34">
        <f>IF(R138="IRRIGATED",IF(F138&gt;=SCORES!I$6,1,0),"")</f>
        <v>1</v>
      </c>
    </row>
    <row r="139" spans="1:20" x14ac:dyDescent="0.25">
      <c r="A139">
        <v>1975.2109936388099</v>
      </c>
      <c r="B139">
        <v>21.9</v>
      </c>
      <c r="C139" t="s">
        <v>38</v>
      </c>
      <c r="D139">
        <v>1</v>
      </c>
      <c r="E139">
        <v>331</v>
      </c>
      <c r="F139">
        <v>421</v>
      </c>
      <c r="G139">
        <v>0</v>
      </c>
      <c r="J139">
        <v>333</v>
      </c>
      <c r="K139" t="s">
        <v>173</v>
      </c>
      <c r="L139">
        <v>881</v>
      </c>
      <c r="O139">
        <v>0</v>
      </c>
      <c r="P139">
        <v>6621</v>
      </c>
      <c r="R139" t="s">
        <v>55</v>
      </c>
      <c r="S139">
        <v>2021</v>
      </c>
      <c r="T139" s="34" t="str">
        <f>IF(R139="IRRIGATED",IF(F139&gt;=SCORES!I$6,1,0),"")</f>
        <v/>
      </c>
    </row>
    <row r="140" spans="1:20" x14ac:dyDescent="0.25">
      <c r="A140">
        <v>1482.5523249263899</v>
      </c>
      <c r="B140">
        <v>58.7</v>
      </c>
      <c r="C140" t="s">
        <v>53</v>
      </c>
      <c r="D140">
        <v>14</v>
      </c>
      <c r="E140">
        <v>474</v>
      </c>
      <c r="F140">
        <v>569</v>
      </c>
      <c r="G140">
        <v>244</v>
      </c>
      <c r="H140">
        <v>0.130117303959601</v>
      </c>
      <c r="I140">
        <v>0.31382273155333901</v>
      </c>
      <c r="J140">
        <v>229</v>
      </c>
      <c r="K140" t="s">
        <v>173</v>
      </c>
      <c r="L140">
        <v>170</v>
      </c>
      <c r="O140">
        <v>3</v>
      </c>
      <c r="P140">
        <v>2889</v>
      </c>
      <c r="Q140">
        <v>3865</v>
      </c>
      <c r="R140" t="s">
        <v>39</v>
      </c>
      <c r="S140">
        <v>2021</v>
      </c>
      <c r="T140" s="34">
        <f>IF(R140="IRRIGATED",IF(F140&gt;=SCORES!I$6,1,0),"")</f>
        <v>1</v>
      </c>
    </row>
    <row r="141" spans="1:20" x14ac:dyDescent="0.25">
      <c r="A141">
        <v>38.392339450474097</v>
      </c>
      <c r="B141">
        <v>0.4</v>
      </c>
      <c r="C141" t="s">
        <v>53</v>
      </c>
      <c r="D141">
        <v>14</v>
      </c>
      <c r="E141">
        <v>293</v>
      </c>
      <c r="F141">
        <v>338</v>
      </c>
      <c r="G141">
        <v>122</v>
      </c>
      <c r="H141">
        <v>0.21250162366161299</v>
      </c>
      <c r="I141">
        <v>0.65831415253023995</v>
      </c>
      <c r="J141">
        <v>169</v>
      </c>
      <c r="K141" t="s">
        <v>173</v>
      </c>
      <c r="L141">
        <v>1040</v>
      </c>
      <c r="O141">
        <v>1</v>
      </c>
      <c r="P141">
        <v>4500</v>
      </c>
      <c r="Q141">
        <v>4695</v>
      </c>
      <c r="R141" t="s">
        <v>39</v>
      </c>
      <c r="S141">
        <v>2021</v>
      </c>
      <c r="T141" s="34">
        <f>IF(R141="IRRIGATED",IF(F141&gt;=SCORES!I$6,1,0),"")</f>
        <v>1</v>
      </c>
    </row>
    <row r="142" spans="1:20" x14ac:dyDescent="0.25">
      <c r="A142">
        <v>33.2883609740163</v>
      </c>
      <c r="B142">
        <v>1.3</v>
      </c>
      <c r="C142" t="s">
        <v>53</v>
      </c>
      <c r="D142">
        <v>14</v>
      </c>
      <c r="E142">
        <v>238</v>
      </c>
      <c r="F142">
        <v>553</v>
      </c>
      <c r="G142">
        <v>0</v>
      </c>
      <c r="J142">
        <v>120</v>
      </c>
      <c r="K142" t="s">
        <v>173</v>
      </c>
      <c r="L142">
        <v>89</v>
      </c>
      <c r="O142">
        <v>3</v>
      </c>
      <c r="P142">
        <v>1729</v>
      </c>
      <c r="R142" t="s">
        <v>55</v>
      </c>
      <c r="S142">
        <v>2021</v>
      </c>
      <c r="T142" s="34" t="str">
        <f>IF(R142="IRRIGATED",IF(F142&gt;=SCORES!I$6,1,0),"")</f>
        <v/>
      </c>
    </row>
    <row r="143" spans="1:20" x14ac:dyDescent="0.25">
      <c r="A143">
        <v>46.674837371984701</v>
      </c>
      <c r="B143">
        <v>1.8</v>
      </c>
      <c r="C143" t="s">
        <v>49</v>
      </c>
      <c r="D143">
        <v>15</v>
      </c>
      <c r="E143">
        <v>267</v>
      </c>
      <c r="F143">
        <v>349</v>
      </c>
      <c r="G143">
        <v>68</v>
      </c>
      <c r="H143">
        <v>0.130117303959601</v>
      </c>
      <c r="I143">
        <v>0.31382273155333901</v>
      </c>
      <c r="J143">
        <v>199</v>
      </c>
      <c r="K143" t="s">
        <v>173</v>
      </c>
      <c r="L143">
        <v>58</v>
      </c>
      <c r="O143">
        <v>3</v>
      </c>
      <c r="P143">
        <v>2949</v>
      </c>
      <c r="Q143">
        <v>3262</v>
      </c>
      <c r="R143" t="s">
        <v>39</v>
      </c>
      <c r="S143">
        <v>2021</v>
      </c>
      <c r="T143" s="34">
        <f>IF(R143="IRRIGATED",IF(F143&gt;=SCORES!I$6,1,0),"")</f>
        <v>1</v>
      </c>
    </row>
    <row r="144" spans="1:20" x14ac:dyDescent="0.25">
      <c r="A144">
        <v>151.80534748228101</v>
      </c>
      <c r="B144">
        <v>1.7</v>
      </c>
      <c r="C144" t="s">
        <v>49</v>
      </c>
      <c r="D144">
        <v>15</v>
      </c>
      <c r="E144">
        <v>243</v>
      </c>
      <c r="F144">
        <v>274</v>
      </c>
      <c r="G144">
        <v>73</v>
      </c>
      <c r="H144">
        <v>0.21250162366161299</v>
      </c>
      <c r="I144">
        <v>0.65831415253023995</v>
      </c>
      <c r="J144">
        <v>168</v>
      </c>
      <c r="K144" t="s">
        <v>173</v>
      </c>
      <c r="L144">
        <v>1016</v>
      </c>
      <c r="O144">
        <v>1</v>
      </c>
      <c r="P144">
        <v>4153</v>
      </c>
      <c r="Q144">
        <v>4750</v>
      </c>
      <c r="R144" t="s">
        <v>39</v>
      </c>
      <c r="S144">
        <v>2021</v>
      </c>
      <c r="T144" s="34">
        <f>IF(R144="IRRIGATED",IF(F144&gt;=SCORES!I$6,1,0),"")</f>
        <v>0</v>
      </c>
    </row>
    <row r="145" spans="1:20" x14ac:dyDescent="0.25">
      <c r="A145">
        <v>58.533568133706403</v>
      </c>
      <c r="B145">
        <v>0.7</v>
      </c>
      <c r="C145" t="s">
        <v>49</v>
      </c>
      <c r="D145">
        <v>15</v>
      </c>
      <c r="E145">
        <v>241</v>
      </c>
      <c r="F145">
        <v>328</v>
      </c>
      <c r="G145">
        <v>31</v>
      </c>
      <c r="H145">
        <v>4.39373584897031E-2</v>
      </c>
      <c r="I145">
        <v>0.424790395403013</v>
      </c>
      <c r="J145">
        <v>206</v>
      </c>
      <c r="K145" t="s">
        <v>173</v>
      </c>
      <c r="L145">
        <v>91</v>
      </c>
      <c r="O145">
        <v>2</v>
      </c>
      <c r="P145">
        <v>5959</v>
      </c>
      <c r="Q145">
        <v>9237</v>
      </c>
      <c r="R145" t="s">
        <v>39</v>
      </c>
      <c r="S145">
        <v>2021</v>
      </c>
      <c r="T145" s="34">
        <f>IF(R145="IRRIGATED",IF(F145&gt;=SCORES!I$6,1,0),"")</f>
        <v>1</v>
      </c>
    </row>
    <row r="146" spans="1:20" x14ac:dyDescent="0.25">
      <c r="A146">
        <v>28.491664179842999</v>
      </c>
      <c r="B146">
        <v>0.3</v>
      </c>
      <c r="C146" t="s">
        <v>49</v>
      </c>
      <c r="D146">
        <v>15</v>
      </c>
      <c r="E146">
        <v>200</v>
      </c>
      <c r="F146">
        <v>264</v>
      </c>
      <c r="G146">
        <v>0</v>
      </c>
      <c r="J146">
        <v>156</v>
      </c>
      <c r="K146" t="s">
        <v>173</v>
      </c>
      <c r="L146">
        <v>898</v>
      </c>
      <c r="O146">
        <v>1</v>
      </c>
      <c r="P146">
        <v>3460</v>
      </c>
      <c r="R146" t="s">
        <v>55</v>
      </c>
      <c r="S146">
        <v>2021</v>
      </c>
      <c r="T146" s="34" t="str">
        <f>IF(R146="IRRIGATED",IF(F146&gt;=SCORES!I$6,1,0),"")</f>
        <v/>
      </c>
    </row>
    <row r="147" spans="1:20" x14ac:dyDescent="0.25">
      <c r="A147">
        <v>31.297163569976099</v>
      </c>
      <c r="B147">
        <v>0.4</v>
      </c>
      <c r="C147" t="s">
        <v>49</v>
      </c>
      <c r="D147">
        <v>15</v>
      </c>
      <c r="E147">
        <v>271</v>
      </c>
      <c r="F147">
        <v>346</v>
      </c>
      <c r="G147">
        <v>0</v>
      </c>
      <c r="J147">
        <v>231</v>
      </c>
      <c r="K147" t="s">
        <v>173</v>
      </c>
      <c r="L147">
        <v>97</v>
      </c>
      <c r="O147">
        <v>2</v>
      </c>
      <c r="P147">
        <v>7068</v>
      </c>
      <c r="R147" t="s">
        <v>55</v>
      </c>
      <c r="S147">
        <v>2021</v>
      </c>
      <c r="T147" s="34" t="str">
        <f>IF(R147="IRRIGATED",IF(F147&gt;=SCORES!I$6,1,0),"")</f>
        <v/>
      </c>
    </row>
    <row r="148" spans="1:20" x14ac:dyDescent="0.25">
      <c r="A148">
        <v>3.0546236278010301</v>
      </c>
      <c r="B148">
        <v>0.1</v>
      </c>
      <c r="C148" t="s">
        <v>49</v>
      </c>
      <c r="D148">
        <v>15</v>
      </c>
      <c r="E148">
        <v>170</v>
      </c>
      <c r="F148">
        <v>310</v>
      </c>
      <c r="G148">
        <v>0</v>
      </c>
      <c r="J148">
        <v>135</v>
      </c>
      <c r="K148" t="s">
        <v>173</v>
      </c>
      <c r="L148">
        <v>40</v>
      </c>
      <c r="O148">
        <v>3</v>
      </c>
      <c r="P148">
        <v>2209</v>
      </c>
      <c r="R148" t="s">
        <v>55</v>
      </c>
      <c r="S148">
        <v>2021</v>
      </c>
      <c r="T148" s="34" t="str">
        <f>IF(R148="IRRIGATED",IF(F148&gt;=SCORES!I$6,1,0),"")</f>
        <v/>
      </c>
    </row>
    <row r="149" spans="1:20" x14ac:dyDescent="0.25">
      <c r="A149">
        <v>1210.1905492695901</v>
      </c>
      <c r="B149">
        <v>13.6</v>
      </c>
      <c r="C149" t="s">
        <v>98</v>
      </c>
      <c r="D149">
        <v>17</v>
      </c>
      <c r="E149">
        <v>142</v>
      </c>
      <c r="F149">
        <v>214</v>
      </c>
      <c r="G149">
        <v>0</v>
      </c>
      <c r="J149">
        <v>153</v>
      </c>
      <c r="K149" t="s">
        <v>173</v>
      </c>
      <c r="L149">
        <v>801</v>
      </c>
      <c r="O149">
        <v>1</v>
      </c>
      <c r="P149">
        <v>2450</v>
      </c>
      <c r="R149" t="s">
        <v>55</v>
      </c>
      <c r="S149">
        <v>2021</v>
      </c>
      <c r="T149" s="34" t="str">
        <f>IF(R149="IRRIGATED",IF(F149&gt;=SCORES!I$6,1,0),"")</f>
        <v/>
      </c>
    </row>
    <row r="150" spans="1:20" x14ac:dyDescent="0.25">
      <c r="A150">
        <v>1122.0597397971301</v>
      </c>
      <c r="B150">
        <v>13.1</v>
      </c>
      <c r="C150" t="s">
        <v>98</v>
      </c>
      <c r="D150">
        <v>17</v>
      </c>
      <c r="E150">
        <v>188</v>
      </c>
      <c r="F150">
        <v>210</v>
      </c>
      <c r="G150">
        <v>0</v>
      </c>
      <c r="J150">
        <v>182</v>
      </c>
      <c r="K150" t="s">
        <v>173</v>
      </c>
      <c r="L150">
        <v>83</v>
      </c>
      <c r="O150">
        <v>2</v>
      </c>
      <c r="P150">
        <v>4153</v>
      </c>
      <c r="R150" t="s">
        <v>55</v>
      </c>
      <c r="S150">
        <v>2021</v>
      </c>
      <c r="T150" s="34" t="str">
        <f>IF(R150="IRRIGATED",IF(F150&gt;=SCORES!I$6,1,0),"")</f>
        <v/>
      </c>
    </row>
    <row r="151" spans="1:20" x14ac:dyDescent="0.25">
      <c r="A151">
        <v>111.099052471295</v>
      </c>
      <c r="B151">
        <v>4.4000000000000004</v>
      </c>
      <c r="C151" t="s">
        <v>98</v>
      </c>
      <c r="D151">
        <v>17</v>
      </c>
      <c r="E151">
        <v>212</v>
      </c>
      <c r="F151">
        <v>225</v>
      </c>
      <c r="G151">
        <v>0</v>
      </c>
      <c r="J151">
        <v>174</v>
      </c>
      <c r="K151" t="s">
        <v>173</v>
      </c>
      <c r="L151">
        <v>34</v>
      </c>
      <c r="O151">
        <v>3</v>
      </c>
      <c r="P151">
        <v>3004</v>
      </c>
      <c r="R151" t="s">
        <v>55</v>
      </c>
      <c r="S151">
        <v>2021</v>
      </c>
      <c r="T151" s="34" t="str">
        <f>IF(R151="IRRIGATED",IF(F151&gt;=SCORES!I$6,1,0),"")</f>
        <v/>
      </c>
    </row>
    <row r="152" spans="1:20" x14ac:dyDescent="0.25">
      <c r="A152">
        <v>2884.3026910335002</v>
      </c>
      <c r="B152">
        <v>32.5</v>
      </c>
      <c r="C152" t="s">
        <v>57</v>
      </c>
      <c r="D152">
        <v>2</v>
      </c>
      <c r="E152">
        <v>216</v>
      </c>
      <c r="F152">
        <v>284</v>
      </c>
      <c r="G152">
        <v>55</v>
      </c>
      <c r="H152">
        <v>0.21250162366161299</v>
      </c>
      <c r="I152">
        <v>0.65831415253023995</v>
      </c>
      <c r="J152">
        <v>164</v>
      </c>
      <c r="K152" t="s">
        <v>173</v>
      </c>
      <c r="L152">
        <v>900</v>
      </c>
      <c r="M152">
        <v>0.94430196089373397</v>
      </c>
      <c r="N152">
        <v>0.391625437636973</v>
      </c>
      <c r="O152">
        <v>1</v>
      </c>
      <c r="P152">
        <v>3727</v>
      </c>
      <c r="Q152">
        <v>5011</v>
      </c>
      <c r="R152" t="s">
        <v>39</v>
      </c>
      <c r="S152">
        <v>2021</v>
      </c>
      <c r="T152" s="34">
        <f>IF(R152="IRRIGATED",IF(F152&gt;=SCORES!I$6,1,0),"")</f>
        <v>0</v>
      </c>
    </row>
    <row r="153" spans="1:20" x14ac:dyDescent="0.25">
      <c r="A153">
        <v>4563.98623122765</v>
      </c>
      <c r="B153">
        <v>53.2</v>
      </c>
      <c r="C153" t="s">
        <v>57</v>
      </c>
      <c r="D153">
        <v>2</v>
      </c>
      <c r="E153">
        <v>230</v>
      </c>
      <c r="F153">
        <v>286</v>
      </c>
      <c r="G153">
        <v>31</v>
      </c>
      <c r="H153">
        <v>4.39373584897031E-2</v>
      </c>
      <c r="I153">
        <v>0.424790395403013</v>
      </c>
      <c r="J153">
        <v>195</v>
      </c>
      <c r="K153" t="s">
        <v>173</v>
      </c>
      <c r="L153">
        <v>87</v>
      </c>
      <c r="M153">
        <v>0.94408918393393304</v>
      </c>
      <c r="N153">
        <v>0.92125726920973305</v>
      </c>
      <c r="O153">
        <v>2</v>
      </c>
      <c r="P153">
        <v>5581</v>
      </c>
      <c r="Q153">
        <v>8698</v>
      </c>
      <c r="R153" t="s">
        <v>39</v>
      </c>
      <c r="S153">
        <v>2021</v>
      </c>
      <c r="T153" s="34">
        <f>IF(R153="IRRIGATED",IF(F153&gt;=SCORES!I$6,1,0),"")</f>
        <v>0</v>
      </c>
    </row>
    <row r="154" spans="1:20" x14ac:dyDescent="0.25">
      <c r="A154">
        <v>2209.5633261469302</v>
      </c>
      <c r="B154">
        <v>24.9</v>
      </c>
      <c r="C154" t="s">
        <v>57</v>
      </c>
      <c r="D154">
        <v>2</v>
      </c>
      <c r="E154">
        <v>143</v>
      </c>
      <c r="F154">
        <v>194</v>
      </c>
      <c r="G154">
        <v>0</v>
      </c>
      <c r="J154">
        <v>152</v>
      </c>
      <c r="K154" t="s">
        <v>173</v>
      </c>
      <c r="L154">
        <v>756</v>
      </c>
      <c r="M154">
        <v>0.94430196089373397</v>
      </c>
      <c r="N154">
        <v>0.391625437636973</v>
      </c>
      <c r="O154">
        <v>1</v>
      </c>
      <c r="P154">
        <v>2449</v>
      </c>
      <c r="R154" t="s">
        <v>55</v>
      </c>
      <c r="S154">
        <v>2021</v>
      </c>
      <c r="T154" s="34" t="str">
        <f>IF(R154="IRRIGATED",IF(F154&gt;=SCORES!I$6,1,0),"")</f>
        <v/>
      </c>
    </row>
    <row r="155" spans="1:20" x14ac:dyDescent="0.25">
      <c r="A155">
        <v>540.83614711940902</v>
      </c>
      <c r="B155">
        <v>6.3</v>
      </c>
      <c r="C155" t="s">
        <v>57</v>
      </c>
      <c r="D155">
        <v>2</v>
      </c>
      <c r="E155">
        <v>205</v>
      </c>
      <c r="F155">
        <v>262</v>
      </c>
      <c r="G155">
        <v>0</v>
      </c>
      <c r="J155">
        <v>194</v>
      </c>
      <c r="K155" t="s">
        <v>173</v>
      </c>
      <c r="L155">
        <v>87</v>
      </c>
      <c r="M155">
        <v>0.94408918393393304</v>
      </c>
      <c r="N155">
        <v>0.92125726920973305</v>
      </c>
      <c r="O155">
        <v>2</v>
      </c>
      <c r="P155">
        <v>4665</v>
      </c>
      <c r="R155" t="s">
        <v>55</v>
      </c>
      <c r="S155">
        <v>2021</v>
      </c>
      <c r="T155" s="34" t="str">
        <f>IF(R155="IRRIGATED",IF(F155&gt;=SCORES!I$6,1,0),"")</f>
        <v/>
      </c>
    </row>
    <row r="156" spans="1:20" x14ac:dyDescent="0.25">
      <c r="A156">
        <v>561.88326694162299</v>
      </c>
      <c r="B156">
        <v>6.2</v>
      </c>
      <c r="C156" t="s">
        <v>46</v>
      </c>
      <c r="D156">
        <v>8</v>
      </c>
      <c r="E156">
        <v>891</v>
      </c>
      <c r="F156">
        <v>1113</v>
      </c>
      <c r="G156">
        <v>209</v>
      </c>
      <c r="H156">
        <v>0.124434266924854</v>
      </c>
      <c r="I156">
        <v>0.871143462405506</v>
      </c>
      <c r="J156">
        <v>666</v>
      </c>
      <c r="K156" t="s">
        <v>173</v>
      </c>
      <c r="L156">
        <v>1281</v>
      </c>
      <c r="O156">
        <v>0</v>
      </c>
      <c r="P156">
        <v>15762</v>
      </c>
      <c r="Q156">
        <v>17790</v>
      </c>
      <c r="R156" t="s">
        <v>39</v>
      </c>
      <c r="S156">
        <v>2021</v>
      </c>
      <c r="T156" s="34">
        <f>IF(R156="IRRIGATED",IF(F156&gt;=SCORES!I$6,1,0),"")</f>
        <v>1</v>
      </c>
    </row>
    <row r="157" spans="1:20" x14ac:dyDescent="0.25">
      <c r="A157">
        <v>87.113644428076597</v>
      </c>
      <c r="B157">
        <v>1</v>
      </c>
      <c r="C157" t="s">
        <v>46</v>
      </c>
      <c r="D157">
        <v>8</v>
      </c>
      <c r="E157">
        <v>762</v>
      </c>
      <c r="F157">
        <v>1037</v>
      </c>
      <c r="G157">
        <v>0</v>
      </c>
      <c r="J157">
        <v>634</v>
      </c>
      <c r="K157" t="s">
        <v>173</v>
      </c>
      <c r="L157">
        <v>1289</v>
      </c>
      <c r="O157">
        <v>0</v>
      </c>
      <c r="P157">
        <v>14556</v>
      </c>
      <c r="R157" t="s">
        <v>55</v>
      </c>
      <c r="S157">
        <v>2021</v>
      </c>
      <c r="T157" s="34" t="str">
        <f>IF(R157="IRRIGATED",IF(F157&gt;=SCORES!I$6,1,0),"")</f>
        <v/>
      </c>
    </row>
    <row r="158" spans="1:20" x14ac:dyDescent="0.25">
      <c r="A158">
        <v>33.569077611655402</v>
      </c>
      <c r="B158">
        <v>0.4</v>
      </c>
      <c r="C158" t="s">
        <v>40</v>
      </c>
      <c r="D158">
        <v>2</v>
      </c>
      <c r="E158">
        <v>311</v>
      </c>
      <c r="F158">
        <v>549</v>
      </c>
      <c r="G158">
        <v>48</v>
      </c>
      <c r="H158">
        <v>0.124434266924854</v>
      </c>
      <c r="I158">
        <v>0.871143462405506</v>
      </c>
      <c r="J158">
        <v>257</v>
      </c>
      <c r="K158" t="s">
        <v>173</v>
      </c>
      <c r="L158">
        <v>111</v>
      </c>
      <c r="O158">
        <v>0</v>
      </c>
      <c r="P158">
        <v>7441</v>
      </c>
      <c r="Q158">
        <v>12364</v>
      </c>
      <c r="R158" t="s">
        <v>39</v>
      </c>
      <c r="S158">
        <v>2021</v>
      </c>
      <c r="T158" s="34">
        <f>IF(R158="IRRIGATED",IF(F158&gt;=SCORES!I$6,1,0),"")</f>
        <v>1</v>
      </c>
    </row>
    <row r="159" spans="1:20" x14ac:dyDescent="0.25">
      <c r="A159">
        <v>48.515824106585903</v>
      </c>
      <c r="B159">
        <v>0.5</v>
      </c>
      <c r="C159" t="s">
        <v>40</v>
      </c>
      <c r="D159">
        <v>2</v>
      </c>
      <c r="E159">
        <v>204</v>
      </c>
      <c r="F159">
        <v>269</v>
      </c>
      <c r="G159">
        <v>0</v>
      </c>
      <c r="J159">
        <v>195</v>
      </c>
      <c r="K159" t="s">
        <v>173</v>
      </c>
      <c r="L159">
        <v>90</v>
      </c>
      <c r="O159">
        <v>0</v>
      </c>
      <c r="P159">
        <v>4645</v>
      </c>
      <c r="R159" t="s">
        <v>55</v>
      </c>
      <c r="S159">
        <v>2021</v>
      </c>
      <c r="T159" s="34" t="str">
        <f>IF(R159="IRRIGATED",IF(F159&gt;=SCORES!I$6,1,0),"")</f>
        <v/>
      </c>
    </row>
    <row r="160" spans="1:20" x14ac:dyDescent="0.25">
      <c r="A160">
        <v>11.209214118742</v>
      </c>
      <c r="B160">
        <v>0.1</v>
      </c>
      <c r="C160" t="s">
        <v>45</v>
      </c>
      <c r="D160">
        <v>7</v>
      </c>
      <c r="E160">
        <v>786</v>
      </c>
      <c r="F160">
        <v>953</v>
      </c>
      <c r="G160">
        <v>288</v>
      </c>
      <c r="H160">
        <v>0.124434266924854</v>
      </c>
      <c r="I160">
        <v>0.871143462405506</v>
      </c>
      <c r="J160">
        <v>484</v>
      </c>
      <c r="K160" t="s">
        <v>173</v>
      </c>
      <c r="L160">
        <v>947</v>
      </c>
      <c r="O160">
        <v>0</v>
      </c>
      <c r="P160">
        <v>10118</v>
      </c>
      <c r="Q160">
        <v>12563</v>
      </c>
      <c r="R160" t="s">
        <v>39</v>
      </c>
      <c r="S160">
        <v>2021</v>
      </c>
      <c r="T160" s="34">
        <f>IF(R160="IRRIGATED",IF(F160&gt;=SCORES!I$6,1,0),"")</f>
        <v>1</v>
      </c>
    </row>
    <row r="161" spans="1:20" x14ac:dyDescent="0.25">
      <c r="A161">
        <v>293.050721790247</v>
      </c>
      <c r="B161">
        <v>2.4</v>
      </c>
      <c r="C161" t="s">
        <v>102</v>
      </c>
      <c r="D161">
        <v>31</v>
      </c>
      <c r="E161">
        <v>238</v>
      </c>
      <c r="F161">
        <v>296</v>
      </c>
      <c r="G161">
        <v>22</v>
      </c>
      <c r="H161">
        <v>4.2348140080079998E-2</v>
      </c>
      <c r="I161">
        <v>0.47410283662738101</v>
      </c>
      <c r="J161">
        <v>211</v>
      </c>
      <c r="K161" t="s">
        <v>173</v>
      </c>
      <c r="L161">
        <v>118</v>
      </c>
      <c r="M161">
        <v>0.92030224244162095</v>
      </c>
      <c r="N161">
        <v>0.89486402036281298</v>
      </c>
      <c r="O161">
        <v>2</v>
      </c>
      <c r="P161">
        <v>6625</v>
      </c>
      <c r="Q161">
        <v>9433</v>
      </c>
      <c r="R161" t="s">
        <v>39</v>
      </c>
      <c r="S161">
        <v>2022</v>
      </c>
      <c r="T161" s="34">
        <f>IF(R161="IRRIGATED",IF(F161&gt;=SCORES!I$6,1,0),"")</f>
        <v>0</v>
      </c>
    </row>
    <row r="162" spans="1:20" x14ac:dyDescent="0.25">
      <c r="A162">
        <v>594.24039549012696</v>
      </c>
      <c r="B162">
        <v>4.5</v>
      </c>
      <c r="C162" t="s">
        <v>102</v>
      </c>
      <c r="D162">
        <v>31</v>
      </c>
      <c r="E162">
        <v>265</v>
      </c>
      <c r="F162">
        <v>304</v>
      </c>
      <c r="G162">
        <v>50</v>
      </c>
      <c r="H162">
        <v>0.131231891001617</v>
      </c>
      <c r="I162">
        <v>0.64136106540455595</v>
      </c>
      <c r="J162">
        <v>213</v>
      </c>
      <c r="K162" t="s">
        <v>173</v>
      </c>
      <c r="L162">
        <v>1226</v>
      </c>
      <c r="M162">
        <v>0.89504882097842997</v>
      </c>
      <c r="N162">
        <v>0.49147649476428901</v>
      </c>
      <c r="O162">
        <v>1</v>
      </c>
      <c r="P162">
        <v>4874</v>
      </c>
      <c r="Q162">
        <v>5340</v>
      </c>
      <c r="R162" t="s">
        <v>39</v>
      </c>
      <c r="S162">
        <v>2022</v>
      </c>
      <c r="T162" s="34">
        <f>IF(R162="IRRIGATED",IF(F162&gt;=SCORES!I$6,1,0),"")</f>
        <v>1</v>
      </c>
    </row>
    <row r="163" spans="1:20" x14ac:dyDescent="0.25">
      <c r="A163">
        <v>150.657449786077</v>
      </c>
      <c r="B163">
        <v>3.3</v>
      </c>
      <c r="C163" t="s">
        <v>102</v>
      </c>
      <c r="D163">
        <v>31</v>
      </c>
      <c r="E163">
        <v>318</v>
      </c>
      <c r="F163">
        <v>417</v>
      </c>
      <c r="G163">
        <v>116</v>
      </c>
      <c r="H163">
        <v>0.14274506206635401</v>
      </c>
      <c r="I163">
        <v>0.393241614609597</v>
      </c>
      <c r="J163">
        <v>201</v>
      </c>
      <c r="K163" t="s">
        <v>173</v>
      </c>
      <c r="L163">
        <v>57</v>
      </c>
      <c r="O163">
        <v>3</v>
      </c>
      <c r="P163">
        <v>2562</v>
      </c>
      <c r="Q163">
        <v>4201</v>
      </c>
      <c r="R163" t="s">
        <v>39</v>
      </c>
      <c r="S163">
        <v>2022</v>
      </c>
      <c r="T163" s="34">
        <f>IF(R163="IRRIGATED",IF(F163&gt;=SCORES!I$6,1,0),"")</f>
        <v>1</v>
      </c>
    </row>
    <row r="164" spans="1:20" x14ac:dyDescent="0.25">
      <c r="A164">
        <v>791.58881019891101</v>
      </c>
      <c r="B164">
        <v>6</v>
      </c>
      <c r="C164" t="s">
        <v>102</v>
      </c>
      <c r="D164">
        <v>31</v>
      </c>
      <c r="E164">
        <v>206</v>
      </c>
      <c r="F164">
        <v>248</v>
      </c>
      <c r="G164">
        <v>0</v>
      </c>
      <c r="J164">
        <v>210</v>
      </c>
      <c r="K164" t="s">
        <v>173</v>
      </c>
      <c r="L164">
        <v>1193</v>
      </c>
      <c r="M164">
        <v>0.89504882097842997</v>
      </c>
      <c r="N164">
        <v>0.49147649476428901</v>
      </c>
      <c r="O164">
        <v>1</v>
      </c>
      <c r="P164">
        <v>3955</v>
      </c>
      <c r="R164" t="s">
        <v>55</v>
      </c>
      <c r="S164">
        <v>2022</v>
      </c>
      <c r="T164" s="34" t="str">
        <f>IF(R164="IRRIGATED",IF(F164&gt;=SCORES!I$6,1,0),"")</f>
        <v/>
      </c>
    </row>
    <row r="165" spans="1:20" x14ac:dyDescent="0.25">
      <c r="A165">
        <v>935.351456915364</v>
      </c>
      <c r="B165">
        <v>7.5</v>
      </c>
      <c r="C165" t="s">
        <v>102</v>
      </c>
      <c r="D165">
        <v>31</v>
      </c>
      <c r="E165">
        <v>204</v>
      </c>
      <c r="F165">
        <v>266</v>
      </c>
      <c r="G165">
        <v>0</v>
      </c>
      <c r="J165">
        <v>200</v>
      </c>
      <c r="K165" t="s">
        <v>173</v>
      </c>
      <c r="L165">
        <v>118</v>
      </c>
      <c r="M165">
        <v>0.92030224244162095</v>
      </c>
      <c r="N165">
        <v>0.89486402036281298</v>
      </c>
      <c r="O165">
        <v>2</v>
      </c>
      <c r="P165">
        <v>5466</v>
      </c>
      <c r="R165" t="s">
        <v>55</v>
      </c>
      <c r="S165">
        <v>2022</v>
      </c>
      <c r="T165" s="34" t="str">
        <f>IF(R165="IRRIGATED",IF(F165&gt;=SCORES!I$6,1,0),"")</f>
        <v/>
      </c>
    </row>
    <row r="166" spans="1:20" x14ac:dyDescent="0.25">
      <c r="A166">
        <v>25.447042903002501</v>
      </c>
      <c r="B166">
        <v>0.6</v>
      </c>
      <c r="C166" t="s">
        <v>102</v>
      </c>
      <c r="D166">
        <v>31</v>
      </c>
      <c r="E166">
        <v>233</v>
      </c>
      <c r="F166">
        <v>369</v>
      </c>
      <c r="G166">
        <v>0</v>
      </c>
      <c r="J166">
        <v>157</v>
      </c>
      <c r="K166" t="s">
        <v>173</v>
      </c>
      <c r="L166">
        <v>45</v>
      </c>
      <c r="O166">
        <v>3</v>
      </c>
      <c r="P166">
        <v>1820</v>
      </c>
      <c r="R166" t="s">
        <v>55</v>
      </c>
      <c r="S166">
        <v>2022</v>
      </c>
      <c r="T166" s="34" t="str">
        <f>IF(R166="IRRIGATED",IF(F166&gt;=SCORES!I$6,1,0),"")</f>
        <v/>
      </c>
    </row>
    <row r="167" spans="1:20" x14ac:dyDescent="0.25">
      <c r="A167">
        <v>1066.0127568422799</v>
      </c>
      <c r="B167">
        <v>8.6</v>
      </c>
      <c r="C167" t="s">
        <v>106</v>
      </c>
      <c r="D167">
        <v>34</v>
      </c>
      <c r="E167">
        <v>285</v>
      </c>
      <c r="F167">
        <v>364</v>
      </c>
      <c r="G167">
        <v>33</v>
      </c>
      <c r="H167">
        <v>4.2348140080079998E-2</v>
      </c>
      <c r="I167">
        <v>0.47410283662738101</v>
      </c>
      <c r="J167">
        <v>247</v>
      </c>
      <c r="K167" t="s">
        <v>173</v>
      </c>
      <c r="L167">
        <v>129</v>
      </c>
      <c r="M167">
        <v>0.93422573197752401</v>
      </c>
      <c r="N167">
        <v>0.90289978465531295</v>
      </c>
      <c r="O167">
        <v>2</v>
      </c>
      <c r="P167">
        <v>8147</v>
      </c>
      <c r="Q167">
        <v>10511</v>
      </c>
      <c r="R167" t="s">
        <v>39</v>
      </c>
      <c r="S167">
        <v>2022</v>
      </c>
      <c r="T167" s="34">
        <f>IF(R167="IRRIGATED",IF(F167&gt;=SCORES!I$6,1,0),"")</f>
        <v>1</v>
      </c>
    </row>
    <row r="168" spans="1:20" x14ac:dyDescent="0.25">
      <c r="A168">
        <v>1096.9115895187001</v>
      </c>
      <c r="B168">
        <v>8.3000000000000007</v>
      </c>
      <c r="C168" t="s">
        <v>106</v>
      </c>
      <c r="D168">
        <v>34</v>
      </c>
      <c r="E168">
        <v>274</v>
      </c>
      <c r="F168">
        <v>326</v>
      </c>
      <c r="G168">
        <v>59</v>
      </c>
      <c r="H168">
        <v>0.131231891001617</v>
      </c>
      <c r="I168">
        <v>0.64136106540455595</v>
      </c>
      <c r="J168">
        <v>213</v>
      </c>
      <c r="K168" t="s">
        <v>173</v>
      </c>
      <c r="L168">
        <v>1235</v>
      </c>
      <c r="M168">
        <v>0.92055617640182497</v>
      </c>
      <c r="N168">
        <v>0.46146678808057401</v>
      </c>
      <c r="O168">
        <v>1</v>
      </c>
      <c r="P168">
        <v>4806</v>
      </c>
      <c r="Q168">
        <v>5223</v>
      </c>
      <c r="R168" t="s">
        <v>39</v>
      </c>
      <c r="S168">
        <v>2022</v>
      </c>
      <c r="T168" s="34">
        <f>IF(R168="IRRIGATED",IF(F168&gt;=SCORES!I$6,1,0),"")</f>
        <v>1</v>
      </c>
    </row>
    <row r="169" spans="1:20" x14ac:dyDescent="0.25">
      <c r="A169">
        <v>1341.71668184193</v>
      </c>
      <c r="B169">
        <v>29.3</v>
      </c>
      <c r="C169" t="s">
        <v>106</v>
      </c>
      <c r="D169">
        <v>34</v>
      </c>
      <c r="E169">
        <v>393</v>
      </c>
      <c r="F169">
        <v>517</v>
      </c>
      <c r="G169">
        <v>160</v>
      </c>
      <c r="H169">
        <v>0.14274506206635401</v>
      </c>
      <c r="I169">
        <v>0.393241614609597</v>
      </c>
      <c r="J169">
        <v>233</v>
      </c>
      <c r="K169" t="s">
        <v>173</v>
      </c>
      <c r="L169">
        <v>69</v>
      </c>
      <c r="O169">
        <v>3</v>
      </c>
      <c r="P169">
        <v>3447</v>
      </c>
      <c r="Q169">
        <v>5135</v>
      </c>
      <c r="R169" t="s">
        <v>39</v>
      </c>
      <c r="S169">
        <v>2022</v>
      </c>
      <c r="T169" s="34">
        <f>IF(R169="IRRIGATED",IF(F169&gt;=SCORES!I$6,1,0),"")</f>
        <v>1</v>
      </c>
    </row>
    <row r="170" spans="1:20" x14ac:dyDescent="0.25">
      <c r="A170">
        <v>854.03897558958101</v>
      </c>
      <c r="B170">
        <v>6.4</v>
      </c>
      <c r="C170" t="s">
        <v>106</v>
      </c>
      <c r="D170">
        <v>34</v>
      </c>
      <c r="E170">
        <v>217</v>
      </c>
      <c r="F170">
        <v>270</v>
      </c>
      <c r="G170">
        <v>0</v>
      </c>
      <c r="J170">
        <v>211</v>
      </c>
      <c r="K170" t="s">
        <v>173</v>
      </c>
      <c r="L170">
        <v>1206</v>
      </c>
      <c r="M170">
        <v>0.92055617640182497</v>
      </c>
      <c r="N170">
        <v>0.46146678808057401</v>
      </c>
      <c r="O170">
        <v>1</v>
      </c>
      <c r="P170">
        <v>4095</v>
      </c>
      <c r="R170" t="s">
        <v>55</v>
      </c>
      <c r="S170">
        <v>2022</v>
      </c>
      <c r="T170" s="34" t="str">
        <f>IF(R170="IRRIGATED",IF(F170&gt;=SCORES!I$6,1,0),"")</f>
        <v/>
      </c>
    </row>
    <row r="171" spans="1:20" x14ac:dyDescent="0.25">
      <c r="A171">
        <v>860.14911476920895</v>
      </c>
      <c r="B171">
        <v>6.9</v>
      </c>
      <c r="C171" t="s">
        <v>106</v>
      </c>
      <c r="D171">
        <v>34</v>
      </c>
      <c r="E171">
        <v>254</v>
      </c>
      <c r="F171">
        <v>344</v>
      </c>
      <c r="G171">
        <v>0</v>
      </c>
      <c r="J171">
        <v>238</v>
      </c>
      <c r="K171" t="s">
        <v>173</v>
      </c>
      <c r="L171">
        <v>128</v>
      </c>
      <c r="M171">
        <v>0.93422573197752401</v>
      </c>
      <c r="N171">
        <v>0.90289978465531295</v>
      </c>
      <c r="O171">
        <v>2</v>
      </c>
      <c r="P171">
        <v>7079</v>
      </c>
      <c r="R171" t="s">
        <v>55</v>
      </c>
      <c r="S171">
        <v>2022</v>
      </c>
      <c r="T171" s="34" t="str">
        <f>IF(R171="IRRIGATED",IF(F171&gt;=SCORES!I$6,1,0),"")</f>
        <v/>
      </c>
    </row>
    <row r="172" spans="1:20" x14ac:dyDescent="0.25">
      <c r="A172">
        <v>180.664216504423</v>
      </c>
      <c r="B172">
        <v>3.9</v>
      </c>
      <c r="C172" t="s">
        <v>106</v>
      </c>
      <c r="D172">
        <v>34</v>
      </c>
      <c r="E172">
        <v>321</v>
      </c>
      <c r="F172">
        <v>445</v>
      </c>
      <c r="G172">
        <v>0</v>
      </c>
      <c r="J172">
        <v>205</v>
      </c>
      <c r="K172" t="s">
        <v>173</v>
      </c>
      <c r="L172">
        <v>60</v>
      </c>
      <c r="O172">
        <v>3</v>
      </c>
      <c r="P172">
        <v>2758</v>
      </c>
      <c r="R172" t="s">
        <v>55</v>
      </c>
      <c r="S172">
        <v>2022</v>
      </c>
      <c r="T172" s="34" t="str">
        <f>IF(R172="IRRIGATED",IF(F172&gt;=SCORES!I$6,1,0),"")</f>
        <v/>
      </c>
    </row>
    <row r="173" spans="1:20" x14ac:dyDescent="0.25">
      <c r="A173">
        <v>11.589766700915099</v>
      </c>
      <c r="B173">
        <v>0.1</v>
      </c>
      <c r="C173" t="s">
        <v>42</v>
      </c>
      <c r="D173">
        <v>4</v>
      </c>
      <c r="E173">
        <v>353</v>
      </c>
      <c r="F173">
        <v>526</v>
      </c>
      <c r="G173">
        <v>0</v>
      </c>
      <c r="J173">
        <v>354</v>
      </c>
      <c r="K173" t="s">
        <v>173</v>
      </c>
      <c r="L173">
        <v>1260</v>
      </c>
      <c r="O173">
        <v>0</v>
      </c>
      <c r="P173">
        <v>7424</v>
      </c>
      <c r="R173" t="s">
        <v>55</v>
      </c>
      <c r="S173">
        <v>2022</v>
      </c>
      <c r="T173" s="34" t="str">
        <f>IF(R173="IRRIGATED",IF(F173&gt;=SCORES!I$6,1,0),"")</f>
        <v/>
      </c>
    </row>
    <row r="174" spans="1:20" x14ac:dyDescent="0.25">
      <c r="A174">
        <v>4069.1683853299701</v>
      </c>
      <c r="B174">
        <v>30.5</v>
      </c>
      <c r="C174" t="s">
        <v>43</v>
      </c>
      <c r="D174">
        <v>5</v>
      </c>
      <c r="E174">
        <v>855</v>
      </c>
      <c r="F174">
        <v>1019</v>
      </c>
      <c r="G174">
        <v>213</v>
      </c>
      <c r="H174">
        <v>9.5291979419570502E-2</v>
      </c>
      <c r="I174">
        <v>0.83633081049462099</v>
      </c>
      <c r="J174">
        <v>633</v>
      </c>
      <c r="K174" t="s">
        <v>173</v>
      </c>
      <c r="L174">
        <v>1272</v>
      </c>
      <c r="O174">
        <v>0</v>
      </c>
      <c r="P174">
        <v>13787</v>
      </c>
      <c r="Q174">
        <v>16439</v>
      </c>
      <c r="R174" t="s">
        <v>39</v>
      </c>
      <c r="S174">
        <v>2022</v>
      </c>
      <c r="T174" s="34">
        <f>IF(R174="IRRIGATED",IF(F174&gt;=SCORES!I$6,1,0),"")</f>
        <v>1</v>
      </c>
    </row>
    <row r="175" spans="1:20" x14ac:dyDescent="0.25">
      <c r="A175">
        <v>333.09788278751398</v>
      </c>
      <c r="B175">
        <v>2.5</v>
      </c>
      <c r="C175" t="s">
        <v>43</v>
      </c>
      <c r="D175">
        <v>5</v>
      </c>
      <c r="E175">
        <v>780</v>
      </c>
      <c r="F175">
        <v>947</v>
      </c>
      <c r="G175">
        <v>0</v>
      </c>
      <c r="J175">
        <v>642</v>
      </c>
      <c r="K175" t="s">
        <v>173</v>
      </c>
      <c r="L175">
        <v>1395</v>
      </c>
      <c r="O175">
        <v>0</v>
      </c>
      <c r="P175">
        <v>13826</v>
      </c>
      <c r="R175" t="s">
        <v>55</v>
      </c>
      <c r="S175">
        <v>2022</v>
      </c>
      <c r="T175" s="34" t="str">
        <f>IF(R175="IRRIGATED",IF(F175&gt;=SCORES!I$6,1,0),"")</f>
        <v/>
      </c>
    </row>
    <row r="176" spans="1:20" x14ac:dyDescent="0.25">
      <c r="A176">
        <v>4785.7117038593497</v>
      </c>
      <c r="B176">
        <v>35.9</v>
      </c>
      <c r="C176" t="s">
        <v>38</v>
      </c>
      <c r="D176">
        <v>1</v>
      </c>
      <c r="E176">
        <v>448</v>
      </c>
      <c r="F176">
        <v>513</v>
      </c>
      <c r="G176">
        <v>44</v>
      </c>
      <c r="H176">
        <v>9.5291979419570502E-2</v>
      </c>
      <c r="I176">
        <v>0.83633081049462099</v>
      </c>
      <c r="J176">
        <v>393</v>
      </c>
      <c r="K176" t="s">
        <v>173</v>
      </c>
      <c r="L176">
        <v>1207</v>
      </c>
      <c r="O176">
        <v>0</v>
      </c>
      <c r="P176">
        <v>10384</v>
      </c>
      <c r="Q176">
        <v>12905</v>
      </c>
      <c r="R176" t="s">
        <v>39</v>
      </c>
      <c r="S176">
        <v>2022</v>
      </c>
      <c r="T176" s="34">
        <f>IF(R176="IRRIGATED",IF(F176&gt;=SCORES!I$6,1,0),"")</f>
        <v>1</v>
      </c>
    </row>
    <row r="177" spans="1:20" x14ac:dyDescent="0.25">
      <c r="A177">
        <v>3414.2579322286701</v>
      </c>
      <c r="B177">
        <v>25.6</v>
      </c>
      <c r="C177" t="s">
        <v>38</v>
      </c>
      <c r="D177">
        <v>1</v>
      </c>
      <c r="E177">
        <v>390</v>
      </c>
      <c r="F177">
        <v>465</v>
      </c>
      <c r="G177">
        <v>0</v>
      </c>
      <c r="J177">
        <v>382</v>
      </c>
      <c r="K177" t="s">
        <v>173</v>
      </c>
      <c r="L177">
        <v>1262</v>
      </c>
      <c r="O177">
        <v>0</v>
      </c>
      <c r="P177">
        <v>8612</v>
      </c>
      <c r="R177" t="s">
        <v>55</v>
      </c>
      <c r="S177">
        <v>2022</v>
      </c>
      <c r="T177" s="34" t="str">
        <f>IF(R177="IRRIGATED",IF(F177&gt;=SCORES!I$6,1,0),"")</f>
        <v/>
      </c>
    </row>
    <row r="178" spans="1:20" x14ac:dyDescent="0.25">
      <c r="A178">
        <v>2492.1692321389401</v>
      </c>
      <c r="B178">
        <v>54.4</v>
      </c>
      <c r="C178" t="s">
        <v>53</v>
      </c>
      <c r="D178">
        <v>14</v>
      </c>
      <c r="E178">
        <v>450</v>
      </c>
      <c r="F178">
        <v>557</v>
      </c>
      <c r="G178">
        <v>203</v>
      </c>
      <c r="H178">
        <v>0.14274506206635401</v>
      </c>
      <c r="I178">
        <v>0.393241614609597</v>
      </c>
      <c r="J178">
        <v>246</v>
      </c>
      <c r="K178" t="s">
        <v>173</v>
      </c>
      <c r="L178">
        <v>74</v>
      </c>
      <c r="O178">
        <v>3</v>
      </c>
      <c r="P178">
        <v>3842</v>
      </c>
      <c r="Q178">
        <v>4903</v>
      </c>
      <c r="R178" t="s">
        <v>39</v>
      </c>
      <c r="S178">
        <v>2022</v>
      </c>
      <c r="T178" s="34">
        <f>IF(R178="IRRIGATED",IF(F178&gt;=SCORES!I$6,1,0),"")</f>
        <v>1</v>
      </c>
    </row>
    <row r="179" spans="1:20" x14ac:dyDescent="0.25">
      <c r="A179">
        <v>20.909661400376802</v>
      </c>
      <c r="B179">
        <v>0.2</v>
      </c>
      <c r="C179" t="s">
        <v>53</v>
      </c>
      <c r="D179">
        <v>14</v>
      </c>
      <c r="E179">
        <v>337</v>
      </c>
      <c r="F179">
        <v>366</v>
      </c>
      <c r="G179">
        <v>123</v>
      </c>
      <c r="H179">
        <v>0.131231891001617</v>
      </c>
      <c r="I179">
        <v>0.64136106540455595</v>
      </c>
      <c r="J179">
        <v>213</v>
      </c>
      <c r="K179" t="s">
        <v>173</v>
      </c>
      <c r="L179">
        <v>1243</v>
      </c>
      <c r="O179">
        <v>1</v>
      </c>
      <c r="P179">
        <v>4461</v>
      </c>
      <c r="Q179">
        <v>4598</v>
      </c>
      <c r="R179" t="s">
        <v>39</v>
      </c>
      <c r="S179">
        <v>2022</v>
      </c>
      <c r="T179" s="34">
        <f>IF(R179="IRRIGATED",IF(F179&gt;=SCORES!I$6,1,0),"")</f>
        <v>1</v>
      </c>
    </row>
    <row r="180" spans="1:20" x14ac:dyDescent="0.25">
      <c r="A180">
        <v>69.661691858948302</v>
      </c>
      <c r="B180">
        <v>1.5</v>
      </c>
      <c r="C180" t="s">
        <v>53</v>
      </c>
      <c r="D180">
        <v>14</v>
      </c>
      <c r="E180">
        <v>230</v>
      </c>
      <c r="F180">
        <v>541</v>
      </c>
      <c r="G180">
        <v>0</v>
      </c>
      <c r="J180">
        <v>126</v>
      </c>
      <c r="K180" t="s">
        <v>173</v>
      </c>
      <c r="L180">
        <v>38</v>
      </c>
      <c r="O180">
        <v>3</v>
      </c>
      <c r="P180">
        <v>2121</v>
      </c>
      <c r="R180" t="s">
        <v>55</v>
      </c>
      <c r="S180">
        <v>2022</v>
      </c>
      <c r="T180" s="34" t="str">
        <f>IF(R180="IRRIGATED",IF(F180&gt;=SCORES!I$6,1,0),"")</f>
        <v/>
      </c>
    </row>
    <row r="181" spans="1:20" x14ac:dyDescent="0.25">
      <c r="A181">
        <v>271.34829949310802</v>
      </c>
      <c r="B181">
        <v>5.9</v>
      </c>
      <c r="C181" t="s">
        <v>49</v>
      </c>
      <c r="D181">
        <v>15</v>
      </c>
      <c r="E181">
        <v>284</v>
      </c>
      <c r="F181">
        <v>340</v>
      </c>
      <c r="G181">
        <v>79</v>
      </c>
      <c r="H181">
        <v>0.14274506206635401</v>
      </c>
      <c r="I181">
        <v>0.393241614609597</v>
      </c>
      <c r="J181">
        <v>205</v>
      </c>
      <c r="K181" t="s">
        <v>173</v>
      </c>
      <c r="L181">
        <v>55</v>
      </c>
      <c r="O181">
        <v>3</v>
      </c>
      <c r="P181">
        <v>2455</v>
      </c>
      <c r="Q181">
        <v>3540</v>
      </c>
      <c r="R181" t="s">
        <v>39</v>
      </c>
      <c r="S181">
        <v>2022</v>
      </c>
      <c r="T181" s="34">
        <f>IF(R181="IRRIGATED",IF(F181&gt;=SCORES!I$6,1,0),"")</f>
        <v>1</v>
      </c>
    </row>
    <row r="182" spans="1:20" x14ac:dyDescent="0.25">
      <c r="A182">
        <v>41.669883394939902</v>
      </c>
      <c r="B182">
        <v>0.3</v>
      </c>
      <c r="C182" t="s">
        <v>49</v>
      </c>
      <c r="D182">
        <v>15</v>
      </c>
      <c r="E182">
        <v>252</v>
      </c>
      <c r="F182">
        <v>352</v>
      </c>
      <c r="G182">
        <v>27</v>
      </c>
      <c r="H182">
        <v>4.2348140080079998E-2</v>
      </c>
      <c r="I182">
        <v>0.47410283662738101</v>
      </c>
      <c r="J182">
        <v>220</v>
      </c>
      <c r="K182" t="s">
        <v>173</v>
      </c>
      <c r="L182">
        <v>120</v>
      </c>
      <c r="O182">
        <v>2</v>
      </c>
      <c r="P182">
        <v>7042</v>
      </c>
      <c r="Q182">
        <v>9890</v>
      </c>
      <c r="R182" t="s">
        <v>39</v>
      </c>
      <c r="S182">
        <v>2022</v>
      </c>
      <c r="T182" s="34">
        <f>IF(R182="IRRIGATED",IF(F182&gt;=SCORES!I$6,1,0),"")</f>
        <v>1</v>
      </c>
    </row>
    <row r="183" spans="1:20" x14ac:dyDescent="0.25">
      <c r="A183">
        <v>224.788807397954</v>
      </c>
      <c r="B183">
        <v>1.7</v>
      </c>
      <c r="C183" t="s">
        <v>49</v>
      </c>
      <c r="D183">
        <v>15</v>
      </c>
      <c r="E183">
        <v>280</v>
      </c>
      <c r="F183">
        <v>304</v>
      </c>
      <c r="G183">
        <v>65</v>
      </c>
      <c r="H183">
        <v>0.131231891001617</v>
      </c>
      <c r="I183">
        <v>0.64136106540455595</v>
      </c>
      <c r="J183">
        <v>212</v>
      </c>
      <c r="K183" t="s">
        <v>173</v>
      </c>
      <c r="L183">
        <v>1216</v>
      </c>
      <c r="O183">
        <v>1</v>
      </c>
      <c r="P183">
        <v>5013</v>
      </c>
      <c r="Q183">
        <v>5306</v>
      </c>
      <c r="R183" t="s">
        <v>39</v>
      </c>
      <c r="S183">
        <v>2022</v>
      </c>
      <c r="T183" s="34">
        <f>IF(R183="IRRIGATED",IF(F183&gt;=SCORES!I$6,1,0),"")</f>
        <v>1</v>
      </c>
    </row>
    <row r="184" spans="1:20" x14ac:dyDescent="0.25">
      <c r="A184">
        <v>45.918259230313701</v>
      </c>
      <c r="B184">
        <v>0.3</v>
      </c>
      <c r="C184" t="s">
        <v>49</v>
      </c>
      <c r="D184">
        <v>15</v>
      </c>
      <c r="E184">
        <v>253</v>
      </c>
      <c r="F184">
        <v>300</v>
      </c>
      <c r="G184">
        <v>0</v>
      </c>
      <c r="J184">
        <v>205</v>
      </c>
      <c r="K184" t="s">
        <v>173</v>
      </c>
      <c r="L184">
        <v>1159</v>
      </c>
      <c r="O184">
        <v>1</v>
      </c>
      <c r="P184">
        <v>4578</v>
      </c>
      <c r="R184" t="s">
        <v>55</v>
      </c>
      <c r="S184">
        <v>2022</v>
      </c>
      <c r="T184" s="34" t="str">
        <f>IF(R184="IRRIGATED",IF(F184&gt;=SCORES!I$6,1,0),"")</f>
        <v/>
      </c>
    </row>
    <row r="185" spans="1:20" x14ac:dyDescent="0.25">
      <c r="A185">
        <v>31.317262127607702</v>
      </c>
      <c r="B185">
        <v>0.3</v>
      </c>
      <c r="C185" t="s">
        <v>49</v>
      </c>
      <c r="D185">
        <v>15</v>
      </c>
      <c r="E185">
        <v>283</v>
      </c>
      <c r="F185">
        <v>376</v>
      </c>
      <c r="G185">
        <v>0</v>
      </c>
      <c r="J185">
        <v>245</v>
      </c>
      <c r="K185" t="s">
        <v>173</v>
      </c>
      <c r="L185">
        <v>131</v>
      </c>
      <c r="O185">
        <v>2</v>
      </c>
      <c r="P185">
        <v>7999</v>
      </c>
      <c r="R185" t="s">
        <v>55</v>
      </c>
      <c r="S185">
        <v>2022</v>
      </c>
      <c r="T185" s="34" t="str">
        <f>IF(R185="IRRIGATED",IF(F185&gt;=SCORES!I$6,1,0),"")</f>
        <v/>
      </c>
    </row>
    <row r="186" spans="1:20" x14ac:dyDescent="0.25">
      <c r="A186">
        <v>14.419729761888</v>
      </c>
      <c r="B186">
        <v>0.3</v>
      </c>
      <c r="C186" t="s">
        <v>49</v>
      </c>
      <c r="D186">
        <v>15</v>
      </c>
      <c r="E186">
        <v>136</v>
      </c>
      <c r="F186">
        <v>312</v>
      </c>
      <c r="G186">
        <v>0</v>
      </c>
      <c r="J186">
        <v>102</v>
      </c>
      <c r="K186" t="s">
        <v>173</v>
      </c>
      <c r="L186">
        <v>28</v>
      </c>
      <c r="O186">
        <v>3</v>
      </c>
      <c r="P186">
        <v>1180</v>
      </c>
      <c r="R186" t="s">
        <v>55</v>
      </c>
      <c r="S186">
        <v>2022</v>
      </c>
      <c r="T186" s="34" t="str">
        <f>IF(R186="IRRIGATED",IF(F186&gt;=SCORES!I$6,1,0),"")</f>
        <v/>
      </c>
    </row>
    <row r="187" spans="1:20" x14ac:dyDescent="0.25">
      <c r="A187">
        <v>2118.2302448585501</v>
      </c>
      <c r="B187">
        <v>16</v>
      </c>
      <c r="C187" t="s">
        <v>98</v>
      </c>
      <c r="D187">
        <v>17</v>
      </c>
      <c r="E187">
        <v>213</v>
      </c>
      <c r="F187">
        <v>260</v>
      </c>
      <c r="G187">
        <v>0</v>
      </c>
      <c r="J187">
        <v>206</v>
      </c>
      <c r="K187" t="s">
        <v>173</v>
      </c>
      <c r="L187">
        <v>1149</v>
      </c>
      <c r="O187">
        <v>1</v>
      </c>
      <c r="P187">
        <v>3951</v>
      </c>
      <c r="R187" t="s">
        <v>55</v>
      </c>
      <c r="S187">
        <v>2022</v>
      </c>
      <c r="T187" s="34" t="str">
        <f>IF(R187="IRRIGATED",IF(F187&gt;=SCORES!I$6,1,0),"")</f>
        <v/>
      </c>
    </row>
    <row r="188" spans="1:20" x14ac:dyDescent="0.25">
      <c r="A188">
        <v>1727.2668330108099</v>
      </c>
      <c r="B188">
        <v>13.9</v>
      </c>
      <c r="C188" t="s">
        <v>98</v>
      </c>
      <c r="D188">
        <v>17</v>
      </c>
      <c r="E188">
        <v>189</v>
      </c>
      <c r="F188">
        <v>208</v>
      </c>
      <c r="G188">
        <v>0</v>
      </c>
      <c r="J188">
        <v>184</v>
      </c>
      <c r="K188" t="s">
        <v>173</v>
      </c>
      <c r="L188">
        <v>114</v>
      </c>
      <c r="O188">
        <v>2</v>
      </c>
      <c r="P188">
        <v>4842</v>
      </c>
      <c r="R188" t="s">
        <v>55</v>
      </c>
      <c r="S188">
        <v>2022</v>
      </c>
      <c r="T188" s="34" t="str">
        <f>IF(R188="IRRIGATED",IF(F188&gt;=SCORES!I$6,1,0),"")</f>
        <v/>
      </c>
    </row>
    <row r="189" spans="1:20" x14ac:dyDescent="0.25">
      <c r="A189">
        <v>37.672583327223798</v>
      </c>
      <c r="B189">
        <v>0.8</v>
      </c>
      <c r="C189" t="s">
        <v>98</v>
      </c>
      <c r="D189">
        <v>17</v>
      </c>
      <c r="E189">
        <v>246</v>
      </c>
      <c r="F189">
        <v>329</v>
      </c>
      <c r="G189">
        <v>0</v>
      </c>
      <c r="J189">
        <v>194</v>
      </c>
      <c r="K189" t="s">
        <v>173</v>
      </c>
      <c r="L189">
        <v>52</v>
      </c>
      <c r="O189">
        <v>3</v>
      </c>
      <c r="P189">
        <v>2058</v>
      </c>
      <c r="R189" t="s">
        <v>55</v>
      </c>
      <c r="S189">
        <v>2022</v>
      </c>
      <c r="T189" s="34" t="str">
        <f>IF(R189="IRRIGATED",IF(F189&gt;=SCORES!I$6,1,0),"")</f>
        <v/>
      </c>
    </row>
    <row r="190" spans="1:20" x14ac:dyDescent="0.25">
      <c r="A190">
        <v>5823.9955089442101</v>
      </c>
      <c r="B190">
        <v>46.8</v>
      </c>
      <c r="C190" t="s">
        <v>57</v>
      </c>
      <c r="D190">
        <v>2</v>
      </c>
      <c r="E190">
        <v>222</v>
      </c>
      <c r="F190">
        <v>280</v>
      </c>
      <c r="G190">
        <v>24</v>
      </c>
      <c r="H190">
        <v>4.2348140080079998E-2</v>
      </c>
      <c r="I190">
        <v>0.47410283662738101</v>
      </c>
      <c r="J190">
        <v>194</v>
      </c>
      <c r="K190" t="s">
        <v>173</v>
      </c>
      <c r="L190">
        <v>118</v>
      </c>
      <c r="M190">
        <v>0.94432407772198301</v>
      </c>
      <c r="N190">
        <v>0.93157690455994702</v>
      </c>
      <c r="O190">
        <v>2</v>
      </c>
      <c r="P190">
        <v>6356</v>
      </c>
      <c r="Q190">
        <v>8853</v>
      </c>
      <c r="R190" t="s">
        <v>39</v>
      </c>
      <c r="S190">
        <v>2022</v>
      </c>
      <c r="T190" s="34">
        <f>IF(R190="IRRIGATED",IF(F190&gt;=SCORES!I$6,1,0),"")</f>
        <v>0</v>
      </c>
    </row>
    <row r="191" spans="1:20" x14ac:dyDescent="0.25">
      <c r="A191">
        <v>4004.6214826463402</v>
      </c>
      <c r="B191">
        <v>30.2</v>
      </c>
      <c r="C191" t="s">
        <v>57</v>
      </c>
      <c r="D191">
        <v>2</v>
      </c>
      <c r="E191">
        <v>249</v>
      </c>
      <c r="F191">
        <v>296</v>
      </c>
      <c r="G191">
        <v>42</v>
      </c>
      <c r="H191">
        <v>0.131231891001617</v>
      </c>
      <c r="I191">
        <v>0.64136106540455595</v>
      </c>
      <c r="J191">
        <v>205</v>
      </c>
      <c r="K191" t="s">
        <v>173</v>
      </c>
      <c r="L191">
        <v>1106</v>
      </c>
      <c r="M191">
        <v>0.94405255326648296</v>
      </c>
      <c r="N191">
        <v>0.426387602981812</v>
      </c>
      <c r="O191">
        <v>1</v>
      </c>
      <c r="P191">
        <v>4615</v>
      </c>
      <c r="Q191">
        <v>5289</v>
      </c>
      <c r="R191" t="s">
        <v>39</v>
      </c>
      <c r="S191">
        <v>2022</v>
      </c>
      <c r="T191" s="34">
        <f>IF(R191="IRRIGATED",IF(F191&gt;=SCORES!I$6,1,0),"")</f>
        <v>0</v>
      </c>
    </row>
    <row r="192" spans="1:20" x14ac:dyDescent="0.25">
      <c r="A192">
        <v>3518.24309031649</v>
      </c>
      <c r="B192">
        <v>26.5</v>
      </c>
      <c r="C192" t="s">
        <v>57</v>
      </c>
      <c r="D192">
        <v>2</v>
      </c>
      <c r="E192">
        <v>193</v>
      </c>
      <c r="F192">
        <v>238</v>
      </c>
      <c r="G192">
        <v>0</v>
      </c>
      <c r="J192">
        <v>195</v>
      </c>
      <c r="K192" t="s">
        <v>173</v>
      </c>
      <c r="L192">
        <v>990</v>
      </c>
      <c r="M192">
        <v>0.94405255326648296</v>
      </c>
      <c r="N192">
        <v>0.426387602981812</v>
      </c>
      <c r="O192">
        <v>1</v>
      </c>
      <c r="P192">
        <v>3581</v>
      </c>
      <c r="R192" t="s">
        <v>55</v>
      </c>
      <c r="S192">
        <v>2022</v>
      </c>
      <c r="T192" s="34" t="str">
        <f>IF(R192="IRRIGATED",IF(F192&gt;=SCORES!I$6,1,0),"")</f>
        <v/>
      </c>
    </row>
    <row r="193" spans="1:20" x14ac:dyDescent="0.25">
      <c r="A193">
        <v>1669.0939142786899</v>
      </c>
      <c r="B193">
        <v>13.4</v>
      </c>
      <c r="C193" t="s">
        <v>57</v>
      </c>
      <c r="D193">
        <v>2</v>
      </c>
      <c r="E193">
        <v>200</v>
      </c>
      <c r="F193">
        <v>250</v>
      </c>
      <c r="G193">
        <v>0</v>
      </c>
      <c r="J193">
        <v>192</v>
      </c>
      <c r="K193" t="s">
        <v>173</v>
      </c>
      <c r="L193">
        <v>120</v>
      </c>
      <c r="M193">
        <v>0.94432407772198301</v>
      </c>
      <c r="N193">
        <v>0.93157690455994702</v>
      </c>
      <c r="O193">
        <v>2</v>
      </c>
      <c r="P193">
        <v>5419</v>
      </c>
      <c r="R193" t="s">
        <v>55</v>
      </c>
      <c r="S193">
        <v>2022</v>
      </c>
      <c r="T193" s="34" t="str">
        <f>IF(R193="IRRIGATED",IF(F193&gt;=SCORES!I$6,1,0),"")</f>
        <v/>
      </c>
    </row>
    <row r="194" spans="1:20" x14ac:dyDescent="0.25">
      <c r="A194">
        <v>597.415349417936</v>
      </c>
      <c r="B194">
        <v>4.5</v>
      </c>
      <c r="C194" t="s">
        <v>46</v>
      </c>
      <c r="D194">
        <v>8</v>
      </c>
      <c r="E194">
        <v>1036</v>
      </c>
      <c r="F194">
        <v>1189</v>
      </c>
      <c r="G194">
        <v>241</v>
      </c>
      <c r="H194">
        <v>9.5291979419570502E-2</v>
      </c>
      <c r="I194">
        <v>0.83633081049462099</v>
      </c>
      <c r="J194">
        <v>783</v>
      </c>
      <c r="K194" t="s">
        <v>173</v>
      </c>
      <c r="L194">
        <v>1460</v>
      </c>
      <c r="O194">
        <v>0</v>
      </c>
      <c r="P194">
        <v>18323</v>
      </c>
      <c r="Q194">
        <v>20254</v>
      </c>
      <c r="R194" t="s">
        <v>39</v>
      </c>
      <c r="S194">
        <v>2022</v>
      </c>
      <c r="T194" s="34">
        <f>IF(R194="IRRIGATED",IF(F194&gt;=SCORES!I$6,1,0),"")</f>
        <v>1</v>
      </c>
    </row>
    <row r="195" spans="1:20" x14ac:dyDescent="0.25">
      <c r="A195">
        <v>111.561626040685</v>
      </c>
      <c r="B195">
        <v>0.8</v>
      </c>
      <c r="C195" t="s">
        <v>46</v>
      </c>
      <c r="D195">
        <v>8</v>
      </c>
      <c r="E195">
        <v>1010</v>
      </c>
      <c r="F195">
        <v>1161</v>
      </c>
      <c r="G195">
        <v>0</v>
      </c>
      <c r="J195">
        <v>785</v>
      </c>
      <c r="K195" t="s">
        <v>173</v>
      </c>
      <c r="L195">
        <v>1483</v>
      </c>
      <c r="O195">
        <v>0</v>
      </c>
      <c r="P195">
        <v>18518</v>
      </c>
      <c r="R195" t="s">
        <v>55</v>
      </c>
      <c r="S195">
        <v>2022</v>
      </c>
      <c r="T195" s="34" t="str">
        <f>IF(R195="IRRIGATED",IF(F195&gt;=SCORES!I$6,1,0),"")</f>
        <v/>
      </c>
    </row>
    <row r="196" spans="1:20" x14ac:dyDescent="0.25">
      <c r="T196" s="34" t="str">
        <f>IF(R196="IRRIGATED",IF(F196&gt;=SCORES!I$6,1,0),"")</f>
        <v/>
      </c>
    </row>
    <row r="197" spans="1:20" x14ac:dyDescent="0.25">
      <c r="T197" s="34" t="str">
        <f>IF(R197="IRRIGATED",IF(F197&gt;=SCORES!I$6,1,0),"")</f>
        <v/>
      </c>
    </row>
    <row r="198" spans="1:20" x14ac:dyDescent="0.25">
      <c r="T198" s="34" t="str">
        <f>IF(R198="IRRIGATED",IF(F198&gt;=SCORES!I$6,1,0),"")</f>
        <v/>
      </c>
    </row>
    <row r="199" spans="1:20" x14ac:dyDescent="0.25">
      <c r="T199" s="34" t="str">
        <f>IF(R199="IRRIGATED",IF(F199&gt;=SCORES!I$6,1,0),"")</f>
        <v/>
      </c>
    </row>
    <row r="200" spans="1:20" x14ac:dyDescent="0.25">
      <c r="T200" s="34" t="str">
        <f>IF(R200="IRRIGATED",IF(F200&gt;=SCORES!I$6,1,0),"")</f>
        <v/>
      </c>
    </row>
    <row r="201" spans="1:20" x14ac:dyDescent="0.25">
      <c r="T201" s="34" t="str">
        <f>IF(R201="IRRIGATED",IF(F201&gt;=SCORES!I$6,1,0),"")</f>
        <v/>
      </c>
    </row>
    <row r="202" spans="1:20" x14ac:dyDescent="0.25">
      <c r="T202" s="34" t="str">
        <f>IF(R202="IRRIGATED",IF(F202&gt;=SCORES!I$6,1,0),"")</f>
        <v/>
      </c>
    </row>
    <row r="203" spans="1:20" x14ac:dyDescent="0.25">
      <c r="T203" s="34" t="str">
        <f>IF(R203="IRRIGATED",IF(F203&gt;=SCORES!I$6,1,0),"")</f>
        <v/>
      </c>
    </row>
    <row r="204" spans="1:20" x14ac:dyDescent="0.25">
      <c r="T204" s="34" t="str">
        <f>IF(R204="IRRIGATED",IF(F204&gt;=SCORES!I$6,1,0),"")</f>
        <v/>
      </c>
    </row>
    <row r="205" spans="1:20" x14ac:dyDescent="0.25">
      <c r="T205" s="34" t="str">
        <f>IF(R205="IRRIGATED",IF(F205&gt;=SCORES!I$6,1,0),"")</f>
        <v/>
      </c>
    </row>
    <row r="206" spans="1:20" x14ac:dyDescent="0.25">
      <c r="T206" s="34" t="str">
        <f>IF(R206="IRRIGATED",IF(F206&gt;=SCORES!I$6,1,0),"")</f>
        <v/>
      </c>
    </row>
    <row r="207" spans="1:20" x14ac:dyDescent="0.25">
      <c r="T207" s="34" t="str">
        <f>IF(R207="IRRIGATED",IF(F207&gt;=SCORES!I$6,1,0),"")</f>
        <v/>
      </c>
    </row>
    <row r="208" spans="1:20" x14ac:dyDescent="0.25">
      <c r="T208" s="34" t="str">
        <f>IF(R208="IRRIGATED",IF(F208&gt;=SCORES!I$6,1,0),"")</f>
        <v/>
      </c>
    </row>
    <row r="209" spans="20:20" x14ac:dyDescent="0.25">
      <c r="T209" s="34" t="str">
        <f>IF(R209="IRRIGATED",IF(F209&gt;=SCORES!I$6,1,0),"")</f>
        <v/>
      </c>
    </row>
    <row r="210" spans="20:20" x14ac:dyDescent="0.25">
      <c r="T210" s="34" t="str">
        <f>IF(R210="IRRIGATED",IF(F210&gt;=SCORES!I$6,1,0),"")</f>
        <v/>
      </c>
    </row>
    <row r="211" spans="20:20" x14ac:dyDescent="0.25">
      <c r="T211" s="34" t="str">
        <f>IF(R211="IRRIGATED",IF(F211&gt;=SCORES!I$6,1,0),"")</f>
        <v/>
      </c>
    </row>
    <row r="212" spans="20:20" x14ac:dyDescent="0.25">
      <c r="T212" s="34" t="str">
        <f>IF(R212="IRRIGATED",IF(F212&gt;=SCORES!I$6,1,0),"")</f>
        <v/>
      </c>
    </row>
    <row r="213" spans="20:20" x14ac:dyDescent="0.25">
      <c r="T213" s="34" t="str">
        <f>IF(R213="IRRIGATED",IF(F213&gt;=SCORES!I$6,1,0),"")</f>
        <v/>
      </c>
    </row>
    <row r="214" spans="20:20" x14ac:dyDescent="0.25">
      <c r="T214" s="34" t="str">
        <f>IF(R214="IRRIGATED",IF(F214&gt;=SCORES!I$6,1,0),"")</f>
        <v/>
      </c>
    </row>
    <row r="215" spans="20:20" x14ac:dyDescent="0.25">
      <c r="T215" s="34" t="str">
        <f>IF(R215="IRRIGATED",IF(F215&gt;=SCORES!I$6,1,0),"")</f>
        <v/>
      </c>
    </row>
    <row r="216" spans="20:20" x14ac:dyDescent="0.25">
      <c r="T216" s="34" t="str">
        <f>IF(R216="IRRIGATED",IF(F216&gt;=SCORES!I$6,1,0),"")</f>
        <v/>
      </c>
    </row>
    <row r="217" spans="20:20" x14ac:dyDescent="0.25">
      <c r="T217" s="34" t="str">
        <f>IF(R217="IRRIGATED",IF(F217&gt;=SCORES!I$6,1,0),"")</f>
        <v/>
      </c>
    </row>
    <row r="218" spans="20:20" x14ac:dyDescent="0.25">
      <c r="T218" s="34" t="str">
        <f>IF(R218="IRRIGATED",IF(F218&gt;=SCORES!I$6,1,0),"")</f>
        <v/>
      </c>
    </row>
    <row r="219" spans="20:20" x14ac:dyDescent="0.25">
      <c r="T219" s="34" t="str">
        <f>IF(R219="IRRIGATED",IF(F219&gt;=SCORES!I$6,1,0),"")</f>
        <v/>
      </c>
    </row>
    <row r="220" spans="20:20" x14ac:dyDescent="0.25">
      <c r="T220" s="34" t="str">
        <f>IF(R220="IRRIGATED",IF(F220&gt;=SCORES!I$6,1,0),"")</f>
        <v/>
      </c>
    </row>
    <row r="221" spans="20:20" x14ac:dyDescent="0.25">
      <c r="T221" s="34" t="str">
        <f>IF(R221="IRRIGATED",IF(F221&gt;=SCORES!I$6,1,0),"")</f>
        <v/>
      </c>
    </row>
    <row r="222" spans="20:20" x14ac:dyDescent="0.25">
      <c r="T222" s="34" t="str">
        <f>IF(R222="IRRIGATED",IF(F222&gt;=SCORES!I$6,1,0),"")</f>
        <v/>
      </c>
    </row>
    <row r="223" spans="20:20" x14ac:dyDescent="0.25">
      <c r="T223" s="34" t="str">
        <f>IF(R223="IRRIGATED",IF(F223&gt;=SCORES!I$6,1,0),"")</f>
        <v/>
      </c>
    </row>
    <row r="224" spans="20:20" x14ac:dyDescent="0.25">
      <c r="T224" s="34" t="str">
        <f>IF(R224="IRRIGATED",IF(F224&gt;=SCORES!I$6,1,0),"")</f>
        <v/>
      </c>
    </row>
    <row r="225" spans="20:20" x14ac:dyDescent="0.25">
      <c r="T225" s="34" t="str">
        <f>IF(R225="IRRIGATED",IF(F225&gt;=SCORES!I$6,1,0),"")</f>
        <v/>
      </c>
    </row>
    <row r="226" spans="20:20" x14ac:dyDescent="0.25">
      <c r="T226" s="34" t="str">
        <f>IF(R226="IRRIGATED",IF(F226&gt;=SCORES!I$6,1,0),"")</f>
        <v/>
      </c>
    </row>
    <row r="227" spans="20:20" x14ac:dyDescent="0.25">
      <c r="T227" s="34" t="str">
        <f>IF(R227="IRRIGATED",IF(F227&gt;=SCORES!I$6,1,0),"")</f>
        <v/>
      </c>
    </row>
    <row r="228" spans="20:20" x14ac:dyDescent="0.25">
      <c r="T228" s="34" t="str">
        <f>IF(R228="IRRIGATED",IF(F228&gt;=SCORES!I$6,1,0),"")</f>
        <v/>
      </c>
    </row>
    <row r="229" spans="20:20" x14ac:dyDescent="0.25">
      <c r="T229" s="34" t="str">
        <f>IF(R229="IRRIGATED",IF(F229&gt;=SCORES!I$6,1,0),"")</f>
        <v/>
      </c>
    </row>
    <row r="230" spans="20:20" x14ac:dyDescent="0.25">
      <c r="T230" s="34" t="str">
        <f>IF(R230="IRRIGATED",IF(F230&gt;=SCORES!I$6,1,0),"")</f>
        <v/>
      </c>
    </row>
    <row r="231" spans="20:20" x14ac:dyDescent="0.25">
      <c r="T231" s="34" t="str">
        <f>IF(R231="IRRIGATED",IF(F231&gt;=SCORES!I$6,1,0),"")</f>
        <v/>
      </c>
    </row>
    <row r="232" spans="20:20" x14ac:dyDescent="0.25">
      <c r="T232" s="34" t="str">
        <f>IF(R232="IRRIGATED",IF(F232&gt;=SCORES!I$6,1,0),"")</f>
        <v/>
      </c>
    </row>
    <row r="233" spans="20:20" x14ac:dyDescent="0.25">
      <c r="T233" s="34" t="str">
        <f>IF(R233="IRRIGATED",IF(F233&gt;=SCORES!I$6,1,0),"")</f>
        <v/>
      </c>
    </row>
    <row r="234" spans="20:20" x14ac:dyDescent="0.25">
      <c r="T234" s="34" t="str">
        <f>IF(R234="IRRIGATED",IF(F234&gt;=SCORES!I$6,1,0),"")</f>
        <v/>
      </c>
    </row>
    <row r="235" spans="20:20" x14ac:dyDescent="0.25">
      <c r="T235" s="34" t="str">
        <f>IF(R235="IRRIGATED",IF(F235&gt;=SCORES!I$6,1,0),"")</f>
        <v/>
      </c>
    </row>
    <row r="236" spans="20:20" x14ac:dyDescent="0.25">
      <c r="T236" s="34" t="str">
        <f>IF(R236="IRRIGATED",IF(F236&gt;=SCORES!I$6,1,0),"")</f>
        <v/>
      </c>
    </row>
    <row r="237" spans="20:20" x14ac:dyDescent="0.25">
      <c r="T237" s="34" t="str">
        <f>IF(R237="IRRIGATED",IF(F237&gt;=SCORES!I$6,1,0),"")</f>
        <v/>
      </c>
    </row>
    <row r="238" spans="20:20" x14ac:dyDescent="0.25">
      <c r="T238" s="34" t="str">
        <f>IF(R238="IRRIGATED",IF(F238&gt;=SCORES!I$6,1,0),"")</f>
        <v/>
      </c>
    </row>
    <row r="239" spans="20:20" x14ac:dyDescent="0.25">
      <c r="T239" s="34" t="str">
        <f>IF(R239="IRRIGATED",IF(F239&gt;=SCORES!I$6,1,0),"")</f>
        <v/>
      </c>
    </row>
    <row r="240" spans="20:20" x14ac:dyDescent="0.25">
      <c r="T240" s="34" t="str">
        <f>IF(R240="IRRIGATED",IF(F240&gt;=SCORES!I$6,1,0),"")</f>
        <v/>
      </c>
    </row>
    <row r="241" spans="20:20" x14ac:dyDescent="0.25">
      <c r="T241" s="34" t="str">
        <f>IF(R241="IRRIGATED",IF(F241&gt;=SCORES!I$6,1,0),"")</f>
        <v/>
      </c>
    </row>
    <row r="242" spans="20:20" x14ac:dyDescent="0.25">
      <c r="T242" s="34" t="str">
        <f>IF(R242="IRRIGATED",IF(F242&gt;=SCORES!I$6,1,0),"")</f>
        <v/>
      </c>
    </row>
    <row r="243" spans="20:20" x14ac:dyDescent="0.25">
      <c r="T243" s="34" t="str">
        <f>IF(R243="IRRIGATED",IF(F243&gt;=SCORES!I$6,1,0),"")</f>
        <v/>
      </c>
    </row>
    <row r="244" spans="20:20" x14ac:dyDescent="0.25">
      <c r="T244" s="34" t="str">
        <f>IF(R244="IRRIGATED",IF(F244&gt;=SCORES!I$6,1,0),"")</f>
        <v/>
      </c>
    </row>
    <row r="245" spans="20:20" x14ac:dyDescent="0.25">
      <c r="T245" s="34" t="str">
        <f>IF(R245="IRRIGATED",IF(F245&gt;=SCORES!I$6,1,0),"")</f>
        <v/>
      </c>
    </row>
    <row r="246" spans="20:20" x14ac:dyDescent="0.25">
      <c r="T246" s="34" t="str">
        <f>IF(R246="IRRIGATED",IF(F246&gt;=SCORES!I$6,1,0),"")</f>
        <v/>
      </c>
    </row>
    <row r="247" spans="20:20" x14ac:dyDescent="0.25">
      <c r="T247" s="34" t="str">
        <f>IF(R247="IRRIGATED",IF(F247&gt;=SCORES!I$6,1,0),"")</f>
        <v/>
      </c>
    </row>
    <row r="248" spans="20:20" x14ac:dyDescent="0.25">
      <c r="T248" s="34" t="str">
        <f>IF(R248="IRRIGATED",IF(F248&gt;=SCORES!I$6,1,0),"")</f>
        <v/>
      </c>
    </row>
    <row r="249" spans="20:20" x14ac:dyDescent="0.25">
      <c r="T249" s="34" t="str">
        <f>IF(R249="IRRIGATED",IF(F249&gt;=SCORES!I$6,1,0),"")</f>
        <v/>
      </c>
    </row>
    <row r="250" spans="20:20" x14ac:dyDescent="0.25">
      <c r="T250" s="34" t="str">
        <f>IF(R250="IRRIGATED",IF(F250&gt;=SCORES!I$6,1,0),"")</f>
        <v/>
      </c>
    </row>
    <row r="251" spans="20:20" x14ac:dyDescent="0.25">
      <c r="T251" s="34" t="str">
        <f>IF(R251="IRRIGATED",IF(F251&gt;=SCORES!I$6,1,0),"")</f>
        <v/>
      </c>
    </row>
    <row r="252" spans="20:20" x14ac:dyDescent="0.25">
      <c r="T252" s="34" t="str">
        <f>IF(R252="IRRIGATED",IF(F252&gt;=SCORES!I$6,1,0),"")</f>
        <v/>
      </c>
    </row>
    <row r="253" spans="20:20" x14ac:dyDescent="0.25">
      <c r="T253" s="34" t="str">
        <f>IF(R253="IRRIGATED",IF(F253&gt;=SCORES!I$6,1,0),"")</f>
        <v/>
      </c>
    </row>
    <row r="254" spans="20:20" x14ac:dyDescent="0.25">
      <c r="T254" s="34" t="str">
        <f>IF(R254="IRRIGATED",IF(F254&gt;=SCORES!I$6,1,0),"")</f>
        <v/>
      </c>
    </row>
    <row r="255" spans="20:20" x14ac:dyDescent="0.25">
      <c r="T255" s="34" t="str">
        <f>IF(R255="IRRIGATED",IF(F255&gt;=SCORES!I$6,1,0),"")</f>
        <v/>
      </c>
    </row>
    <row r="256" spans="20:20" x14ac:dyDescent="0.25">
      <c r="T256" s="34" t="str">
        <f>IF(R256="IRRIGATED",IF(F256&gt;=SCORES!I$6,1,0),"")</f>
        <v/>
      </c>
    </row>
    <row r="257" spans="20:20" x14ac:dyDescent="0.25">
      <c r="T257" s="34" t="str">
        <f>IF(R257="IRRIGATED",IF(F257&gt;=SCORES!I$6,1,0),"")</f>
        <v/>
      </c>
    </row>
    <row r="258" spans="20:20" x14ac:dyDescent="0.25">
      <c r="T258" s="34" t="str">
        <f>IF(R258="IRRIGATED",IF(F258&gt;=SCORES!I$6,1,0),"")</f>
        <v/>
      </c>
    </row>
    <row r="259" spans="20:20" x14ac:dyDescent="0.25">
      <c r="T259" s="34" t="str">
        <f>IF(R259="IRRIGATED",IF(F259&gt;=SCORES!I$6,1,0),"")</f>
        <v/>
      </c>
    </row>
    <row r="260" spans="20:20" x14ac:dyDescent="0.25">
      <c r="T260" s="34" t="str">
        <f>IF(R260="IRRIGATED",IF(F260&gt;=SCORES!I$6,1,0),"")</f>
        <v/>
      </c>
    </row>
    <row r="261" spans="20:20" x14ac:dyDescent="0.25">
      <c r="T261" s="34" t="str">
        <f>IF(R261="IRRIGATED",IF(F261&gt;=SCORES!I$6,1,0),"")</f>
        <v/>
      </c>
    </row>
    <row r="262" spans="20:20" x14ac:dyDescent="0.25">
      <c r="T262" s="34" t="str">
        <f>IF(R262="IRRIGATED",IF(F262&gt;=SCORES!I$6,1,0),"")</f>
        <v/>
      </c>
    </row>
    <row r="263" spans="20:20" x14ac:dyDescent="0.25">
      <c r="T263" s="34" t="str">
        <f>IF(R263="IRRIGATED",IF(F263&gt;=SCORES!I$6,1,0),"")</f>
        <v/>
      </c>
    </row>
    <row r="264" spans="20:20" x14ac:dyDescent="0.25">
      <c r="T264" s="34" t="str">
        <f>IF(R264="IRRIGATED",IF(F264&gt;=SCORES!I$6,1,0),"")</f>
        <v/>
      </c>
    </row>
    <row r="265" spans="20:20" x14ac:dyDescent="0.25">
      <c r="T265" s="34" t="str">
        <f>IF(R265="IRRIGATED",IF(F265&gt;=SCORES!I$6,1,0),"")</f>
        <v/>
      </c>
    </row>
    <row r="266" spans="20:20" x14ac:dyDescent="0.25">
      <c r="T266" s="34" t="str">
        <f>IF(R266="IRRIGATED",IF(F266&gt;=SCORES!I$6,1,0),"")</f>
        <v/>
      </c>
    </row>
    <row r="267" spans="20:20" x14ac:dyDescent="0.25">
      <c r="T267" s="34" t="str">
        <f>IF(R267="IRRIGATED",IF(F267&gt;=SCORES!I$6,1,0),"")</f>
        <v/>
      </c>
    </row>
    <row r="268" spans="20:20" x14ac:dyDescent="0.25">
      <c r="T268" s="34" t="str">
        <f>IF(R268="IRRIGATED",IF(F268&gt;=SCORES!I$6,1,0),"")</f>
        <v/>
      </c>
    </row>
    <row r="269" spans="20:20" x14ac:dyDescent="0.25">
      <c r="T269" s="34" t="str">
        <f>IF(R269="IRRIGATED",IF(F269&gt;=SCORES!I$6,1,0),"")</f>
        <v/>
      </c>
    </row>
    <row r="270" spans="20:20" x14ac:dyDescent="0.25">
      <c r="T270" s="34" t="str">
        <f>IF(R270="IRRIGATED",IF(F270&gt;=SCORES!I$6,1,0),"")</f>
        <v/>
      </c>
    </row>
    <row r="271" spans="20:20" x14ac:dyDescent="0.25">
      <c r="T271" s="34" t="str">
        <f>IF(R271="IRRIGATED",IF(F271&gt;=SCORES!I$6,1,0),"")</f>
        <v/>
      </c>
    </row>
    <row r="272" spans="20:20" x14ac:dyDescent="0.25">
      <c r="T272" s="34" t="str">
        <f>IF(R272="IRRIGATED",IF(F272&gt;=SCORES!I$6,1,0),"")</f>
        <v/>
      </c>
    </row>
    <row r="273" spans="20:20" x14ac:dyDescent="0.25">
      <c r="T273" s="34" t="str">
        <f>IF(R273="IRRIGATED",IF(F273&gt;=SCORES!I$6,1,0),"")</f>
        <v/>
      </c>
    </row>
    <row r="274" spans="20:20" x14ac:dyDescent="0.25">
      <c r="T274" s="34" t="str">
        <f>IF(R274="IRRIGATED",IF(F274&gt;=SCORES!I$6,1,0),"")</f>
        <v/>
      </c>
    </row>
    <row r="275" spans="20:20" x14ac:dyDescent="0.25">
      <c r="T275" s="34" t="str">
        <f>IF(R275="IRRIGATED",IF(F275&gt;=SCORES!I$6,1,0),"")</f>
        <v/>
      </c>
    </row>
    <row r="276" spans="20:20" x14ac:dyDescent="0.25">
      <c r="T276" s="34" t="str">
        <f>IF(R276="IRRIGATED",IF(F276&gt;=SCORES!I$6,1,0),"")</f>
        <v/>
      </c>
    </row>
    <row r="277" spans="20:20" x14ac:dyDescent="0.25">
      <c r="T277" s="34" t="str">
        <f>IF(R277="IRRIGATED",IF(F277&gt;=SCORES!I$6,1,0),"")</f>
        <v/>
      </c>
    </row>
    <row r="278" spans="20:20" x14ac:dyDescent="0.25">
      <c r="T278" s="34" t="str">
        <f>IF(R278="IRRIGATED",IF(F278&gt;=SCORES!I$6,1,0),"")</f>
        <v/>
      </c>
    </row>
    <row r="279" spans="20:20" x14ac:dyDescent="0.25">
      <c r="T279" s="34" t="str">
        <f>IF(R279="IRRIGATED",IF(F279&gt;=SCORES!I$6,1,0),"")</f>
        <v/>
      </c>
    </row>
    <row r="280" spans="20:20" x14ac:dyDescent="0.25">
      <c r="T280" s="34" t="str">
        <f>IF(R280="IRRIGATED",IF(F280&gt;=SCORES!I$6,1,0),"")</f>
        <v/>
      </c>
    </row>
    <row r="281" spans="20:20" x14ac:dyDescent="0.25">
      <c r="T281" s="34" t="str">
        <f>IF(R281="IRRIGATED",IF(F281&gt;=SCORES!I$6,1,0),"")</f>
        <v/>
      </c>
    </row>
    <row r="282" spans="20:20" x14ac:dyDescent="0.25">
      <c r="T282" s="34" t="str">
        <f>IF(R282="IRRIGATED",IF(F282&gt;=SCORES!I$6,1,0),"")</f>
        <v/>
      </c>
    </row>
    <row r="283" spans="20:20" x14ac:dyDescent="0.25">
      <c r="T283" s="34" t="str">
        <f>IF(R283="IRRIGATED",IF(F283&gt;=SCORES!I$6,1,0),"")</f>
        <v/>
      </c>
    </row>
    <row r="284" spans="20:20" x14ac:dyDescent="0.25">
      <c r="T284" s="34" t="str">
        <f>IF(R284="IRRIGATED",IF(F284&gt;=SCORES!I$6,1,0),"")</f>
        <v/>
      </c>
    </row>
    <row r="285" spans="20:20" x14ac:dyDescent="0.25">
      <c r="T285" s="34" t="str">
        <f>IF(R285="IRRIGATED",IF(F285&gt;=SCORES!I$6,1,0),"")</f>
        <v/>
      </c>
    </row>
    <row r="286" spans="20:20" x14ac:dyDescent="0.25">
      <c r="T286" s="34" t="str">
        <f>IF(R286="IRRIGATED",IF(F286&gt;=SCORES!I$6,1,0),"")</f>
        <v/>
      </c>
    </row>
    <row r="287" spans="20:20" x14ac:dyDescent="0.25">
      <c r="T287" s="34" t="str">
        <f>IF(R287="IRRIGATED",IF(F287&gt;=SCORES!I$6,1,0),"")</f>
        <v/>
      </c>
    </row>
    <row r="288" spans="20:20" x14ac:dyDescent="0.25">
      <c r="T288" s="34" t="str">
        <f>IF(R288="IRRIGATED",IF(F288&gt;=SCORES!I$6,1,0),"")</f>
        <v/>
      </c>
    </row>
    <row r="289" spans="20:20" x14ac:dyDescent="0.25">
      <c r="T289" s="34" t="str">
        <f>IF(R289="IRRIGATED",IF(F289&gt;=SCORES!I$6,1,0),"")</f>
        <v/>
      </c>
    </row>
    <row r="290" spans="20:20" x14ac:dyDescent="0.25">
      <c r="T290" s="34" t="str">
        <f>IF(R290="IRRIGATED",IF(F290&gt;=SCORES!I$6,1,0),"")</f>
        <v/>
      </c>
    </row>
    <row r="291" spans="20:20" x14ac:dyDescent="0.25">
      <c r="T291" s="34" t="str">
        <f>IF(R291="IRRIGATED",IF(F291&gt;=SCORES!I$6,1,0),"")</f>
        <v/>
      </c>
    </row>
    <row r="292" spans="20:20" x14ac:dyDescent="0.25">
      <c r="T292" s="34" t="str">
        <f>IF(R292="IRRIGATED",IF(F292&gt;=SCORES!I$6,1,0),"")</f>
        <v/>
      </c>
    </row>
    <row r="293" spans="20:20" x14ac:dyDescent="0.25">
      <c r="T293" s="34" t="str">
        <f>IF(R293="IRRIGATED",IF(F293&gt;=SCORES!I$6,1,0),"")</f>
        <v/>
      </c>
    </row>
    <row r="294" spans="20:20" x14ac:dyDescent="0.25">
      <c r="T294" s="34" t="str">
        <f>IF(R294="IRRIGATED",IF(F294&gt;=SCORES!I$6,1,0),"")</f>
        <v/>
      </c>
    </row>
    <row r="295" spans="20:20" x14ac:dyDescent="0.25">
      <c r="T295" s="34" t="str">
        <f>IF(R295="IRRIGATED",IF(F295&gt;=SCORES!I$6,1,0),"")</f>
        <v/>
      </c>
    </row>
    <row r="296" spans="20:20" x14ac:dyDescent="0.25">
      <c r="T296" s="34" t="str">
        <f>IF(R296="IRRIGATED",IF(F296&gt;=SCORES!I$6,1,0),"")</f>
        <v/>
      </c>
    </row>
    <row r="297" spans="20:20" x14ac:dyDescent="0.25">
      <c r="T297" s="34" t="str">
        <f>IF(R297="IRRIGATED",IF(F297&gt;=SCORES!I$6,1,0),"")</f>
        <v/>
      </c>
    </row>
    <row r="298" spans="20:20" x14ac:dyDescent="0.25">
      <c r="T298" s="34" t="str">
        <f>IF(R298="IRRIGATED",IF(F298&gt;=SCORES!I$6,1,0),"")</f>
        <v/>
      </c>
    </row>
    <row r="299" spans="20:20" x14ac:dyDescent="0.25">
      <c r="T299" s="34" t="str">
        <f>IF(R299="IRRIGATED",IF(F299&gt;=SCORES!I$6,1,0),"")</f>
        <v/>
      </c>
    </row>
    <row r="300" spans="20:20" x14ac:dyDescent="0.25">
      <c r="T300" s="34" t="str">
        <f>IF(R300="IRRIGATED",IF(F300&gt;=SCORES!I$6,1,0),"")</f>
        <v/>
      </c>
    </row>
    <row r="301" spans="20:20" x14ac:dyDescent="0.25">
      <c r="T301" s="34" t="str">
        <f>IF(R301="IRRIGATED",IF(F301&gt;=SCORES!I$6,1,0),"")</f>
        <v/>
      </c>
    </row>
    <row r="302" spans="20:20" x14ac:dyDescent="0.25">
      <c r="T302" s="34" t="str">
        <f>IF(R302="IRRIGATED",IF(F302&gt;=SCORES!I$6,1,0),"")</f>
        <v/>
      </c>
    </row>
    <row r="303" spans="20:20" x14ac:dyDescent="0.25">
      <c r="T303" s="34" t="str">
        <f>IF(R303="IRRIGATED",IF(F303&gt;=SCORES!I$6,1,0),"")</f>
        <v/>
      </c>
    </row>
    <row r="304" spans="20:20" x14ac:dyDescent="0.25">
      <c r="T304" s="34" t="str">
        <f>IF(R304="IRRIGATED",IF(F304&gt;=SCORES!I$6,1,0),"")</f>
        <v/>
      </c>
    </row>
    <row r="305" spans="20:20" x14ac:dyDescent="0.25">
      <c r="T305" s="34" t="str">
        <f>IF(R305="IRRIGATED",IF(F305&gt;=SCORES!I$6,1,0),"")</f>
        <v/>
      </c>
    </row>
    <row r="306" spans="20:20" x14ac:dyDescent="0.25">
      <c r="T306" s="34" t="str">
        <f>IF(R306="IRRIGATED",IF(F306&gt;=SCORES!I$6,1,0),"")</f>
        <v/>
      </c>
    </row>
    <row r="307" spans="20:20" x14ac:dyDescent="0.25">
      <c r="T307" s="34" t="str">
        <f>IF(R307="IRRIGATED",IF(F307&gt;=SCORES!I$6,1,0),"")</f>
        <v/>
      </c>
    </row>
    <row r="308" spans="20:20" x14ac:dyDescent="0.25">
      <c r="T308" s="34" t="str">
        <f>IF(R308="IRRIGATED",IF(F308&gt;=SCORES!I$6,1,0),"")</f>
        <v/>
      </c>
    </row>
    <row r="309" spans="20:20" x14ac:dyDescent="0.25">
      <c r="T309" s="34" t="str">
        <f>IF(R309="IRRIGATED",IF(F309&gt;=SCORES!I$6,1,0),"")</f>
        <v/>
      </c>
    </row>
    <row r="310" spans="20:20" x14ac:dyDescent="0.25">
      <c r="T310" s="34" t="str">
        <f>IF(R310="IRRIGATED",IF(F310&gt;=SCORES!I$6,1,0),"")</f>
        <v/>
      </c>
    </row>
    <row r="311" spans="20:20" x14ac:dyDescent="0.25">
      <c r="T311" s="34" t="str">
        <f>IF(R311="IRRIGATED",IF(F311&gt;=SCORES!I$6,1,0),"")</f>
        <v/>
      </c>
    </row>
    <row r="312" spans="20:20" x14ac:dyDescent="0.25">
      <c r="T312" s="34" t="str">
        <f>IF(R312="IRRIGATED",IF(F312&gt;=SCORES!I$6,1,0),"")</f>
        <v/>
      </c>
    </row>
    <row r="313" spans="20:20" x14ac:dyDescent="0.25">
      <c r="T313" s="34" t="str">
        <f>IF(R313="IRRIGATED",IF(F313&gt;=SCORES!I$6,1,0),"")</f>
        <v/>
      </c>
    </row>
    <row r="314" spans="20:20" x14ac:dyDescent="0.25">
      <c r="T314" s="34" t="str">
        <f>IF(R314="IRRIGATED",IF(F314&gt;=SCORES!I$6,1,0),"")</f>
        <v/>
      </c>
    </row>
    <row r="315" spans="20:20" x14ac:dyDescent="0.25">
      <c r="T315" s="34" t="str">
        <f>IF(R315="IRRIGATED",IF(F315&gt;=SCORES!I$6,1,0),"")</f>
        <v/>
      </c>
    </row>
    <row r="316" spans="20:20" x14ac:dyDescent="0.25">
      <c r="T316" s="34" t="str">
        <f>IF(R316="IRRIGATED",IF(F316&gt;=SCORES!I$6,1,0),"")</f>
        <v/>
      </c>
    </row>
    <row r="317" spans="20:20" x14ac:dyDescent="0.25">
      <c r="T317" s="34" t="str">
        <f>IF(R317="IRRIGATED",IF(F317&gt;=SCORES!I$6,1,0),"")</f>
        <v/>
      </c>
    </row>
    <row r="318" spans="20:20" x14ac:dyDescent="0.25">
      <c r="T318" s="34" t="str">
        <f>IF(R318="IRRIGATED",IF(F318&gt;=SCORES!I$6,1,0),"")</f>
        <v/>
      </c>
    </row>
    <row r="319" spans="20:20" x14ac:dyDescent="0.25">
      <c r="T319" s="34" t="str">
        <f>IF(R319="IRRIGATED",IF(F319&gt;=SCORES!I$6,1,0),"")</f>
        <v/>
      </c>
    </row>
    <row r="320" spans="20:20" x14ac:dyDescent="0.25">
      <c r="T320" s="34" t="str">
        <f>IF(R320="IRRIGATED",IF(F320&gt;=SCORES!I$6,1,0),"")</f>
        <v/>
      </c>
    </row>
    <row r="321" spans="20:20" x14ac:dyDescent="0.25">
      <c r="T321" s="34" t="str">
        <f>IF(R321="IRRIGATED",IF(F321&gt;=SCORES!I$6,1,0),"")</f>
        <v/>
      </c>
    </row>
    <row r="322" spans="20:20" x14ac:dyDescent="0.25">
      <c r="T322" s="34" t="str">
        <f>IF(R322="IRRIGATED",IF(F322&gt;=SCORES!I$6,1,0),"")</f>
        <v/>
      </c>
    </row>
    <row r="323" spans="20:20" x14ac:dyDescent="0.25">
      <c r="T323" s="34" t="str">
        <f>IF(R323="IRRIGATED",IF(F323&gt;=SCORES!I$6,1,0),"")</f>
        <v/>
      </c>
    </row>
    <row r="324" spans="20:20" x14ac:dyDescent="0.25">
      <c r="T324" s="34" t="str">
        <f>IF(R324="IRRIGATED",IF(F324&gt;=SCORES!I$6,1,0),"")</f>
        <v/>
      </c>
    </row>
    <row r="325" spans="20:20" x14ac:dyDescent="0.25">
      <c r="T325" s="34" t="str">
        <f>IF(R325="IRRIGATED",IF(F325&gt;=SCORES!I$6,1,0),"")</f>
        <v/>
      </c>
    </row>
    <row r="326" spans="20:20" x14ac:dyDescent="0.25">
      <c r="T326" s="34" t="str">
        <f>IF(R326="IRRIGATED",IF(F326&gt;=SCORES!I$6,1,0),"")</f>
        <v/>
      </c>
    </row>
    <row r="327" spans="20:20" x14ac:dyDescent="0.25">
      <c r="T327" s="34" t="str">
        <f>IF(R327="IRRIGATED",IF(F327&gt;=SCORES!I$6,1,0),"")</f>
        <v/>
      </c>
    </row>
    <row r="328" spans="20:20" x14ac:dyDescent="0.25">
      <c r="T328" s="34" t="str">
        <f>IF(R328="IRRIGATED",IF(F328&gt;=SCORES!I$6,1,0),"")</f>
        <v/>
      </c>
    </row>
    <row r="329" spans="20:20" x14ac:dyDescent="0.25">
      <c r="T329" s="34" t="str">
        <f>IF(R329="IRRIGATED",IF(F329&gt;=SCORES!I$6,1,0),"")</f>
        <v/>
      </c>
    </row>
    <row r="330" spans="20:20" x14ac:dyDescent="0.25">
      <c r="T330" s="34" t="str">
        <f>IF(R330="IRRIGATED",IF(F330&gt;=SCORES!I$6,1,0),"")</f>
        <v/>
      </c>
    </row>
    <row r="331" spans="20:20" x14ac:dyDescent="0.25">
      <c r="T331" s="34" t="str">
        <f>IF(R331="IRRIGATED",IF(F331&gt;=SCORES!I$6,1,0),"")</f>
        <v/>
      </c>
    </row>
    <row r="332" spans="20:20" x14ac:dyDescent="0.25">
      <c r="T332" s="34" t="str">
        <f>IF(R332="IRRIGATED",IF(F332&gt;=SCORES!I$6,1,0),"")</f>
        <v/>
      </c>
    </row>
    <row r="333" spans="20:20" x14ac:dyDescent="0.25">
      <c r="T333" s="34" t="str">
        <f>IF(R333="IRRIGATED",IF(F333&gt;=SCORES!I$6,1,0),"")</f>
        <v/>
      </c>
    </row>
    <row r="334" spans="20:20" x14ac:dyDescent="0.25">
      <c r="T334" s="34" t="str">
        <f>IF(R334="IRRIGATED",IF(F334&gt;=SCORES!I$6,1,0),"")</f>
        <v/>
      </c>
    </row>
    <row r="335" spans="20:20" x14ac:dyDescent="0.25">
      <c r="T335" s="34" t="str">
        <f>IF(R335="IRRIGATED",IF(F335&gt;=SCORES!I$6,1,0),"")</f>
        <v/>
      </c>
    </row>
    <row r="336" spans="20:20" x14ac:dyDescent="0.25">
      <c r="T336" s="34" t="str">
        <f>IF(R336="IRRIGATED",IF(F336&gt;=SCORES!I$6,1,0),"")</f>
        <v/>
      </c>
    </row>
    <row r="337" spans="20:20" x14ac:dyDescent="0.25">
      <c r="T337" s="34" t="str">
        <f>IF(R337="IRRIGATED",IF(F337&gt;=SCORES!I$6,1,0),"")</f>
        <v/>
      </c>
    </row>
    <row r="338" spans="20:20" x14ac:dyDescent="0.25">
      <c r="T338" s="34" t="str">
        <f>IF(R338="IRRIGATED",IF(F338&gt;=SCORES!I$6,1,0),"")</f>
        <v/>
      </c>
    </row>
    <row r="339" spans="20:20" x14ac:dyDescent="0.25">
      <c r="T339" s="34" t="str">
        <f>IF(R339="IRRIGATED",IF(F339&gt;=SCORES!I$6,1,0),"")</f>
        <v/>
      </c>
    </row>
    <row r="340" spans="20:20" x14ac:dyDescent="0.25">
      <c r="T340" s="34" t="str">
        <f>IF(R340="IRRIGATED",IF(F340&gt;=SCORES!I$6,1,0),"")</f>
        <v/>
      </c>
    </row>
    <row r="341" spans="20:20" x14ac:dyDescent="0.25">
      <c r="T341" s="34" t="str">
        <f>IF(R341="IRRIGATED",IF(F341&gt;=SCORES!I$6,1,0),"")</f>
        <v/>
      </c>
    </row>
    <row r="342" spans="20:20" x14ac:dyDescent="0.25">
      <c r="T342" s="34" t="str">
        <f>IF(R342="IRRIGATED",IF(F342&gt;=SCORES!I$6,1,0),"")</f>
        <v/>
      </c>
    </row>
    <row r="343" spans="20:20" x14ac:dyDescent="0.25">
      <c r="T343" s="34" t="str">
        <f>IF(R343="IRRIGATED",IF(F343&gt;=SCORES!I$6,1,0),"")</f>
        <v/>
      </c>
    </row>
    <row r="344" spans="20:20" x14ac:dyDescent="0.25">
      <c r="T344" s="34" t="str">
        <f>IF(R344="IRRIGATED",IF(F344&gt;=SCORES!I$6,1,0),"")</f>
        <v/>
      </c>
    </row>
    <row r="345" spans="20:20" x14ac:dyDescent="0.25">
      <c r="T345" s="34" t="str">
        <f>IF(R345="IRRIGATED",IF(F345&gt;=SCORES!I$6,1,0),"")</f>
        <v/>
      </c>
    </row>
    <row r="346" spans="20:20" x14ac:dyDescent="0.25">
      <c r="T346" s="34" t="str">
        <f>IF(R346="IRRIGATED",IF(F346&gt;=SCORES!I$6,1,0),"")</f>
        <v/>
      </c>
    </row>
    <row r="347" spans="20:20" x14ac:dyDescent="0.25">
      <c r="T347" s="34" t="str">
        <f>IF(R347="IRRIGATED",IF(F347&gt;=SCORES!I$6,1,0),"")</f>
        <v/>
      </c>
    </row>
    <row r="348" spans="20:20" x14ac:dyDescent="0.25">
      <c r="T348" s="34" t="str">
        <f>IF(R348="IRRIGATED",IF(F348&gt;=SCORES!I$6,1,0),"")</f>
        <v/>
      </c>
    </row>
    <row r="349" spans="20:20" x14ac:dyDescent="0.25">
      <c r="T349" s="34" t="str">
        <f>IF(R349="IRRIGATED",IF(F349&gt;=SCORES!I$6,1,0),"")</f>
        <v/>
      </c>
    </row>
    <row r="350" spans="20:20" x14ac:dyDescent="0.25">
      <c r="T350" s="34" t="str">
        <f>IF(R350="IRRIGATED",IF(F350&gt;=SCORES!I$6,1,0),"")</f>
        <v/>
      </c>
    </row>
    <row r="351" spans="20:20" x14ac:dyDescent="0.25">
      <c r="T351" s="34" t="str">
        <f>IF(R351="IRRIGATED",IF(F351&gt;=SCORES!I$6,1,0),"")</f>
        <v/>
      </c>
    </row>
    <row r="352" spans="20:20" x14ac:dyDescent="0.25">
      <c r="T352" s="34" t="str">
        <f>IF(R352="IRRIGATED",IF(F352&gt;=SCORES!I$6,1,0),"")</f>
        <v/>
      </c>
    </row>
    <row r="353" spans="20:20" x14ac:dyDescent="0.25">
      <c r="T353" s="34" t="str">
        <f>IF(R353="IRRIGATED",IF(F353&gt;=SCORES!I$6,1,0),"")</f>
        <v/>
      </c>
    </row>
    <row r="354" spans="20:20" x14ac:dyDescent="0.25">
      <c r="T354" s="34" t="str">
        <f>IF(R354="IRRIGATED",IF(F354&gt;=SCORES!I$6,1,0),"")</f>
        <v/>
      </c>
    </row>
    <row r="355" spans="20:20" x14ac:dyDescent="0.25">
      <c r="T355" s="34" t="str">
        <f>IF(R355="IRRIGATED",IF(F355&gt;=SCORES!I$6,1,0),"")</f>
        <v/>
      </c>
    </row>
    <row r="356" spans="20:20" x14ac:dyDescent="0.25">
      <c r="T356" s="34" t="str">
        <f>IF(R356="IRRIGATED",IF(F356&gt;=SCORES!I$6,1,0),"")</f>
        <v/>
      </c>
    </row>
    <row r="357" spans="20:20" x14ac:dyDescent="0.25">
      <c r="T357" s="34" t="str">
        <f>IF(R357="IRRIGATED",IF(F357&gt;=SCORES!I$6,1,0),"")</f>
        <v/>
      </c>
    </row>
    <row r="358" spans="20:20" x14ac:dyDescent="0.25">
      <c r="T358" s="34" t="str">
        <f>IF(R358="IRRIGATED",IF(F358&gt;=SCORES!I$6,1,0),"")</f>
        <v/>
      </c>
    </row>
    <row r="359" spans="20:20" x14ac:dyDescent="0.25">
      <c r="T359" s="34" t="str">
        <f>IF(R359="IRRIGATED",IF(F359&gt;=SCORES!I$6,1,0),"")</f>
        <v/>
      </c>
    </row>
    <row r="360" spans="20:20" x14ac:dyDescent="0.25">
      <c r="T360" s="34" t="str">
        <f>IF(R360="IRRIGATED",IF(F360&gt;=SCORES!I$6,1,0),"")</f>
        <v/>
      </c>
    </row>
    <row r="361" spans="20:20" x14ac:dyDescent="0.25">
      <c r="T361" s="34" t="str">
        <f>IF(R361="IRRIGATED",IF(F361&gt;=SCORES!I$6,1,0),"")</f>
        <v/>
      </c>
    </row>
    <row r="362" spans="20:20" x14ac:dyDescent="0.25">
      <c r="T362" s="34" t="str">
        <f>IF(R362="IRRIGATED",IF(F362&gt;=SCORES!I$6,1,0),"")</f>
        <v/>
      </c>
    </row>
    <row r="363" spans="20:20" x14ac:dyDescent="0.25">
      <c r="T363" s="34" t="str">
        <f>IF(R363="IRRIGATED",IF(F363&gt;=SCORES!I$6,1,0),"")</f>
        <v/>
      </c>
    </row>
    <row r="364" spans="20:20" x14ac:dyDescent="0.25">
      <c r="T364" s="34" t="str">
        <f>IF(R364="IRRIGATED",IF(F364&gt;=SCORES!I$6,1,0),"")</f>
        <v/>
      </c>
    </row>
    <row r="365" spans="20:20" x14ac:dyDescent="0.25">
      <c r="T365" s="34" t="str">
        <f>IF(R365="IRRIGATED",IF(F365&gt;=SCORES!I$6,1,0),"")</f>
        <v/>
      </c>
    </row>
    <row r="366" spans="20:20" x14ac:dyDescent="0.25">
      <c r="T366" s="34" t="str">
        <f>IF(R366="IRRIGATED",IF(F366&gt;=SCORES!I$6,1,0),"")</f>
        <v/>
      </c>
    </row>
    <row r="367" spans="20:20" x14ac:dyDescent="0.25">
      <c r="T367" s="34" t="str">
        <f>IF(R367="IRRIGATED",IF(F367&gt;=SCORES!I$6,1,0),"")</f>
        <v/>
      </c>
    </row>
    <row r="368" spans="20:20" x14ac:dyDescent="0.25">
      <c r="T368" s="34" t="str">
        <f>IF(R368="IRRIGATED",IF(F368&gt;=SCORES!I$6,1,0),"")</f>
        <v/>
      </c>
    </row>
    <row r="369" spans="20:20" x14ac:dyDescent="0.25">
      <c r="T369" s="34" t="str">
        <f>IF(R369="IRRIGATED",IF(F369&gt;=SCORES!I$6,1,0),"")</f>
        <v/>
      </c>
    </row>
    <row r="370" spans="20:20" x14ac:dyDescent="0.25">
      <c r="T370" s="34" t="str">
        <f>IF(R370="IRRIGATED",IF(F370&gt;=SCORES!I$6,1,0),"")</f>
        <v/>
      </c>
    </row>
    <row r="371" spans="20:20" x14ac:dyDescent="0.25">
      <c r="T371" s="34" t="str">
        <f>IF(R371="IRRIGATED",IF(F371&gt;=SCORES!I$6,1,0),"")</f>
        <v/>
      </c>
    </row>
    <row r="372" spans="20:20" x14ac:dyDescent="0.25">
      <c r="T372" s="34" t="str">
        <f>IF(R372="IRRIGATED",IF(F372&gt;=SCORES!I$6,1,0),"")</f>
        <v/>
      </c>
    </row>
    <row r="373" spans="20:20" x14ac:dyDescent="0.25">
      <c r="T373" s="34" t="str">
        <f>IF(R373="IRRIGATED",IF(F373&gt;=SCORES!I$6,1,0),"")</f>
        <v/>
      </c>
    </row>
    <row r="374" spans="20:20" x14ac:dyDescent="0.25">
      <c r="T374" s="34" t="str">
        <f>IF(R374="IRRIGATED",IF(F374&gt;=SCORES!I$6,1,0),"")</f>
        <v/>
      </c>
    </row>
    <row r="375" spans="20:20" x14ac:dyDescent="0.25">
      <c r="T375" s="34" t="str">
        <f>IF(R375="IRRIGATED",IF(F375&gt;=SCORES!I$6,1,0),"")</f>
        <v/>
      </c>
    </row>
    <row r="376" spans="20:20" x14ac:dyDescent="0.25">
      <c r="T376" s="34" t="str">
        <f>IF(R376="IRRIGATED",IF(F376&gt;=SCORES!I$6,1,0),"")</f>
        <v/>
      </c>
    </row>
    <row r="377" spans="20:20" x14ac:dyDescent="0.25">
      <c r="T377" s="34" t="str">
        <f>IF(R377="IRRIGATED",IF(F377&gt;=SCORES!I$6,1,0),"")</f>
        <v/>
      </c>
    </row>
    <row r="378" spans="20:20" x14ac:dyDescent="0.25">
      <c r="T378" s="34" t="str">
        <f>IF(R378="IRRIGATED",IF(F378&gt;=SCORES!I$6,1,0),"")</f>
        <v/>
      </c>
    </row>
    <row r="379" spans="20:20" x14ac:dyDescent="0.25">
      <c r="T379" s="34" t="str">
        <f>IF(R379="IRRIGATED",IF(F379&gt;=SCORES!I$6,1,0),"")</f>
        <v/>
      </c>
    </row>
    <row r="380" spans="20:20" x14ac:dyDescent="0.25">
      <c r="T380" s="34" t="str">
        <f>IF(R380="IRRIGATED",IF(F380&gt;=SCORES!I$6,1,0),"")</f>
        <v/>
      </c>
    </row>
    <row r="381" spans="20:20" x14ac:dyDescent="0.25">
      <c r="T381" s="34" t="str">
        <f>IF(R381="IRRIGATED",IF(F381&gt;=SCORES!I$6,1,0),"")</f>
        <v/>
      </c>
    </row>
    <row r="382" spans="20:20" x14ac:dyDescent="0.25">
      <c r="T382" s="34" t="str">
        <f>IF(R382="IRRIGATED",IF(F382&gt;=SCORES!I$6,1,0),"")</f>
        <v/>
      </c>
    </row>
    <row r="383" spans="20:20" x14ac:dyDescent="0.25">
      <c r="T383" s="34" t="str">
        <f>IF(R383="IRRIGATED",IF(F383&gt;=SCORES!I$6,1,0),"")</f>
        <v/>
      </c>
    </row>
    <row r="384" spans="20:20" x14ac:dyDescent="0.25">
      <c r="T384" s="34" t="str">
        <f>IF(R384="IRRIGATED",IF(F384&gt;=SCORES!I$6,1,0),"")</f>
        <v/>
      </c>
    </row>
    <row r="385" spans="20:20" x14ac:dyDescent="0.25">
      <c r="T385" s="34" t="str">
        <f>IF(R385="IRRIGATED",IF(F385&gt;=SCORES!I$6,1,0),"")</f>
        <v/>
      </c>
    </row>
    <row r="386" spans="20:20" x14ac:dyDescent="0.25">
      <c r="T386" s="34" t="str">
        <f>IF(R386="IRRIGATED",IF(F386&gt;=SCORES!I$6,1,0),"")</f>
        <v/>
      </c>
    </row>
    <row r="387" spans="20:20" x14ac:dyDescent="0.25">
      <c r="T387" s="34" t="str">
        <f>IF(R387="IRRIGATED",IF(F387&gt;=SCORES!I$6,1,0),"")</f>
        <v/>
      </c>
    </row>
    <row r="388" spans="20:20" x14ac:dyDescent="0.25">
      <c r="T388" s="34" t="str">
        <f>IF(R388="IRRIGATED",IF(F388&gt;=SCORES!I$6,1,0),"")</f>
        <v/>
      </c>
    </row>
    <row r="389" spans="20:20" x14ac:dyDescent="0.25">
      <c r="T389" s="34" t="str">
        <f>IF(R389="IRRIGATED",IF(F389&gt;=SCORES!I$6,1,0),"")</f>
        <v/>
      </c>
    </row>
    <row r="390" spans="20:20" x14ac:dyDescent="0.25">
      <c r="T390" s="34" t="str">
        <f>IF(R390="IRRIGATED",IF(F390&gt;=SCORES!I$6,1,0),"")</f>
        <v/>
      </c>
    </row>
    <row r="391" spans="20:20" x14ac:dyDescent="0.25">
      <c r="T391" s="34" t="str">
        <f>IF(R391="IRRIGATED",IF(F391&gt;=SCORES!I$6,1,0),"")</f>
        <v/>
      </c>
    </row>
    <row r="392" spans="20:20" x14ac:dyDescent="0.25">
      <c r="T392" s="34" t="str">
        <f>IF(R392="IRRIGATED",IF(F392&gt;=SCORES!I$6,1,0),"")</f>
        <v/>
      </c>
    </row>
    <row r="393" spans="20:20" x14ac:dyDescent="0.25">
      <c r="T393" s="34" t="str">
        <f>IF(R393="IRRIGATED",IF(F393&gt;=SCORES!I$6,1,0),"")</f>
        <v/>
      </c>
    </row>
    <row r="394" spans="20:20" x14ac:dyDescent="0.25">
      <c r="T394" s="34" t="str">
        <f>IF(R394="IRRIGATED",IF(F394&gt;=SCORES!I$6,1,0),"")</f>
        <v/>
      </c>
    </row>
    <row r="395" spans="20:20" x14ac:dyDescent="0.25">
      <c r="T395" s="34" t="str">
        <f>IF(R395="IRRIGATED",IF(F395&gt;=SCORES!I$6,1,0),"")</f>
        <v/>
      </c>
    </row>
    <row r="396" spans="20:20" x14ac:dyDescent="0.25">
      <c r="T396" s="34" t="str">
        <f>IF(R396="IRRIGATED",IF(F396&gt;=SCORES!I$6,1,0),"")</f>
        <v/>
      </c>
    </row>
    <row r="397" spans="20:20" x14ac:dyDescent="0.25">
      <c r="T397" s="34" t="str">
        <f>IF(R397="IRRIGATED",IF(F397&gt;=SCORES!I$6,1,0),"")</f>
        <v/>
      </c>
    </row>
    <row r="398" spans="20:20" x14ac:dyDescent="0.25">
      <c r="T398" s="34" t="str">
        <f>IF(R398="IRRIGATED",IF(F398&gt;=SCORES!I$6,1,0),"")</f>
        <v/>
      </c>
    </row>
    <row r="399" spans="20:20" x14ac:dyDescent="0.25">
      <c r="T399" s="34" t="str">
        <f>IF(R399="IRRIGATED",IF(F399&gt;=SCORES!I$6,1,0),"")</f>
        <v/>
      </c>
    </row>
    <row r="400" spans="20:20" x14ac:dyDescent="0.25">
      <c r="T400" s="34" t="str">
        <f>IF(R400="IRRIGATED",IF(F400&gt;=SCORES!I$6,1,0),"")</f>
        <v/>
      </c>
    </row>
    <row r="401" spans="20:20" x14ac:dyDescent="0.25">
      <c r="T401" s="34" t="str">
        <f>IF(R401="IRRIGATED",IF(F401&gt;=SCORES!I$6,1,0),"")</f>
        <v/>
      </c>
    </row>
    <row r="402" spans="20:20" x14ac:dyDescent="0.25">
      <c r="T402" s="34" t="str">
        <f>IF(R402="IRRIGATED",IF(F402&gt;=SCORES!I$6,1,0),"")</f>
        <v/>
      </c>
    </row>
    <row r="403" spans="20:20" x14ac:dyDescent="0.25">
      <c r="T403" s="34" t="str">
        <f>IF(R403="IRRIGATED",IF(F403&gt;=SCORES!I$6,1,0),"")</f>
        <v/>
      </c>
    </row>
    <row r="404" spans="20:20" x14ac:dyDescent="0.25">
      <c r="T404" s="34" t="str">
        <f>IF(R404="IRRIGATED",IF(F404&gt;=SCORES!I$6,1,0),"")</f>
        <v/>
      </c>
    </row>
    <row r="405" spans="20:20" x14ac:dyDescent="0.25">
      <c r="T405" s="34" t="str">
        <f>IF(R405="IRRIGATED",IF(F405&gt;=SCORES!I$6,1,0),"")</f>
        <v/>
      </c>
    </row>
    <row r="406" spans="20:20" x14ac:dyDescent="0.25">
      <c r="T406" s="34" t="str">
        <f>IF(R406="IRRIGATED",IF(F406&gt;=SCORES!I$6,1,0),"")</f>
        <v/>
      </c>
    </row>
    <row r="407" spans="20:20" x14ac:dyDescent="0.25">
      <c r="T407" s="34" t="str">
        <f>IF(R407="IRRIGATED",IF(F407&gt;=SCORES!I$6,1,0),"")</f>
        <v/>
      </c>
    </row>
    <row r="408" spans="20:20" x14ac:dyDescent="0.25">
      <c r="T408" s="34" t="str">
        <f>IF(R408="IRRIGATED",IF(F408&gt;=SCORES!I$6,1,0),"")</f>
        <v/>
      </c>
    </row>
    <row r="409" spans="20:20" x14ac:dyDescent="0.25">
      <c r="T409" s="34" t="str">
        <f>IF(R409="IRRIGATED",IF(F409&gt;=SCORES!I$6,1,0),"")</f>
        <v/>
      </c>
    </row>
    <row r="410" spans="20:20" x14ac:dyDescent="0.25">
      <c r="T410" s="34" t="str">
        <f>IF(R410="IRRIGATED",IF(F410&gt;=SCORES!I$6,1,0),"")</f>
        <v/>
      </c>
    </row>
    <row r="411" spans="20:20" x14ac:dyDescent="0.25">
      <c r="T411" s="34" t="str">
        <f>IF(R411="IRRIGATED",IF(F411&gt;=SCORES!I$6,1,0),"")</f>
        <v/>
      </c>
    </row>
    <row r="412" spans="20:20" x14ac:dyDescent="0.25">
      <c r="T412" s="34" t="str">
        <f>IF(R412="IRRIGATED",IF(F412&gt;=SCORES!I$6,1,0),"")</f>
        <v/>
      </c>
    </row>
    <row r="413" spans="20:20" x14ac:dyDescent="0.25">
      <c r="T413" s="34" t="str">
        <f>IF(R413="IRRIGATED",IF(F413&gt;=SCORES!I$6,1,0),"")</f>
        <v/>
      </c>
    </row>
    <row r="414" spans="20:20" x14ac:dyDescent="0.25">
      <c r="T414" s="34" t="str">
        <f>IF(R414="IRRIGATED",IF(F414&gt;=SCORES!I$6,1,0),"")</f>
        <v/>
      </c>
    </row>
    <row r="415" spans="20:20" x14ac:dyDescent="0.25">
      <c r="T415" s="34" t="str">
        <f>IF(R415="IRRIGATED",IF(F415&gt;=SCORES!I$6,1,0),"")</f>
        <v/>
      </c>
    </row>
    <row r="416" spans="20:20" x14ac:dyDescent="0.25">
      <c r="T416" s="34" t="str">
        <f>IF(R416="IRRIGATED",IF(F416&gt;=SCORES!I$6,1,0),"")</f>
        <v/>
      </c>
    </row>
    <row r="417" spans="20:20" x14ac:dyDescent="0.25">
      <c r="T417" s="34" t="str">
        <f>IF(R417="IRRIGATED",IF(F417&gt;=SCORES!I$6,1,0),"")</f>
        <v/>
      </c>
    </row>
    <row r="418" spans="20:20" x14ac:dyDescent="0.25">
      <c r="T418" s="34" t="str">
        <f>IF(R418="IRRIGATED",IF(F418&gt;=SCORES!I$6,1,0),"")</f>
        <v/>
      </c>
    </row>
    <row r="419" spans="20:20" x14ac:dyDescent="0.25">
      <c r="T419" s="34" t="str">
        <f>IF(R419="IRRIGATED",IF(F419&gt;=SCORES!I$6,1,0),"")</f>
        <v/>
      </c>
    </row>
    <row r="420" spans="20:20" x14ac:dyDescent="0.25">
      <c r="T420" s="34" t="str">
        <f>IF(R420="IRRIGATED",IF(F420&gt;=SCORES!I$6,1,0),"")</f>
        <v/>
      </c>
    </row>
    <row r="421" spans="20:20" x14ac:dyDescent="0.25">
      <c r="T421" s="34" t="str">
        <f>IF(R421="IRRIGATED",IF(F421&gt;=SCORES!I$6,1,0),"")</f>
        <v/>
      </c>
    </row>
    <row r="422" spans="20:20" x14ac:dyDescent="0.25">
      <c r="T422" s="34" t="str">
        <f>IF(R422="IRRIGATED",IF(F422&gt;=SCORES!I$6,1,0),"")</f>
        <v/>
      </c>
    </row>
    <row r="423" spans="20:20" x14ac:dyDescent="0.25">
      <c r="T423" s="34" t="str">
        <f>IF(R423="IRRIGATED",IF(F423&gt;=SCORES!I$6,1,0),"")</f>
        <v/>
      </c>
    </row>
    <row r="424" spans="20:20" x14ac:dyDescent="0.25">
      <c r="T424" s="34" t="str">
        <f>IF(R424="IRRIGATED",IF(F424&gt;=SCORES!I$6,1,0),"")</f>
        <v/>
      </c>
    </row>
    <row r="425" spans="20:20" x14ac:dyDescent="0.25">
      <c r="T425" s="34" t="str">
        <f>IF(R425="IRRIGATED",IF(F425&gt;=SCORES!I$6,1,0),"")</f>
        <v/>
      </c>
    </row>
    <row r="426" spans="20:20" x14ac:dyDescent="0.25">
      <c r="T426" s="34" t="str">
        <f>IF(R426="IRRIGATED",IF(F426&gt;=SCORES!I$6,1,0),"")</f>
        <v/>
      </c>
    </row>
    <row r="427" spans="20:20" x14ac:dyDescent="0.25">
      <c r="T427" s="34" t="str">
        <f>IF(R427="IRRIGATED",IF(F427&gt;=SCORES!I$6,1,0),"")</f>
        <v/>
      </c>
    </row>
    <row r="428" spans="20:20" x14ac:dyDescent="0.25">
      <c r="T428" s="34" t="str">
        <f>IF(R428="IRRIGATED",IF(F428&gt;=SCORES!I$6,1,0),"")</f>
        <v/>
      </c>
    </row>
    <row r="429" spans="20:20" x14ac:dyDescent="0.25">
      <c r="T429" s="34" t="str">
        <f>IF(R429="IRRIGATED",IF(F429&gt;=SCORES!I$6,1,0),"")</f>
        <v/>
      </c>
    </row>
    <row r="430" spans="20:20" x14ac:dyDescent="0.25">
      <c r="T430" s="34" t="str">
        <f>IF(R430="IRRIGATED",IF(F430&gt;=SCORES!I$6,1,0),"")</f>
        <v/>
      </c>
    </row>
    <row r="431" spans="20:20" x14ac:dyDescent="0.25">
      <c r="T431" s="34" t="str">
        <f>IF(R431="IRRIGATED",IF(F431&gt;=SCORES!I$6,1,0),"")</f>
        <v/>
      </c>
    </row>
    <row r="432" spans="20:20" x14ac:dyDescent="0.25">
      <c r="T432" s="34" t="str">
        <f>IF(R432="IRRIGATED",IF(F432&gt;=SCORES!I$6,1,0),"")</f>
        <v/>
      </c>
    </row>
    <row r="433" spans="20:20" x14ac:dyDescent="0.25">
      <c r="T433" s="34" t="str">
        <f>IF(R433="IRRIGATED",IF(F433&gt;=SCORES!I$6,1,0),"")</f>
        <v/>
      </c>
    </row>
    <row r="434" spans="20:20" x14ac:dyDescent="0.25">
      <c r="T434" s="34" t="str">
        <f>IF(R434="IRRIGATED",IF(F434&gt;=SCORES!I$6,1,0),"")</f>
        <v/>
      </c>
    </row>
    <row r="435" spans="20:20" x14ac:dyDescent="0.25">
      <c r="T435" s="34" t="str">
        <f>IF(R435="IRRIGATED",IF(F435&gt;=SCORES!I$6,1,0),"")</f>
        <v/>
      </c>
    </row>
    <row r="436" spans="20:20" x14ac:dyDescent="0.25">
      <c r="T436" s="34" t="str">
        <f>IF(R436="IRRIGATED",IF(F436&gt;=SCORES!I$6,1,0),"")</f>
        <v/>
      </c>
    </row>
    <row r="437" spans="20:20" x14ac:dyDescent="0.25">
      <c r="T437" s="34" t="str">
        <f>IF(R437="IRRIGATED",IF(F437&gt;=SCORES!I$6,1,0),"")</f>
        <v/>
      </c>
    </row>
    <row r="438" spans="20:20" x14ac:dyDescent="0.25">
      <c r="T438" s="34" t="str">
        <f>IF(R438="IRRIGATED",IF(F438&gt;=SCORES!I$6,1,0),"")</f>
        <v/>
      </c>
    </row>
    <row r="439" spans="20:20" x14ac:dyDescent="0.25">
      <c r="T439" s="34" t="str">
        <f>IF(R439="IRRIGATED",IF(F439&gt;=SCORES!I$6,1,0),"")</f>
        <v/>
      </c>
    </row>
    <row r="440" spans="20:20" x14ac:dyDescent="0.25">
      <c r="T440" s="34" t="str">
        <f>IF(R440="IRRIGATED",IF(F440&gt;=SCORES!I$6,1,0),"")</f>
        <v/>
      </c>
    </row>
    <row r="441" spans="20:20" x14ac:dyDescent="0.25">
      <c r="T441" s="34" t="str">
        <f>IF(R441="IRRIGATED",IF(F441&gt;=SCORES!I$6,1,0),"")</f>
        <v/>
      </c>
    </row>
    <row r="442" spans="20:20" x14ac:dyDescent="0.25">
      <c r="T442" s="34" t="str">
        <f>IF(R442="IRRIGATED",IF(F442&gt;=SCORES!I$6,1,0),"")</f>
        <v/>
      </c>
    </row>
    <row r="443" spans="20:20" x14ac:dyDescent="0.25">
      <c r="T443" s="34" t="str">
        <f>IF(R443="IRRIGATED",IF(F443&gt;=SCORES!I$6,1,0),"")</f>
        <v/>
      </c>
    </row>
    <row r="444" spans="20:20" x14ac:dyDescent="0.25">
      <c r="T444" s="34" t="str">
        <f>IF(R444="IRRIGATED",IF(F444&gt;=SCORES!I$6,1,0),"")</f>
        <v/>
      </c>
    </row>
    <row r="445" spans="20:20" x14ac:dyDescent="0.25">
      <c r="T445" s="34" t="str">
        <f>IF(R445="IRRIGATED",IF(F445&gt;=SCORES!I$6,1,0),"")</f>
        <v/>
      </c>
    </row>
    <row r="446" spans="20:20" x14ac:dyDescent="0.25">
      <c r="T446" s="34" t="str">
        <f>IF(R446="IRRIGATED",IF(F446&gt;=SCORES!I$6,1,0),"")</f>
        <v/>
      </c>
    </row>
    <row r="447" spans="20:20" x14ac:dyDescent="0.25">
      <c r="T447" s="34" t="str">
        <f>IF(R447="IRRIGATED",IF(F447&gt;=SCORES!I$6,1,0),"")</f>
        <v/>
      </c>
    </row>
    <row r="448" spans="20:20" x14ac:dyDescent="0.25">
      <c r="T448" s="34" t="str">
        <f>IF(R448="IRRIGATED",IF(F448&gt;=SCORES!I$6,1,0),"")</f>
        <v/>
      </c>
    </row>
    <row r="449" spans="20:20" x14ac:dyDescent="0.25">
      <c r="T449" s="34" t="str">
        <f>IF(R449="IRRIGATED",IF(F449&gt;=SCORES!I$6,1,0),"")</f>
        <v/>
      </c>
    </row>
    <row r="450" spans="20:20" x14ac:dyDescent="0.25">
      <c r="T450" s="34" t="str">
        <f>IF(R450="IRRIGATED",IF(F450&gt;=SCORES!I$6,1,0),"")</f>
        <v/>
      </c>
    </row>
    <row r="451" spans="20:20" x14ac:dyDescent="0.25">
      <c r="T451" s="34" t="str">
        <f>IF(R451="IRRIGATED",IF(F451&gt;=SCORES!I$6,1,0),"")</f>
        <v/>
      </c>
    </row>
    <row r="452" spans="20:20" x14ac:dyDescent="0.25">
      <c r="T452" s="34" t="str">
        <f>IF(R452="IRRIGATED",IF(F452&gt;=SCORES!I$6,1,0),"")</f>
        <v/>
      </c>
    </row>
    <row r="453" spans="20:20" x14ac:dyDescent="0.25">
      <c r="T453" s="34" t="str">
        <f>IF(R453="IRRIGATED",IF(F453&gt;=SCORES!I$6,1,0),"")</f>
        <v/>
      </c>
    </row>
    <row r="454" spans="20:20" x14ac:dyDescent="0.25">
      <c r="T454" s="34" t="str">
        <f>IF(R454="IRRIGATED",IF(F454&gt;=SCORES!I$6,1,0),"")</f>
        <v/>
      </c>
    </row>
    <row r="455" spans="20:20" x14ac:dyDescent="0.25">
      <c r="T455" s="34" t="str">
        <f>IF(R455="IRRIGATED",IF(F455&gt;=SCORES!I$6,1,0),"")</f>
        <v/>
      </c>
    </row>
    <row r="456" spans="20:20" x14ac:dyDescent="0.25">
      <c r="T456" s="34" t="str">
        <f>IF(R456="IRRIGATED",IF(F456&gt;=SCORES!I$6,1,0),"")</f>
        <v/>
      </c>
    </row>
    <row r="457" spans="20:20" x14ac:dyDescent="0.25">
      <c r="T457" s="34" t="str">
        <f>IF(R457="IRRIGATED",IF(F457&gt;=SCORES!I$6,1,0),"")</f>
        <v/>
      </c>
    </row>
    <row r="458" spans="20:20" x14ac:dyDescent="0.25">
      <c r="T458" s="34" t="str">
        <f>IF(R458="IRRIGATED",IF(F458&gt;=SCORES!I$6,1,0),"")</f>
        <v/>
      </c>
    </row>
    <row r="459" spans="20:20" x14ac:dyDescent="0.25">
      <c r="T459" s="34" t="str">
        <f>IF(R459="IRRIGATED",IF(F459&gt;=SCORES!I$6,1,0),"")</f>
        <v/>
      </c>
    </row>
    <row r="460" spans="20:20" x14ac:dyDescent="0.25">
      <c r="T460" s="34" t="str">
        <f>IF(R460="IRRIGATED",IF(F460&gt;=SCORES!I$6,1,0),"")</f>
        <v/>
      </c>
    </row>
    <row r="461" spans="20:20" x14ac:dyDescent="0.25">
      <c r="T461" s="34" t="str">
        <f>IF(R461="IRRIGATED",IF(F461&gt;=SCORES!I$6,1,0),"")</f>
        <v/>
      </c>
    </row>
    <row r="462" spans="20:20" x14ac:dyDescent="0.25">
      <c r="T462" s="34" t="str">
        <f>IF(R462="IRRIGATED",IF(F462&gt;=SCORES!I$6,1,0),"")</f>
        <v/>
      </c>
    </row>
    <row r="463" spans="20:20" x14ac:dyDescent="0.25">
      <c r="T463" s="34" t="str">
        <f>IF(R463="IRRIGATED",IF(F463&gt;=SCORES!I$6,1,0),"")</f>
        <v/>
      </c>
    </row>
    <row r="464" spans="20:20" x14ac:dyDescent="0.25">
      <c r="T464" s="34" t="str">
        <f>IF(R464="IRRIGATED",IF(F464&gt;=SCORES!I$6,1,0),"")</f>
        <v/>
      </c>
    </row>
    <row r="465" spans="20:20" x14ac:dyDescent="0.25">
      <c r="T465" s="34" t="str">
        <f>IF(R465="IRRIGATED",IF(F465&gt;=SCORES!I$6,1,0),"")</f>
        <v/>
      </c>
    </row>
    <row r="466" spans="20:20" x14ac:dyDescent="0.25">
      <c r="T466" s="34" t="str">
        <f>IF(R466="IRRIGATED",IF(F466&gt;=SCORES!I$6,1,0),"")</f>
        <v/>
      </c>
    </row>
    <row r="467" spans="20:20" x14ac:dyDescent="0.25">
      <c r="T467" s="34" t="str">
        <f>IF(R467="IRRIGATED",IF(F467&gt;=SCORES!I$6,1,0),"")</f>
        <v/>
      </c>
    </row>
    <row r="468" spans="20:20" x14ac:dyDescent="0.25">
      <c r="T468" s="34" t="str">
        <f>IF(R468="IRRIGATED",IF(F468&gt;=SCORES!I$6,1,0),"")</f>
        <v/>
      </c>
    </row>
    <row r="469" spans="20:20" x14ac:dyDescent="0.25">
      <c r="T469" s="34" t="str">
        <f>IF(R469="IRRIGATED",IF(F469&gt;=SCORES!I$6,1,0),"")</f>
        <v/>
      </c>
    </row>
    <row r="470" spans="20:20" x14ac:dyDescent="0.25">
      <c r="T470" s="34" t="str">
        <f>IF(R470="IRRIGATED",IF(F470&gt;=SCORES!I$6,1,0),"")</f>
        <v/>
      </c>
    </row>
    <row r="471" spans="20:20" x14ac:dyDescent="0.25">
      <c r="T471" s="34" t="str">
        <f>IF(R471="IRRIGATED",IF(F471&gt;=SCORES!I$6,1,0),"")</f>
        <v/>
      </c>
    </row>
    <row r="472" spans="20:20" x14ac:dyDescent="0.25">
      <c r="T472" s="34" t="str">
        <f>IF(R472="IRRIGATED",IF(F472&gt;=SCORES!I$6,1,0),"")</f>
        <v/>
      </c>
    </row>
    <row r="473" spans="20:20" x14ac:dyDescent="0.25">
      <c r="T473" s="34" t="str">
        <f>IF(R473="IRRIGATED",IF(F473&gt;=SCORES!I$6,1,0),"")</f>
        <v/>
      </c>
    </row>
    <row r="474" spans="20:20" x14ac:dyDescent="0.25">
      <c r="T474" s="34" t="str">
        <f>IF(R474="IRRIGATED",IF(F474&gt;=SCORES!I$6,1,0),"")</f>
        <v/>
      </c>
    </row>
    <row r="475" spans="20:20" x14ac:dyDescent="0.25">
      <c r="T475" s="34" t="str">
        <f>IF(R475="IRRIGATED",IF(F475&gt;=SCORES!I$6,1,0),"")</f>
        <v/>
      </c>
    </row>
    <row r="476" spans="20:20" x14ac:dyDescent="0.25">
      <c r="T476" s="34" t="str">
        <f>IF(R476="IRRIGATED",IF(F476&gt;=SCORES!I$6,1,0),"")</f>
        <v/>
      </c>
    </row>
    <row r="477" spans="20:20" x14ac:dyDescent="0.25">
      <c r="T477" s="34" t="str">
        <f>IF(R477="IRRIGATED",IF(F477&gt;=SCORES!I$6,1,0),"")</f>
        <v/>
      </c>
    </row>
    <row r="478" spans="20:20" x14ac:dyDescent="0.25">
      <c r="T478" s="34" t="str">
        <f>IF(R478="IRRIGATED",IF(F478&gt;=SCORES!I$6,1,0),"")</f>
        <v/>
      </c>
    </row>
    <row r="479" spans="20:20" x14ac:dyDescent="0.25">
      <c r="T479" s="34" t="str">
        <f>IF(R479="IRRIGATED",IF(F479&gt;=SCORES!I$6,1,0),"")</f>
        <v/>
      </c>
    </row>
    <row r="480" spans="20:20" x14ac:dyDescent="0.25">
      <c r="T480" s="34" t="str">
        <f>IF(R480="IRRIGATED",IF(F480&gt;=SCORES!I$6,1,0),"")</f>
        <v/>
      </c>
    </row>
    <row r="481" spans="20:20" x14ac:dyDescent="0.25">
      <c r="T481" s="34" t="str">
        <f>IF(R481="IRRIGATED",IF(F481&gt;=SCORES!I$6,1,0),"")</f>
        <v/>
      </c>
    </row>
    <row r="482" spans="20:20" x14ac:dyDescent="0.25">
      <c r="T482" s="34" t="str">
        <f>IF(R482="IRRIGATED",IF(F482&gt;=SCORES!I$6,1,0),"")</f>
        <v/>
      </c>
    </row>
    <row r="483" spans="20:20" x14ac:dyDescent="0.25">
      <c r="T483" s="34" t="str">
        <f>IF(R483="IRRIGATED",IF(F483&gt;=SCORES!I$6,1,0),"")</f>
        <v/>
      </c>
    </row>
    <row r="484" spans="20:20" x14ac:dyDescent="0.25">
      <c r="T484" s="34" t="str">
        <f>IF(R484="IRRIGATED",IF(F484&gt;=SCORES!I$6,1,0),"")</f>
        <v/>
      </c>
    </row>
    <row r="485" spans="20:20" x14ac:dyDescent="0.25">
      <c r="T485" s="34" t="str">
        <f>IF(R485="IRRIGATED",IF(F485&gt;=SCORES!I$6,1,0),"")</f>
        <v/>
      </c>
    </row>
  </sheetData>
  <sortState xmlns:xlrd2="http://schemas.microsoft.com/office/spreadsheetml/2017/richdata2" ref="A2:T485">
    <sortCondition ref="S1:S485"/>
  </sortState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62E1-9D61-4565-BDA9-A14D82AADA73}">
  <dimension ref="A1:S142"/>
  <sheetViews>
    <sheetView topLeftCell="K1" workbookViewId="0">
      <selection activeCell="S12" sqref="S12"/>
    </sheetView>
  </sheetViews>
  <sheetFormatPr defaultColWidth="11.25" defaultRowHeight="15.75" x14ac:dyDescent="0.25"/>
  <cols>
    <col min="1" max="1" width="21.5" customWidth="1"/>
    <col min="2" max="2" width="34.875" customWidth="1"/>
    <col min="14" max="14" width="12" customWidth="1"/>
    <col min="16" max="16" width="19" style="34" customWidth="1"/>
    <col min="17" max="17" width="11.25" style="34"/>
  </cols>
  <sheetData>
    <row r="1" spans="1:19" x14ac:dyDescent="0.25">
      <c r="A1" t="s">
        <v>21</v>
      </c>
      <c r="B1" t="s">
        <v>23</v>
      </c>
      <c r="C1" t="s">
        <v>24</v>
      </c>
      <c r="D1" t="s">
        <v>25</v>
      </c>
      <c r="E1" t="s">
        <v>201</v>
      </c>
      <c r="F1" t="s">
        <v>26</v>
      </c>
      <c r="G1" t="s">
        <v>28</v>
      </c>
      <c r="H1" t="s">
        <v>29</v>
      </c>
      <c r="I1" t="s">
        <v>30</v>
      </c>
      <c r="J1" t="s">
        <v>33</v>
      </c>
      <c r="K1" t="s">
        <v>34</v>
      </c>
      <c r="L1" t="s">
        <v>35</v>
      </c>
      <c r="M1" t="s">
        <v>202</v>
      </c>
      <c r="N1" t="s">
        <v>36</v>
      </c>
      <c r="O1" t="s">
        <v>37</v>
      </c>
      <c r="P1" s="34" t="s">
        <v>86</v>
      </c>
      <c r="Q1" s="34" t="s">
        <v>203</v>
      </c>
    </row>
    <row r="2" spans="1:19" x14ac:dyDescent="0.25">
      <c r="A2" s="69">
        <v>1017.18025966717</v>
      </c>
      <c r="B2" s="69" t="s">
        <v>102</v>
      </c>
      <c r="C2" s="69">
        <v>31</v>
      </c>
      <c r="D2" s="69">
        <v>507</v>
      </c>
      <c r="E2" s="69">
        <v>603</v>
      </c>
      <c r="F2" s="69">
        <v>78</v>
      </c>
      <c r="G2" s="69">
        <v>420</v>
      </c>
      <c r="H2" s="69" t="s">
        <v>173</v>
      </c>
      <c r="I2" s="69">
        <v>1362</v>
      </c>
      <c r="J2" s="69">
        <v>4</v>
      </c>
      <c r="K2" s="69">
        <v>11292</v>
      </c>
      <c r="L2" s="69">
        <v>14944</v>
      </c>
      <c r="M2" s="69">
        <v>1</v>
      </c>
      <c r="N2" s="69" t="s">
        <v>39</v>
      </c>
      <c r="O2" s="69">
        <v>2018</v>
      </c>
      <c r="P2" s="34">
        <f>IF(N2="IRRIGATED",IF(E2/M2&gt;=[1]SCORES!I$5,1,0),"")</f>
        <v>1</v>
      </c>
      <c r="Q2" s="34">
        <f t="shared" ref="Q2:Q26" si="0">A2*10000*F2/1000/10^6</f>
        <v>0.79340060254039269</v>
      </c>
      <c r="S2" s="7">
        <f>(K2-L2)/L2</f>
        <v>-0.24437901498929337</v>
      </c>
    </row>
    <row r="3" spans="1:19" x14ac:dyDescent="0.25">
      <c r="A3" s="69">
        <v>1019.71806979807</v>
      </c>
      <c r="B3" s="69" t="s">
        <v>102</v>
      </c>
      <c r="C3" s="69">
        <v>31</v>
      </c>
      <c r="D3" s="69">
        <v>535</v>
      </c>
      <c r="E3" s="69">
        <v>875</v>
      </c>
      <c r="F3" s="69">
        <v>71</v>
      </c>
      <c r="G3" s="69">
        <v>452</v>
      </c>
      <c r="H3" s="69" t="s">
        <v>173</v>
      </c>
      <c r="I3" s="69">
        <v>1281</v>
      </c>
      <c r="J3" s="69">
        <v>4</v>
      </c>
      <c r="K3" s="69">
        <v>10837</v>
      </c>
      <c r="L3" s="69">
        <v>18161</v>
      </c>
      <c r="M3" s="69">
        <v>1</v>
      </c>
      <c r="N3" s="69" t="s">
        <v>39</v>
      </c>
      <c r="O3" s="69">
        <v>2019</v>
      </c>
      <c r="P3" s="34">
        <f>IF(N3="IRRIGATED",IF(E3/M3&gt;=[1]SCORES!I$5,1,0),"")</f>
        <v>1</v>
      </c>
      <c r="Q3" s="34">
        <f t="shared" si="0"/>
        <v>0.72399982955662967</v>
      </c>
      <c r="S3" s="7">
        <f t="shared" ref="S3:S26" si="1">(K3-L3)/L3</f>
        <v>-0.40328175761246626</v>
      </c>
    </row>
    <row r="4" spans="1:19" x14ac:dyDescent="0.25">
      <c r="A4" s="69">
        <v>783.95727865414597</v>
      </c>
      <c r="B4" s="69" t="s">
        <v>102</v>
      </c>
      <c r="C4" s="69">
        <v>31</v>
      </c>
      <c r="D4" s="69">
        <v>562</v>
      </c>
      <c r="E4" s="69">
        <v>763</v>
      </c>
      <c r="F4" s="69">
        <v>90</v>
      </c>
      <c r="G4" s="69">
        <v>469</v>
      </c>
      <c r="H4" s="69" t="s">
        <v>173</v>
      </c>
      <c r="I4" s="69">
        <v>1518</v>
      </c>
      <c r="J4" s="69">
        <v>4</v>
      </c>
      <c r="K4" s="69">
        <v>9865</v>
      </c>
      <c r="L4" s="69">
        <v>13502</v>
      </c>
      <c r="M4" s="69">
        <v>1</v>
      </c>
      <c r="N4" s="69" t="s">
        <v>39</v>
      </c>
      <c r="O4" s="69">
        <v>2020</v>
      </c>
      <c r="P4" s="34">
        <f>IF(N4="IRRIGATED",IF(E4/M4&gt;=[1]SCORES!I$5,1,0),"")</f>
        <v>1</v>
      </c>
      <c r="Q4" s="34">
        <f t="shared" si="0"/>
        <v>0.7055615507887314</v>
      </c>
      <c r="S4" s="7">
        <f t="shared" si="1"/>
        <v>-0.26936750111094654</v>
      </c>
    </row>
    <row r="5" spans="1:19" x14ac:dyDescent="0.25">
      <c r="A5" s="69">
        <v>970.67386323954804</v>
      </c>
      <c r="B5" s="69" t="s">
        <v>102</v>
      </c>
      <c r="C5" s="69">
        <v>31</v>
      </c>
      <c r="D5" s="69">
        <v>461</v>
      </c>
      <c r="E5" s="69">
        <v>675</v>
      </c>
      <c r="F5" s="69">
        <v>66</v>
      </c>
      <c r="G5" s="69">
        <v>388</v>
      </c>
      <c r="H5" s="69" t="s">
        <v>173</v>
      </c>
      <c r="I5" s="69">
        <v>975</v>
      </c>
      <c r="J5" s="69">
        <v>4</v>
      </c>
      <c r="K5" s="69">
        <v>9157</v>
      </c>
      <c r="L5" s="69">
        <v>13912</v>
      </c>
      <c r="M5" s="69">
        <v>1</v>
      </c>
      <c r="N5" s="69" t="s">
        <v>39</v>
      </c>
      <c r="O5" s="69">
        <v>2021</v>
      </c>
      <c r="P5" s="34">
        <f>IF(N5="IRRIGATED",IF(E5/M5&gt;=[1]SCORES!I$5,1,0),"")</f>
        <v>1</v>
      </c>
      <c r="Q5" s="34">
        <f t="shared" si="0"/>
        <v>0.6406447497381017</v>
      </c>
      <c r="S5" s="7">
        <f t="shared" si="1"/>
        <v>-0.34179125934445082</v>
      </c>
    </row>
    <row r="6" spans="1:19" x14ac:dyDescent="0.25">
      <c r="A6" s="69">
        <v>754.58174221911304</v>
      </c>
      <c r="B6" s="69" t="s">
        <v>102</v>
      </c>
      <c r="C6" s="69">
        <v>31</v>
      </c>
      <c r="D6" s="69">
        <v>546</v>
      </c>
      <c r="E6" s="69">
        <v>811</v>
      </c>
      <c r="F6" s="69">
        <v>73</v>
      </c>
      <c r="G6" s="69">
        <v>462</v>
      </c>
      <c r="H6" s="69" t="s">
        <v>173</v>
      </c>
      <c r="I6" s="69">
        <v>1347</v>
      </c>
      <c r="J6" s="69">
        <v>4</v>
      </c>
      <c r="K6" s="69">
        <v>11009</v>
      </c>
      <c r="L6" s="69">
        <v>15429</v>
      </c>
      <c r="M6" s="69">
        <v>1</v>
      </c>
      <c r="N6" s="69" t="s">
        <v>39</v>
      </c>
      <c r="O6" s="69">
        <v>2022</v>
      </c>
      <c r="P6" s="34">
        <f>IF(N6="IRRIGATED",IF(E6/M6&gt;=[1]SCORES!I$5,1,0),"")</f>
        <v>1</v>
      </c>
      <c r="Q6" s="34">
        <f t="shared" si="0"/>
        <v>0.55084467181995245</v>
      </c>
      <c r="S6" s="7">
        <f t="shared" si="1"/>
        <v>-0.28647352388359582</v>
      </c>
    </row>
    <row r="7" spans="1:19" x14ac:dyDescent="0.25">
      <c r="A7" s="69">
        <v>1372.5328209895799</v>
      </c>
      <c r="B7" s="69" t="s">
        <v>106</v>
      </c>
      <c r="C7" s="69">
        <v>34</v>
      </c>
      <c r="D7" s="69">
        <v>859</v>
      </c>
      <c r="E7" s="69">
        <v>1147</v>
      </c>
      <c r="F7" s="69">
        <v>195</v>
      </c>
      <c r="G7" s="69">
        <v>653</v>
      </c>
      <c r="H7" s="69" t="s">
        <v>173</v>
      </c>
      <c r="I7" s="69">
        <v>1460</v>
      </c>
      <c r="J7" s="69">
        <v>4</v>
      </c>
      <c r="K7" s="69">
        <v>15669</v>
      </c>
      <c r="L7" s="69">
        <v>20782</v>
      </c>
      <c r="M7" s="69">
        <v>2</v>
      </c>
      <c r="N7" s="69" t="s">
        <v>39</v>
      </c>
      <c r="O7" s="69">
        <v>2018</v>
      </c>
      <c r="P7" s="34">
        <f>IF(N7="IRRIGATED",IF(E7/M7&gt;=[1]SCORES!I$5,1,0),"")</f>
        <v>1</v>
      </c>
      <c r="Q7" s="34">
        <f t="shared" si="0"/>
        <v>2.6764390009296806</v>
      </c>
      <c r="S7" s="7">
        <f t="shared" si="1"/>
        <v>-0.24603021845828121</v>
      </c>
    </row>
    <row r="8" spans="1:19" x14ac:dyDescent="0.25">
      <c r="A8" s="69">
        <v>5645.1071199767503</v>
      </c>
      <c r="B8" s="69" t="s">
        <v>106</v>
      </c>
      <c r="C8" s="69">
        <v>34</v>
      </c>
      <c r="D8" s="69">
        <v>839</v>
      </c>
      <c r="E8" s="69">
        <v>1059</v>
      </c>
      <c r="F8" s="69">
        <v>158</v>
      </c>
      <c r="G8" s="69">
        <v>670</v>
      </c>
      <c r="H8" s="69" t="s">
        <v>173</v>
      </c>
      <c r="I8" s="69">
        <v>1429</v>
      </c>
      <c r="J8" s="69">
        <v>4</v>
      </c>
      <c r="K8" s="69">
        <v>15935</v>
      </c>
      <c r="L8" s="69">
        <v>20708</v>
      </c>
      <c r="M8" s="69">
        <v>4</v>
      </c>
      <c r="N8" s="69" t="s">
        <v>39</v>
      </c>
      <c r="O8" s="69">
        <v>2019</v>
      </c>
      <c r="P8" s="34">
        <f>IF(N8="IRRIGATED",IF(E8/M8&gt;=[1]SCORES!I$5,1,0),"")</f>
        <v>0</v>
      </c>
      <c r="Q8" s="34">
        <f t="shared" si="0"/>
        <v>8.9192692495632659</v>
      </c>
      <c r="S8" s="7">
        <f t="shared" si="1"/>
        <v>-0.2304906316399459</v>
      </c>
    </row>
    <row r="9" spans="1:19" x14ac:dyDescent="0.25">
      <c r="A9" s="69">
        <v>539.54579423809798</v>
      </c>
      <c r="B9" s="69" t="s">
        <v>106</v>
      </c>
      <c r="C9" s="69">
        <v>34</v>
      </c>
      <c r="D9" s="69">
        <v>888</v>
      </c>
      <c r="E9" s="69">
        <v>1131</v>
      </c>
      <c r="F9" s="69">
        <v>215</v>
      </c>
      <c r="G9" s="69">
        <v>668</v>
      </c>
      <c r="H9" s="69" t="s">
        <v>173</v>
      </c>
      <c r="I9" s="69">
        <v>1676</v>
      </c>
      <c r="J9" s="69">
        <v>4</v>
      </c>
      <c r="K9" s="69">
        <v>13516</v>
      </c>
      <c r="L9" s="69">
        <v>18185</v>
      </c>
      <c r="M9" s="69">
        <v>2</v>
      </c>
      <c r="N9" s="69" t="s">
        <v>39</v>
      </c>
      <c r="O9" s="69">
        <v>2020</v>
      </c>
      <c r="P9" s="34">
        <f>IF(N9="IRRIGATED",IF(E9/M9&gt;=[1]SCORES!I$5,1,0),"")</f>
        <v>1</v>
      </c>
      <c r="Q9" s="34">
        <f t="shared" si="0"/>
        <v>1.1600234576119106</v>
      </c>
      <c r="S9" s="7">
        <f t="shared" si="1"/>
        <v>-0.25675006873797085</v>
      </c>
    </row>
    <row r="10" spans="1:19" x14ac:dyDescent="0.25">
      <c r="A10" s="69">
        <v>866.44822691414799</v>
      </c>
      <c r="B10" s="69" t="s">
        <v>106</v>
      </c>
      <c r="C10" s="69">
        <v>34</v>
      </c>
      <c r="D10" s="69">
        <v>871</v>
      </c>
      <c r="E10" s="69">
        <v>1083</v>
      </c>
      <c r="F10" s="69">
        <v>260</v>
      </c>
      <c r="G10" s="69">
        <v>597</v>
      </c>
      <c r="H10" s="69" t="s">
        <v>173</v>
      </c>
      <c r="I10" s="69">
        <v>1242</v>
      </c>
      <c r="J10" s="69">
        <v>4</v>
      </c>
      <c r="K10" s="69">
        <v>12914</v>
      </c>
      <c r="L10" s="69">
        <v>17184</v>
      </c>
      <c r="M10" s="69">
        <v>2</v>
      </c>
      <c r="N10" s="69" t="s">
        <v>39</v>
      </c>
      <c r="O10" s="69">
        <v>2021</v>
      </c>
      <c r="P10" s="34">
        <f>IF(N10="IRRIGATED",IF(E10/M10&gt;=[1]SCORES!I$5,1,0),"")</f>
        <v>1</v>
      </c>
      <c r="Q10" s="34">
        <f t="shared" si="0"/>
        <v>2.2527653899767848</v>
      </c>
      <c r="S10" s="7">
        <f t="shared" si="1"/>
        <v>-0.24848696461824954</v>
      </c>
    </row>
    <row r="11" spans="1:19" x14ac:dyDescent="0.25">
      <c r="A11" s="69">
        <v>1736.8012812009499</v>
      </c>
      <c r="B11" s="69" t="s">
        <v>106</v>
      </c>
      <c r="C11" s="69">
        <v>34</v>
      </c>
      <c r="D11" s="69">
        <v>854</v>
      </c>
      <c r="E11" s="69">
        <v>1099</v>
      </c>
      <c r="F11" s="69">
        <v>192</v>
      </c>
      <c r="G11" s="69">
        <v>651</v>
      </c>
      <c r="H11" s="69" t="s">
        <v>173</v>
      </c>
      <c r="I11" s="69">
        <v>1404</v>
      </c>
      <c r="J11" s="69">
        <v>4</v>
      </c>
      <c r="K11" s="69">
        <v>14967</v>
      </c>
      <c r="L11" s="69">
        <v>19437</v>
      </c>
      <c r="M11" s="69">
        <v>2</v>
      </c>
      <c r="N11" s="69" t="s">
        <v>39</v>
      </c>
      <c r="O11" s="69">
        <v>2022</v>
      </c>
      <c r="P11" s="34">
        <f>IF(N11="IRRIGATED",IF(E11/M11&gt;=[1]SCORES!I$5,1,0),"")</f>
        <v>1</v>
      </c>
      <c r="Q11" s="34">
        <f t="shared" si="0"/>
        <v>3.3346584599058238</v>
      </c>
      <c r="S11" s="7">
        <f t="shared" si="1"/>
        <v>-0.22997376138292946</v>
      </c>
    </row>
    <row r="12" spans="1:19" x14ac:dyDescent="0.25">
      <c r="A12" s="69">
        <v>1618.8684669204799</v>
      </c>
      <c r="B12" s="69" t="s">
        <v>53</v>
      </c>
      <c r="C12" s="69">
        <v>14</v>
      </c>
      <c r="D12" s="69">
        <v>482</v>
      </c>
      <c r="E12" s="69">
        <v>571</v>
      </c>
      <c r="F12" s="69">
        <v>177</v>
      </c>
      <c r="G12" s="69">
        <v>304</v>
      </c>
      <c r="H12" s="69" t="s">
        <v>173</v>
      </c>
      <c r="I12" s="69">
        <v>208</v>
      </c>
      <c r="J12" s="69">
        <v>4</v>
      </c>
      <c r="K12" s="69">
        <v>3689</v>
      </c>
      <c r="L12" s="69">
        <v>4362</v>
      </c>
      <c r="M12" s="69">
        <v>2</v>
      </c>
      <c r="N12" s="69" t="s">
        <v>39</v>
      </c>
      <c r="O12" s="69">
        <v>2018</v>
      </c>
      <c r="P12" s="34">
        <f>IF(N12="IRRIGATED",IF(E12/M12&gt;=[1]SCORES!I$5,1,0),"")</f>
        <v>0</v>
      </c>
      <c r="Q12" s="34">
        <f t="shared" si="0"/>
        <v>2.8653971864492491</v>
      </c>
      <c r="S12" s="7">
        <f t="shared" si="1"/>
        <v>-0.15428702430077945</v>
      </c>
    </row>
    <row r="13" spans="1:19" x14ac:dyDescent="0.25">
      <c r="A13" s="69">
        <v>1953.9863002114</v>
      </c>
      <c r="B13" s="69" t="s">
        <v>53</v>
      </c>
      <c r="C13" s="69">
        <v>14</v>
      </c>
      <c r="D13" s="69">
        <v>477</v>
      </c>
      <c r="E13" s="69">
        <v>537</v>
      </c>
      <c r="F13" s="69">
        <v>169</v>
      </c>
      <c r="G13" s="69">
        <v>306</v>
      </c>
      <c r="H13" s="69" t="s">
        <v>173</v>
      </c>
      <c r="I13" s="69">
        <v>173</v>
      </c>
      <c r="J13" s="69">
        <v>4</v>
      </c>
      <c r="K13" s="69">
        <v>5521</v>
      </c>
      <c r="L13" s="69">
        <v>6267</v>
      </c>
      <c r="M13" s="69">
        <v>2</v>
      </c>
      <c r="N13" s="69" t="s">
        <v>39</v>
      </c>
      <c r="O13" s="69">
        <v>2019</v>
      </c>
      <c r="P13" s="34">
        <f>IF(N13="IRRIGATED",IF(E13/M13&gt;=[1]SCORES!I$5,1,0),"")</f>
        <v>0</v>
      </c>
      <c r="Q13" s="34">
        <f t="shared" si="0"/>
        <v>3.3022368473572667</v>
      </c>
      <c r="S13" s="7">
        <f t="shared" si="1"/>
        <v>-0.11903622147758099</v>
      </c>
    </row>
    <row r="14" spans="1:19" x14ac:dyDescent="0.25">
      <c r="A14" s="69">
        <v>1876.9554644018201</v>
      </c>
      <c r="B14" s="69" t="s">
        <v>53</v>
      </c>
      <c r="C14" s="69">
        <v>14</v>
      </c>
      <c r="D14" s="69">
        <v>425</v>
      </c>
      <c r="E14" s="69">
        <v>523</v>
      </c>
      <c r="F14" s="69">
        <v>186</v>
      </c>
      <c r="G14" s="69">
        <v>237</v>
      </c>
      <c r="H14" s="69" t="s">
        <v>173</v>
      </c>
      <c r="I14" s="69">
        <v>354</v>
      </c>
      <c r="J14" s="69">
        <v>4</v>
      </c>
      <c r="K14" s="69">
        <v>4005</v>
      </c>
      <c r="L14" s="69">
        <v>4699</v>
      </c>
      <c r="M14" s="69">
        <v>2</v>
      </c>
      <c r="N14" s="69" t="s">
        <v>39</v>
      </c>
      <c r="O14" s="69">
        <v>2020</v>
      </c>
      <c r="P14" s="34">
        <f>IF(N14="IRRIGATED",IF(E14/M14&gt;=[1]SCORES!I$5,1,0),"")</f>
        <v>0</v>
      </c>
      <c r="Q14" s="34">
        <f t="shared" si="0"/>
        <v>3.4911371637873851</v>
      </c>
      <c r="S14" s="7">
        <f t="shared" si="1"/>
        <v>-0.14769099808469888</v>
      </c>
    </row>
    <row r="15" spans="1:19" x14ac:dyDescent="0.25">
      <c r="A15" s="69">
        <v>1517.17450586924</v>
      </c>
      <c r="B15" s="69" t="s">
        <v>53</v>
      </c>
      <c r="C15" s="69">
        <v>14</v>
      </c>
      <c r="D15" s="69">
        <v>471</v>
      </c>
      <c r="E15" s="69">
        <v>571</v>
      </c>
      <c r="F15" s="69">
        <v>242</v>
      </c>
      <c r="G15" s="69">
        <v>228</v>
      </c>
      <c r="H15" s="69" t="s">
        <v>173</v>
      </c>
      <c r="I15" s="69">
        <v>193</v>
      </c>
      <c r="J15" s="69">
        <v>4</v>
      </c>
      <c r="K15" s="69">
        <v>2937</v>
      </c>
      <c r="L15" s="69">
        <v>3954</v>
      </c>
      <c r="M15" s="69">
        <v>2</v>
      </c>
      <c r="N15" s="69" t="s">
        <v>39</v>
      </c>
      <c r="O15" s="69">
        <v>2021</v>
      </c>
      <c r="P15" s="34">
        <f>IF(N15="IRRIGATED",IF(E15/M15&gt;=[1]SCORES!I$5,1,0),"")</f>
        <v>0</v>
      </c>
      <c r="Q15" s="34">
        <f t="shared" si="0"/>
        <v>3.6715623042035612</v>
      </c>
      <c r="S15" s="7">
        <f t="shared" si="1"/>
        <v>-0.25720789074355083</v>
      </c>
    </row>
    <row r="16" spans="1:19" x14ac:dyDescent="0.25">
      <c r="A16" s="69">
        <v>2505.5986083152102</v>
      </c>
      <c r="B16" s="69" t="s">
        <v>53</v>
      </c>
      <c r="C16" s="69">
        <v>14</v>
      </c>
      <c r="D16" s="69">
        <v>451</v>
      </c>
      <c r="E16" s="69">
        <v>557</v>
      </c>
      <c r="F16" s="69">
        <v>203</v>
      </c>
      <c r="G16" s="69">
        <v>247</v>
      </c>
      <c r="H16" s="69" t="s">
        <v>173</v>
      </c>
      <c r="I16" s="69">
        <v>84</v>
      </c>
      <c r="J16" s="69">
        <v>4</v>
      </c>
      <c r="K16" s="69">
        <v>3859</v>
      </c>
      <c r="L16" s="69">
        <v>4985</v>
      </c>
      <c r="M16" s="69">
        <v>2</v>
      </c>
      <c r="N16" s="69" t="s">
        <v>39</v>
      </c>
      <c r="O16" s="69">
        <v>2022</v>
      </c>
      <c r="P16" s="34">
        <f>IF(N16="IRRIGATED",IF(E16/M16&gt;=[1]SCORES!I$5,1,0),"")</f>
        <v>0</v>
      </c>
      <c r="Q16" s="34">
        <f t="shared" si="0"/>
        <v>5.0863651748798757</v>
      </c>
      <c r="S16" s="7">
        <f t="shared" si="1"/>
        <v>-0.22587763289869608</v>
      </c>
    </row>
    <row r="17" spans="1:19" x14ac:dyDescent="0.25">
      <c r="A17" s="69">
        <v>704.84363745863595</v>
      </c>
      <c r="B17" s="69" t="s">
        <v>49</v>
      </c>
      <c r="C17" s="69">
        <v>15</v>
      </c>
      <c r="D17" s="69">
        <v>310</v>
      </c>
      <c r="E17" s="69">
        <v>370</v>
      </c>
      <c r="F17" s="69">
        <v>72</v>
      </c>
      <c r="G17" s="69">
        <v>236</v>
      </c>
      <c r="H17" s="69" t="s">
        <v>173</v>
      </c>
      <c r="I17" s="69">
        <v>949</v>
      </c>
      <c r="J17" s="69">
        <v>4</v>
      </c>
      <c r="K17" s="69">
        <v>5633</v>
      </c>
      <c r="L17" s="69">
        <v>7744</v>
      </c>
      <c r="M17" s="69">
        <v>1</v>
      </c>
      <c r="N17" s="69" t="s">
        <v>39</v>
      </c>
      <c r="O17" s="69">
        <v>2018</v>
      </c>
      <c r="P17" s="34">
        <f>IF(N17="IRRIGATED",IF(E17/M17&gt;=[1]SCORES!I$5,1,0),"")</f>
        <v>0</v>
      </c>
      <c r="Q17" s="34">
        <f t="shared" si="0"/>
        <v>0.50748741897021787</v>
      </c>
      <c r="S17" s="7">
        <f t="shared" si="1"/>
        <v>-0.27259814049586778</v>
      </c>
    </row>
    <row r="18" spans="1:19" x14ac:dyDescent="0.25">
      <c r="A18" s="69">
        <v>732.25038005726196</v>
      </c>
      <c r="B18" s="69" t="s">
        <v>49</v>
      </c>
      <c r="C18" s="69">
        <v>15</v>
      </c>
      <c r="D18" s="69">
        <v>345</v>
      </c>
      <c r="E18" s="69">
        <v>435</v>
      </c>
      <c r="F18" s="69">
        <v>69</v>
      </c>
      <c r="G18" s="69">
        <v>272</v>
      </c>
      <c r="H18" s="69" t="s">
        <v>173</v>
      </c>
      <c r="I18" s="69">
        <v>350</v>
      </c>
      <c r="J18" s="69">
        <v>4</v>
      </c>
      <c r="K18" s="69">
        <v>5295</v>
      </c>
      <c r="L18" s="69">
        <v>11532</v>
      </c>
      <c r="M18" s="69">
        <v>2</v>
      </c>
      <c r="N18" s="69" t="s">
        <v>39</v>
      </c>
      <c r="O18" s="69">
        <v>2019</v>
      </c>
      <c r="P18" s="34">
        <f>IF(N18="IRRIGATED",IF(E18/M18&gt;=[1]SCORES!I$5,1,0),"")</f>
        <v>0</v>
      </c>
      <c r="Q18" s="34">
        <f t="shared" si="0"/>
        <v>0.50525276223951077</v>
      </c>
      <c r="S18" s="7">
        <f t="shared" si="1"/>
        <v>-0.5408428720083247</v>
      </c>
    </row>
    <row r="19" spans="1:19" x14ac:dyDescent="0.25">
      <c r="A19" s="69">
        <v>586.95365362522205</v>
      </c>
      <c r="B19" s="69" t="s">
        <v>49</v>
      </c>
      <c r="C19" s="69">
        <v>15</v>
      </c>
      <c r="D19" s="69">
        <v>313</v>
      </c>
      <c r="E19" s="69">
        <v>347</v>
      </c>
      <c r="F19" s="69">
        <v>82</v>
      </c>
      <c r="G19" s="69">
        <v>232</v>
      </c>
      <c r="H19" s="69" t="s">
        <v>173</v>
      </c>
      <c r="I19" s="69">
        <v>1172</v>
      </c>
      <c r="J19" s="69">
        <v>4</v>
      </c>
      <c r="K19" s="69">
        <v>4538</v>
      </c>
      <c r="L19" s="69">
        <v>6428</v>
      </c>
      <c r="M19" s="69">
        <v>1</v>
      </c>
      <c r="N19" s="69" t="s">
        <v>39</v>
      </c>
      <c r="O19" s="69">
        <v>2020</v>
      </c>
      <c r="P19" s="34">
        <f>IF(N19="IRRIGATED",IF(E19/M19&gt;=[1]SCORES!I$5,1,0),"")</f>
        <v>0</v>
      </c>
      <c r="Q19" s="34">
        <f t="shared" si="0"/>
        <v>0.48130199597268208</v>
      </c>
      <c r="S19" s="7">
        <f t="shared" si="1"/>
        <v>-0.29402613565650282</v>
      </c>
    </row>
    <row r="20" spans="1:19" x14ac:dyDescent="0.25">
      <c r="A20" s="69">
        <v>232.9704981136</v>
      </c>
      <c r="B20" s="69" t="s">
        <v>49</v>
      </c>
      <c r="C20" s="69">
        <v>15</v>
      </c>
      <c r="D20" s="69">
        <v>276</v>
      </c>
      <c r="E20" s="69">
        <v>381</v>
      </c>
      <c r="F20" s="69">
        <v>69</v>
      </c>
      <c r="G20" s="69">
        <v>204</v>
      </c>
      <c r="H20" s="69" t="s">
        <v>173</v>
      </c>
      <c r="I20" s="69">
        <v>706</v>
      </c>
      <c r="J20" s="69">
        <v>4</v>
      </c>
      <c r="K20" s="69">
        <v>4859</v>
      </c>
      <c r="L20" s="69">
        <v>9743</v>
      </c>
      <c r="M20" s="69">
        <v>1</v>
      </c>
      <c r="N20" s="69" t="s">
        <v>39</v>
      </c>
      <c r="O20" s="69">
        <v>2021</v>
      </c>
      <c r="P20" s="34">
        <f>IF(N20="IRRIGATED",IF(E20/M20&gt;=[1]SCORES!I$5,1,0),"")</f>
        <v>0</v>
      </c>
      <c r="Q20" s="34">
        <f t="shared" si="0"/>
        <v>0.16074964369838399</v>
      </c>
      <c r="S20" s="7">
        <f t="shared" si="1"/>
        <v>-0.50128297239043418</v>
      </c>
    </row>
    <row r="21" spans="1:19" x14ac:dyDescent="0.25">
      <c r="A21" s="69">
        <v>513.55305266821699</v>
      </c>
      <c r="B21" s="69" t="s">
        <v>49</v>
      </c>
      <c r="C21" s="69">
        <v>15</v>
      </c>
      <c r="D21" s="69">
        <v>296</v>
      </c>
      <c r="E21" s="69">
        <v>355</v>
      </c>
      <c r="F21" s="69">
        <v>73</v>
      </c>
      <c r="G21" s="69">
        <v>222</v>
      </c>
      <c r="H21" s="69" t="s">
        <v>173</v>
      </c>
      <c r="I21" s="69">
        <v>578</v>
      </c>
      <c r="J21" s="69">
        <v>4</v>
      </c>
      <c r="K21" s="69">
        <v>4130</v>
      </c>
      <c r="L21" s="69">
        <v>8157</v>
      </c>
      <c r="M21" s="69">
        <v>2</v>
      </c>
      <c r="N21" s="69" t="s">
        <v>39</v>
      </c>
      <c r="O21" s="69">
        <v>2022</v>
      </c>
      <c r="P21" s="34">
        <f>IF(N21="IRRIGATED",IF(E21/M21&gt;=[1]SCORES!I$5,1,0),"")</f>
        <v>0</v>
      </c>
      <c r="Q21" s="34">
        <f t="shared" si="0"/>
        <v>0.37489372844779839</v>
      </c>
      <c r="S21" s="7">
        <f t="shared" si="1"/>
        <v>-0.49368640431531202</v>
      </c>
    </row>
    <row r="22" spans="1:19" x14ac:dyDescent="0.25">
      <c r="A22" s="69">
        <v>6350.0256780341497</v>
      </c>
      <c r="B22" s="69" t="s">
        <v>57</v>
      </c>
      <c r="C22" s="69">
        <v>2</v>
      </c>
      <c r="D22" s="69">
        <v>497</v>
      </c>
      <c r="E22" s="69">
        <v>577</v>
      </c>
      <c r="F22" s="69">
        <v>86</v>
      </c>
      <c r="G22" s="69">
        <v>406</v>
      </c>
      <c r="H22" s="73" t="s">
        <v>173</v>
      </c>
      <c r="I22" s="69">
        <v>1286</v>
      </c>
      <c r="J22" s="69">
        <v>4</v>
      </c>
      <c r="K22" s="69">
        <v>12137</v>
      </c>
      <c r="L22" s="69">
        <v>14876</v>
      </c>
      <c r="M22" s="69">
        <v>1</v>
      </c>
      <c r="N22" s="69" t="s">
        <v>39</v>
      </c>
      <c r="O22" s="69">
        <v>2018</v>
      </c>
      <c r="P22" s="34">
        <f>IF(N22="IRRIGATED",IF(E22/M22&gt;=[1]SCORES!I$5,1,0),"")</f>
        <v>1</v>
      </c>
      <c r="Q22" s="34">
        <f t="shared" si="0"/>
        <v>5.4610220831093699</v>
      </c>
      <c r="S22" s="7">
        <f t="shared" si="1"/>
        <v>-0.18412207582683518</v>
      </c>
    </row>
    <row r="23" spans="1:19" x14ac:dyDescent="0.25">
      <c r="A23" s="69">
        <v>3323.70095410557</v>
      </c>
      <c r="B23" s="69" t="s">
        <v>57</v>
      </c>
      <c r="C23" s="69">
        <v>2</v>
      </c>
      <c r="D23" s="69">
        <v>416</v>
      </c>
      <c r="E23" s="69">
        <v>517</v>
      </c>
      <c r="F23" s="69">
        <v>51</v>
      </c>
      <c r="G23" s="69">
        <v>359</v>
      </c>
      <c r="H23" s="69" t="s">
        <v>173</v>
      </c>
      <c r="I23" s="69">
        <v>1163</v>
      </c>
      <c r="J23" s="69">
        <v>4</v>
      </c>
      <c r="K23" s="69">
        <v>9847</v>
      </c>
      <c r="L23" s="69">
        <v>12505</v>
      </c>
      <c r="M23" s="69">
        <v>2</v>
      </c>
      <c r="N23" s="69" t="s">
        <v>39</v>
      </c>
      <c r="O23" s="69">
        <v>2019</v>
      </c>
      <c r="P23" s="34">
        <f>IF(N23="IRRIGATED",IF(E23/M23&gt;=[1]SCORES!I$5,1,0),"")</f>
        <v>0</v>
      </c>
      <c r="Q23" s="34">
        <f t="shared" si="0"/>
        <v>1.6950874865938406</v>
      </c>
      <c r="S23" s="7">
        <f t="shared" si="1"/>
        <v>-0.21255497800879647</v>
      </c>
    </row>
    <row r="24" spans="1:19" x14ac:dyDescent="0.25">
      <c r="A24" s="69">
        <v>4042.2027212005</v>
      </c>
      <c r="B24" s="69" t="s">
        <v>57</v>
      </c>
      <c r="C24" s="69">
        <v>2</v>
      </c>
      <c r="D24" s="69">
        <v>453</v>
      </c>
      <c r="E24" s="69">
        <v>577</v>
      </c>
      <c r="F24" s="69">
        <v>62</v>
      </c>
      <c r="G24" s="69">
        <v>403</v>
      </c>
      <c r="H24" s="69" t="s">
        <v>173</v>
      </c>
      <c r="I24" s="69">
        <v>1331</v>
      </c>
      <c r="J24" s="69">
        <v>4</v>
      </c>
      <c r="K24" s="69">
        <v>8724</v>
      </c>
      <c r="L24" s="69">
        <v>11716</v>
      </c>
      <c r="M24" s="69">
        <v>1</v>
      </c>
      <c r="N24" s="69" t="s">
        <v>39</v>
      </c>
      <c r="O24" s="69">
        <v>2020</v>
      </c>
      <c r="P24" s="34">
        <f>IF(N24="IRRIGATED",IF(E24/M24&gt;=[1]SCORES!I$5,1,0),"")</f>
        <v>1</v>
      </c>
      <c r="Q24" s="34">
        <f t="shared" si="0"/>
        <v>2.5061656871443101</v>
      </c>
      <c r="S24" s="7">
        <f t="shared" si="1"/>
        <v>-0.25537726186411747</v>
      </c>
    </row>
    <row r="25" spans="1:19" x14ac:dyDescent="0.25">
      <c r="A25" s="69">
        <v>4722.5405967596198</v>
      </c>
      <c r="B25" s="69" t="s">
        <v>57</v>
      </c>
      <c r="C25" s="69">
        <v>2</v>
      </c>
      <c r="D25" s="69">
        <v>414</v>
      </c>
      <c r="E25" s="69">
        <v>505</v>
      </c>
      <c r="F25" s="69">
        <v>64</v>
      </c>
      <c r="G25" s="69">
        <v>352</v>
      </c>
      <c r="H25" s="69" t="s">
        <v>173</v>
      </c>
      <c r="I25" s="69">
        <v>921</v>
      </c>
      <c r="J25" s="69">
        <v>4</v>
      </c>
      <c r="K25" s="69">
        <v>8705</v>
      </c>
      <c r="L25" s="69">
        <v>11832</v>
      </c>
      <c r="M25" s="69">
        <v>1</v>
      </c>
      <c r="N25" s="69" t="s">
        <v>39</v>
      </c>
      <c r="O25" s="69">
        <v>2021</v>
      </c>
      <c r="P25" s="34">
        <f>IF(N25="IRRIGATED",IF(E25/M25&gt;=[1]SCORES!I$5,1,0),"")</f>
        <v>1</v>
      </c>
      <c r="Q25" s="34">
        <f t="shared" si="0"/>
        <v>3.0224259819261565</v>
      </c>
      <c r="S25" s="7">
        <f t="shared" si="1"/>
        <v>-0.26428329952670726</v>
      </c>
    </row>
    <row r="26" spans="1:19" x14ac:dyDescent="0.25">
      <c r="A26" s="69">
        <v>6400.6442490076697</v>
      </c>
      <c r="B26" s="69" t="s">
        <v>57</v>
      </c>
      <c r="C26" s="69">
        <v>2</v>
      </c>
      <c r="D26" s="69">
        <v>445</v>
      </c>
      <c r="E26" s="69">
        <v>521</v>
      </c>
      <c r="F26" s="69">
        <v>49</v>
      </c>
      <c r="G26" s="69">
        <v>392</v>
      </c>
      <c r="H26" s="69" t="s">
        <v>173</v>
      </c>
      <c r="I26" s="69">
        <v>1164</v>
      </c>
      <c r="J26" s="69">
        <v>4</v>
      </c>
      <c r="K26" s="69">
        <v>10421</v>
      </c>
      <c r="L26" s="69">
        <v>12988</v>
      </c>
      <c r="M26" s="69">
        <v>1</v>
      </c>
      <c r="N26" s="69" t="s">
        <v>39</v>
      </c>
      <c r="O26" s="69">
        <v>2022</v>
      </c>
      <c r="P26" s="34">
        <f>IF(N26="IRRIGATED",IF(E26/M26&gt;=[1]SCORES!I$5,1,0),"")</f>
        <v>1</v>
      </c>
      <c r="Q26" s="34">
        <f t="shared" si="0"/>
        <v>3.1363156820137581</v>
      </c>
      <c r="S26" s="7">
        <f t="shared" si="1"/>
        <v>-0.19764397905759162</v>
      </c>
    </row>
    <row r="51" spans="16:17" x14ac:dyDescent="0.25">
      <c r="P51" s="34" t="str">
        <f>IF(N51="IRRIGATED",IF(E51/M51&gt;=[1]SCORES!I$5,1,0),"")</f>
        <v/>
      </c>
      <c r="Q51" s="34">
        <f t="shared" ref="Q51:Q82" si="2">A51*10000*F51/1000/10^6</f>
        <v>0</v>
      </c>
    </row>
    <row r="52" spans="16:17" x14ac:dyDescent="0.25">
      <c r="P52" s="34" t="str">
        <f>IF(N52="IRRIGATED",IF(E52/M52&gt;=[1]SCORES!I$5,1,0),"")</f>
        <v/>
      </c>
      <c r="Q52" s="34">
        <f t="shared" si="2"/>
        <v>0</v>
      </c>
    </row>
    <row r="53" spans="16:17" x14ac:dyDescent="0.25">
      <c r="P53" s="34" t="str">
        <f>IF(N53="IRRIGATED",IF(E53/M53&gt;=[1]SCORES!I$5,1,0),"")</f>
        <v/>
      </c>
      <c r="Q53" s="34">
        <f t="shared" si="2"/>
        <v>0</v>
      </c>
    </row>
    <row r="54" spans="16:17" x14ac:dyDescent="0.25">
      <c r="P54" s="34" t="str">
        <f>IF(N54="IRRIGATED",IF(E54/M54&gt;=[1]SCORES!I$5,1,0),"")</f>
        <v/>
      </c>
      <c r="Q54" s="34">
        <f t="shared" si="2"/>
        <v>0</v>
      </c>
    </row>
    <row r="55" spans="16:17" x14ac:dyDescent="0.25">
      <c r="P55" s="34" t="str">
        <f>IF(N55="IRRIGATED",IF(E55/M55&gt;=[1]SCORES!I$5,1,0),"")</f>
        <v/>
      </c>
      <c r="Q55" s="34">
        <f t="shared" si="2"/>
        <v>0</v>
      </c>
    </row>
    <row r="56" spans="16:17" x14ac:dyDescent="0.25">
      <c r="P56" s="34" t="str">
        <f>IF(N56="IRRIGATED",IF(E56/M56&gt;=[1]SCORES!I$5,1,0),"")</f>
        <v/>
      </c>
      <c r="Q56" s="34">
        <f t="shared" si="2"/>
        <v>0</v>
      </c>
    </row>
    <row r="57" spans="16:17" x14ac:dyDescent="0.25">
      <c r="P57" s="34" t="str">
        <f>IF(N57="IRRIGATED",IF(E57/M57&gt;=[1]SCORES!I$5,1,0),"")</f>
        <v/>
      </c>
      <c r="Q57" s="34">
        <f t="shared" si="2"/>
        <v>0</v>
      </c>
    </row>
    <row r="58" spans="16:17" x14ac:dyDescent="0.25">
      <c r="P58" s="34" t="str">
        <f>IF(N58="IRRIGATED",IF(E58/M58&gt;=[1]SCORES!I$5,1,0),"")</f>
        <v/>
      </c>
      <c r="Q58" s="34">
        <f t="shared" si="2"/>
        <v>0</v>
      </c>
    </row>
    <row r="59" spans="16:17" x14ac:dyDescent="0.25">
      <c r="P59" s="34" t="str">
        <f>IF(N59="IRRIGATED",IF(E59/M59&gt;=[1]SCORES!I$5,1,0),"")</f>
        <v/>
      </c>
      <c r="Q59" s="34">
        <f t="shared" si="2"/>
        <v>0</v>
      </c>
    </row>
    <row r="60" spans="16:17" x14ac:dyDescent="0.25">
      <c r="P60" s="34" t="str">
        <f>IF(N60="IRRIGATED",IF(E60/M60&gt;=[1]SCORES!I$5,1,0),"")</f>
        <v/>
      </c>
      <c r="Q60" s="34">
        <f t="shared" si="2"/>
        <v>0</v>
      </c>
    </row>
    <row r="61" spans="16:17" x14ac:dyDescent="0.25">
      <c r="P61" s="34" t="str">
        <f>IF(N61="IRRIGATED",IF(E61/M61&gt;=[1]SCORES!I$5,1,0),"")</f>
        <v/>
      </c>
      <c r="Q61" s="34">
        <f t="shared" si="2"/>
        <v>0</v>
      </c>
    </row>
    <row r="62" spans="16:17" x14ac:dyDescent="0.25">
      <c r="P62" s="34" t="str">
        <f>IF(N62="IRRIGATED",IF(E62/M62&gt;=[1]SCORES!I$5,1,0),"")</f>
        <v/>
      </c>
      <c r="Q62" s="34">
        <f t="shared" si="2"/>
        <v>0</v>
      </c>
    </row>
    <row r="63" spans="16:17" x14ac:dyDescent="0.25">
      <c r="P63" s="34" t="str">
        <f>IF(N63="IRRIGATED",IF(E63/M63&gt;=[1]SCORES!I$5,1,0),"")</f>
        <v/>
      </c>
      <c r="Q63" s="34">
        <f t="shared" si="2"/>
        <v>0</v>
      </c>
    </row>
    <row r="64" spans="16:17" x14ac:dyDescent="0.25">
      <c r="P64" s="34" t="str">
        <f>IF(N64="IRRIGATED",IF(E64/M64&gt;=[1]SCORES!I$5,1,0),"")</f>
        <v/>
      </c>
      <c r="Q64" s="34">
        <f t="shared" si="2"/>
        <v>0</v>
      </c>
    </row>
    <row r="65" spans="16:17" x14ac:dyDescent="0.25">
      <c r="P65" s="34" t="str">
        <f>IF(N65="IRRIGATED",IF(E65/M65&gt;=[1]SCORES!I$5,1,0),"")</f>
        <v/>
      </c>
      <c r="Q65" s="34">
        <f t="shared" si="2"/>
        <v>0</v>
      </c>
    </row>
    <row r="66" spans="16:17" x14ac:dyDescent="0.25">
      <c r="P66" s="34" t="str">
        <f>IF(N66="IRRIGATED",IF(E66/M66&gt;=[1]SCORES!I$5,1,0),"")</f>
        <v/>
      </c>
      <c r="Q66" s="34">
        <f t="shared" si="2"/>
        <v>0</v>
      </c>
    </row>
    <row r="67" spans="16:17" x14ac:dyDescent="0.25">
      <c r="P67" s="34" t="str">
        <f>IF(N67="IRRIGATED",IF(E67/M67&gt;=[1]SCORES!I$5,1,0),"")</f>
        <v/>
      </c>
      <c r="Q67" s="34">
        <f t="shared" si="2"/>
        <v>0</v>
      </c>
    </row>
    <row r="68" spans="16:17" x14ac:dyDescent="0.25">
      <c r="P68" s="34" t="str">
        <f>IF(N68="IRRIGATED",IF(E68/M68&gt;=[1]SCORES!I$5,1,0),"")</f>
        <v/>
      </c>
      <c r="Q68" s="34">
        <f t="shared" si="2"/>
        <v>0</v>
      </c>
    </row>
    <row r="69" spans="16:17" x14ac:dyDescent="0.25">
      <c r="P69" s="34" t="str">
        <f>IF(N69="IRRIGATED",IF(E69/M69&gt;=[1]SCORES!I$5,1,0),"")</f>
        <v/>
      </c>
      <c r="Q69" s="34">
        <f t="shared" si="2"/>
        <v>0</v>
      </c>
    </row>
    <row r="70" spans="16:17" x14ac:dyDescent="0.25">
      <c r="P70" s="34" t="str">
        <f>IF(N70="IRRIGATED",IF(E70/M70&gt;=[1]SCORES!I$5,1,0),"")</f>
        <v/>
      </c>
      <c r="Q70" s="34">
        <f t="shared" si="2"/>
        <v>0</v>
      </c>
    </row>
    <row r="71" spans="16:17" x14ac:dyDescent="0.25">
      <c r="P71" s="34" t="str">
        <f>IF(N71="IRRIGATED",IF(E71/M71&gt;=[1]SCORES!I$5,1,0),"")</f>
        <v/>
      </c>
      <c r="Q71" s="34">
        <f t="shared" si="2"/>
        <v>0</v>
      </c>
    </row>
    <row r="72" spans="16:17" x14ac:dyDescent="0.25">
      <c r="P72" s="34" t="str">
        <f>IF(N72="IRRIGATED",IF(E72/M72&gt;=[1]SCORES!I$5,1,0),"")</f>
        <v/>
      </c>
      <c r="Q72" s="34">
        <f t="shared" si="2"/>
        <v>0</v>
      </c>
    </row>
    <row r="73" spans="16:17" x14ac:dyDescent="0.25">
      <c r="P73" s="34" t="str">
        <f>IF(N73="IRRIGATED",IF(E73/M73&gt;=[1]SCORES!I$5,1,0),"")</f>
        <v/>
      </c>
      <c r="Q73" s="34">
        <f t="shared" si="2"/>
        <v>0</v>
      </c>
    </row>
    <row r="74" spans="16:17" x14ac:dyDescent="0.25">
      <c r="P74" s="34" t="str">
        <f>IF(N74="IRRIGATED",IF(E74/M74&gt;=[1]SCORES!I$5,1,0),"")</f>
        <v/>
      </c>
      <c r="Q74" s="34">
        <f t="shared" si="2"/>
        <v>0</v>
      </c>
    </row>
    <row r="75" spans="16:17" x14ac:dyDescent="0.25">
      <c r="P75" s="34" t="str">
        <f>IF(N75="IRRIGATED",IF(E75/M75&gt;=[1]SCORES!I$5,1,0),"")</f>
        <v/>
      </c>
      <c r="Q75" s="34">
        <f t="shared" si="2"/>
        <v>0</v>
      </c>
    </row>
    <row r="76" spans="16:17" x14ac:dyDescent="0.25">
      <c r="P76" s="34" t="str">
        <f>IF(N76="IRRIGATED",IF(E76/M76&gt;=[1]SCORES!I$5,1,0),"")</f>
        <v/>
      </c>
      <c r="Q76" s="34">
        <f t="shared" si="2"/>
        <v>0</v>
      </c>
    </row>
    <row r="77" spans="16:17" x14ac:dyDescent="0.25">
      <c r="P77" s="34" t="str">
        <f>IF(N77="IRRIGATED",IF(E77/M77&gt;=[1]SCORES!I$5,1,0),"")</f>
        <v/>
      </c>
      <c r="Q77" s="34">
        <f t="shared" si="2"/>
        <v>0</v>
      </c>
    </row>
    <row r="78" spans="16:17" x14ac:dyDescent="0.25">
      <c r="P78" s="34" t="str">
        <f>IF(N78="IRRIGATED",IF(E78/M78&gt;=[1]SCORES!I$5,1,0),"")</f>
        <v/>
      </c>
      <c r="Q78" s="34">
        <f t="shared" si="2"/>
        <v>0</v>
      </c>
    </row>
    <row r="79" spans="16:17" x14ac:dyDescent="0.25">
      <c r="P79" s="34" t="str">
        <f>IF(N79="IRRIGATED",IF(E79/M79&gt;=[1]SCORES!I$5,1,0),"")</f>
        <v/>
      </c>
      <c r="Q79" s="34">
        <f t="shared" si="2"/>
        <v>0</v>
      </c>
    </row>
    <row r="80" spans="16:17" x14ac:dyDescent="0.25">
      <c r="P80" s="34" t="str">
        <f>IF(N80="IRRIGATED",IF(E80/M80&gt;=[1]SCORES!I$5,1,0),"")</f>
        <v/>
      </c>
      <c r="Q80" s="34">
        <f t="shared" si="2"/>
        <v>0</v>
      </c>
    </row>
    <row r="81" spans="16:17" x14ac:dyDescent="0.25">
      <c r="P81" s="34" t="str">
        <f>IF(N81="IRRIGATED",IF(E81/M81&gt;=[1]SCORES!I$5,1,0),"")</f>
        <v/>
      </c>
      <c r="Q81" s="34">
        <f t="shared" si="2"/>
        <v>0</v>
      </c>
    </row>
    <row r="82" spans="16:17" x14ac:dyDescent="0.25">
      <c r="P82" s="34" t="str">
        <f>IF(N82="IRRIGATED",IF(E82/M82&gt;=[1]SCORES!I$5,1,0),"")</f>
        <v/>
      </c>
      <c r="Q82" s="34">
        <f t="shared" si="2"/>
        <v>0</v>
      </c>
    </row>
    <row r="83" spans="16:17" x14ac:dyDescent="0.25">
      <c r="P83" s="34" t="str">
        <f>IF(N83="IRRIGATED",IF(E83/M83&gt;=[1]SCORES!I$5,1,0),"")</f>
        <v/>
      </c>
      <c r="Q83" s="34">
        <f t="shared" ref="Q83:Q114" si="3">A83*10000*F83/1000/10^6</f>
        <v>0</v>
      </c>
    </row>
    <row r="84" spans="16:17" x14ac:dyDescent="0.25">
      <c r="P84" s="34" t="str">
        <f>IF(N84="IRRIGATED",IF(E84/M84&gt;=[1]SCORES!I$5,1,0),"")</f>
        <v/>
      </c>
      <c r="Q84" s="34">
        <f t="shared" si="3"/>
        <v>0</v>
      </c>
    </row>
    <row r="85" spans="16:17" x14ac:dyDescent="0.25">
      <c r="P85" s="34" t="str">
        <f>IF(N85="IRRIGATED",IF(E85/M85&gt;=[1]SCORES!I$5,1,0),"")</f>
        <v/>
      </c>
      <c r="Q85" s="34">
        <f t="shared" si="3"/>
        <v>0</v>
      </c>
    </row>
    <row r="86" spans="16:17" x14ac:dyDescent="0.25">
      <c r="P86" s="34" t="str">
        <f>IF(N86="IRRIGATED",IF(E86/M86&gt;=[1]SCORES!I$5,1,0),"")</f>
        <v/>
      </c>
      <c r="Q86" s="34">
        <f t="shared" si="3"/>
        <v>0</v>
      </c>
    </row>
    <row r="87" spans="16:17" x14ac:dyDescent="0.25">
      <c r="P87" s="34" t="str">
        <f>IF(N87="IRRIGATED",IF(E87/M87&gt;=[1]SCORES!I$5,1,0),"")</f>
        <v/>
      </c>
      <c r="Q87" s="34">
        <f t="shared" si="3"/>
        <v>0</v>
      </c>
    </row>
    <row r="88" spans="16:17" x14ac:dyDescent="0.25">
      <c r="P88" s="34" t="str">
        <f>IF(N88="IRRIGATED",IF(E88/M88&gt;=[1]SCORES!I$5,1,0),"")</f>
        <v/>
      </c>
      <c r="Q88" s="34">
        <f t="shared" si="3"/>
        <v>0</v>
      </c>
    </row>
    <row r="89" spans="16:17" x14ac:dyDescent="0.25">
      <c r="P89" s="34" t="str">
        <f>IF(N89="IRRIGATED",IF(E89/M89&gt;=[1]SCORES!I$5,1,0),"")</f>
        <v/>
      </c>
      <c r="Q89" s="34">
        <f t="shared" si="3"/>
        <v>0</v>
      </c>
    </row>
    <row r="90" spans="16:17" x14ac:dyDescent="0.25">
      <c r="P90" s="34" t="str">
        <f>IF(N90="IRRIGATED",IF(E90/M90&gt;=[1]SCORES!I$5,1,0),"")</f>
        <v/>
      </c>
      <c r="Q90" s="34">
        <f t="shared" si="3"/>
        <v>0</v>
      </c>
    </row>
    <row r="91" spans="16:17" x14ac:dyDescent="0.25">
      <c r="P91" s="34" t="str">
        <f>IF(N91="IRRIGATED",IF(E91/M91&gt;=[1]SCORES!I$5,1,0),"")</f>
        <v/>
      </c>
      <c r="Q91" s="34">
        <f t="shared" si="3"/>
        <v>0</v>
      </c>
    </row>
    <row r="92" spans="16:17" x14ac:dyDescent="0.25">
      <c r="P92" s="34" t="str">
        <f>IF(N92="IRRIGATED",IF(E92/M92&gt;=[1]SCORES!I$5,1,0),"")</f>
        <v/>
      </c>
      <c r="Q92" s="34">
        <f t="shared" si="3"/>
        <v>0</v>
      </c>
    </row>
    <row r="93" spans="16:17" x14ac:dyDescent="0.25">
      <c r="P93" s="34" t="str">
        <f>IF(N93="IRRIGATED",IF(E93/M93&gt;=[1]SCORES!I$5,1,0),"")</f>
        <v/>
      </c>
      <c r="Q93" s="34">
        <f t="shared" si="3"/>
        <v>0</v>
      </c>
    </row>
    <row r="94" spans="16:17" x14ac:dyDescent="0.25">
      <c r="P94" s="34" t="str">
        <f>IF(N94="IRRIGATED",IF(E94/M94&gt;=[1]SCORES!I$5,1,0),"")</f>
        <v/>
      </c>
      <c r="Q94" s="34">
        <f t="shared" si="3"/>
        <v>0</v>
      </c>
    </row>
    <row r="95" spans="16:17" x14ac:dyDescent="0.25">
      <c r="P95" s="34" t="str">
        <f>IF(N95="IRRIGATED",IF(E95/M95&gt;=[1]SCORES!I$5,1,0),"")</f>
        <v/>
      </c>
      <c r="Q95" s="34">
        <f t="shared" si="3"/>
        <v>0</v>
      </c>
    </row>
    <row r="96" spans="16:17" x14ac:dyDescent="0.25">
      <c r="P96" s="34" t="str">
        <f>IF(N96="IRRIGATED",IF(E96/M96&gt;=[1]SCORES!I$5,1,0),"")</f>
        <v/>
      </c>
      <c r="Q96" s="34">
        <f t="shared" si="3"/>
        <v>0</v>
      </c>
    </row>
    <row r="97" spans="16:17" x14ac:dyDescent="0.25">
      <c r="P97" s="34" t="str">
        <f>IF(N97="IRRIGATED",IF(E97/M97&gt;=[1]SCORES!I$5,1,0),"")</f>
        <v/>
      </c>
      <c r="Q97" s="34">
        <f t="shared" si="3"/>
        <v>0</v>
      </c>
    </row>
    <row r="98" spans="16:17" x14ac:dyDescent="0.25">
      <c r="P98" s="34" t="str">
        <f>IF(N98="IRRIGATED",IF(E98/M98&gt;=[1]SCORES!I$5,1,0),"")</f>
        <v/>
      </c>
      <c r="Q98" s="34">
        <f t="shared" si="3"/>
        <v>0</v>
      </c>
    </row>
    <row r="99" spans="16:17" x14ac:dyDescent="0.25">
      <c r="P99" s="34" t="str">
        <f>IF(N99="IRRIGATED",IF(E99/M99&gt;=[1]SCORES!I$5,1,0),"")</f>
        <v/>
      </c>
      <c r="Q99" s="34">
        <f t="shared" si="3"/>
        <v>0</v>
      </c>
    </row>
    <row r="100" spans="16:17" x14ac:dyDescent="0.25">
      <c r="P100" s="34" t="str">
        <f>IF(N100="IRRIGATED",IF(E100/M100&gt;=[1]SCORES!I$5,1,0),"")</f>
        <v/>
      </c>
      <c r="Q100" s="34">
        <f t="shared" si="3"/>
        <v>0</v>
      </c>
    </row>
    <row r="101" spans="16:17" x14ac:dyDescent="0.25">
      <c r="P101" s="34" t="str">
        <f>IF(N101="IRRIGATED",IF(E101/M101&gt;=[1]SCORES!I$5,1,0),"")</f>
        <v/>
      </c>
      <c r="Q101" s="34">
        <f t="shared" si="3"/>
        <v>0</v>
      </c>
    </row>
    <row r="102" spans="16:17" x14ac:dyDescent="0.25">
      <c r="P102" s="34" t="str">
        <f>IF(N102="IRRIGATED",IF(E102/M102&gt;=[1]SCORES!I$5,1,0),"")</f>
        <v/>
      </c>
      <c r="Q102" s="34">
        <f t="shared" si="3"/>
        <v>0</v>
      </c>
    </row>
    <row r="103" spans="16:17" x14ac:dyDescent="0.25">
      <c r="P103" s="34" t="str">
        <f>IF(N103="IRRIGATED",IF(E103/M103&gt;=[1]SCORES!I$5,1,0),"")</f>
        <v/>
      </c>
      <c r="Q103" s="34">
        <f t="shared" si="3"/>
        <v>0</v>
      </c>
    </row>
    <row r="104" spans="16:17" x14ac:dyDescent="0.25">
      <c r="P104" s="34" t="str">
        <f>IF(N104="IRRIGATED",IF(E104/M104&gt;=[1]SCORES!I$5,1,0),"")</f>
        <v/>
      </c>
      <c r="Q104" s="34">
        <f t="shared" si="3"/>
        <v>0</v>
      </c>
    </row>
    <row r="105" spans="16:17" x14ac:dyDescent="0.25">
      <c r="P105" s="34" t="str">
        <f>IF(N105="IRRIGATED",IF(E105/M105&gt;=[1]SCORES!I$5,1,0),"")</f>
        <v/>
      </c>
      <c r="Q105" s="34">
        <f t="shared" si="3"/>
        <v>0</v>
      </c>
    </row>
    <row r="106" spans="16:17" x14ac:dyDescent="0.25">
      <c r="P106" s="34" t="str">
        <f>IF(N106="IRRIGATED",IF(E106/M106&gt;=[1]SCORES!I$5,1,0),"")</f>
        <v/>
      </c>
      <c r="Q106" s="34">
        <f t="shared" si="3"/>
        <v>0</v>
      </c>
    </row>
    <row r="107" spans="16:17" x14ac:dyDescent="0.25">
      <c r="P107" s="34" t="str">
        <f>IF(N107="IRRIGATED",IF(E107/M107&gt;=[1]SCORES!I$5,1,0),"")</f>
        <v/>
      </c>
      <c r="Q107" s="34">
        <f t="shared" si="3"/>
        <v>0</v>
      </c>
    </row>
    <row r="108" spans="16:17" x14ac:dyDescent="0.25">
      <c r="P108" s="34" t="str">
        <f>IF(N108="IRRIGATED",IF(E108/M108&gt;=[1]SCORES!I$5,1,0),"")</f>
        <v/>
      </c>
      <c r="Q108" s="34">
        <f t="shared" si="3"/>
        <v>0</v>
      </c>
    </row>
    <row r="109" spans="16:17" x14ac:dyDescent="0.25">
      <c r="P109" s="34" t="str">
        <f>IF(N109="IRRIGATED",IF(E109/M109&gt;=[1]SCORES!I$5,1,0),"")</f>
        <v/>
      </c>
      <c r="Q109" s="34">
        <f t="shared" si="3"/>
        <v>0</v>
      </c>
    </row>
    <row r="110" spans="16:17" x14ac:dyDescent="0.25">
      <c r="P110" s="34" t="str">
        <f>IF(N110="IRRIGATED",IF(E110/M110&gt;=[1]SCORES!I$5,1,0),"")</f>
        <v/>
      </c>
      <c r="Q110" s="34">
        <f t="shared" si="3"/>
        <v>0</v>
      </c>
    </row>
    <row r="111" spans="16:17" x14ac:dyDescent="0.25">
      <c r="P111" s="34" t="str">
        <f>IF(N111="IRRIGATED",IF(E111/M111&gt;=[1]SCORES!I$5,1,0),"")</f>
        <v/>
      </c>
      <c r="Q111" s="34">
        <f t="shared" si="3"/>
        <v>0</v>
      </c>
    </row>
    <row r="112" spans="16:17" x14ac:dyDescent="0.25">
      <c r="P112" s="34" t="str">
        <f>IF(N112="IRRIGATED",IF(E112/M112&gt;=[1]SCORES!I$5,1,0),"")</f>
        <v/>
      </c>
      <c r="Q112" s="34">
        <f t="shared" si="3"/>
        <v>0</v>
      </c>
    </row>
    <row r="113" spans="16:17" x14ac:dyDescent="0.25">
      <c r="P113" s="34" t="str">
        <f>IF(N113="IRRIGATED",IF(E113/M113&gt;=[1]SCORES!I$5,1,0),"")</f>
        <v/>
      </c>
      <c r="Q113" s="34">
        <f t="shared" si="3"/>
        <v>0</v>
      </c>
    </row>
    <row r="114" spans="16:17" x14ac:dyDescent="0.25">
      <c r="P114" s="34" t="str">
        <f>IF(N114="IRRIGATED",IF(E114/M114&gt;=[1]SCORES!I$5,1,0),"")</f>
        <v/>
      </c>
      <c r="Q114" s="34">
        <f t="shared" si="3"/>
        <v>0</v>
      </c>
    </row>
    <row r="115" spans="16:17" x14ac:dyDescent="0.25">
      <c r="P115" s="34" t="str">
        <f>IF(N115="IRRIGATED",IF(E115/M115&gt;=[1]SCORES!I$5,1,0),"")</f>
        <v/>
      </c>
      <c r="Q115" s="34">
        <f t="shared" ref="Q115:Q142" si="4">A115*10000*F115/1000/10^6</f>
        <v>0</v>
      </c>
    </row>
    <row r="116" spans="16:17" x14ac:dyDescent="0.25">
      <c r="P116" s="34" t="str">
        <f>IF(N116="IRRIGATED",IF(E116/M116&gt;=[1]SCORES!I$5,1,0),"")</f>
        <v/>
      </c>
      <c r="Q116" s="34">
        <f t="shared" si="4"/>
        <v>0</v>
      </c>
    </row>
    <row r="117" spans="16:17" x14ac:dyDescent="0.25">
      <c r="P117" s="34" t="str">
        <f>IF(N117="IRRIGATED",IF(E117/M117&gt;=[1]SCORES!I$5,1,0),"")</f>
        <v/>
      </c>
      <c r="Q117" s="34">
        <f t="shared" si="4"/>
        <v>0</v>
      </c>
    </row>
    <row r="118" spans="16:17" x14ac:dyDescent="0.25">
      <c r="P118" s="34" t="str">
        <f>IF(N118="IRRIGATED",IF(E118/M118&gt;=[1]SCORES!I$5,1,0),"")</f>
        <v/>
      </c>
      <c r="Q118" s="34">
        <f t="shared" si="4"/>
        <v>0</v>
      </c>
    </row>
    <row r="119" spans="16:17" x14ac:dyDescent="0.25">
      <c r="P119" s="34" t="str">
        <f>IF(N119="IRRIGATED",IF(E119/M119&gt;=[1]SCORES!I$5,1,0),"")</f>
        <v/>
      </c>
      <c r="Q119" s="34">
        <f t="shared" si="4"/>
        <v>0</v>
      </c>
    </row>
    <row r="120" spans="16:17" x14ac:dyDescent="0.25">
      <c r="P120" s="34" t="str">
        <f>IF(N120="IRRIGATED",IF(E120/M120&gt;=[1]SCORES!I$5,1,0),"")</f>
        <v/>
      </c>
      <c r="Q120" s="34">
        <f t="shared" si="4"/>
        <v>0</v>
      </c>
    </row>
    <row r="121" spans="16:17" x14ac:dyDescent="0.25">
      <c r="P121" s="34" t="str">
        <f>IF(N121="IRRIGATED",IF(E121/M121&gt;=[1]SCORES!I$5,1,0),"")</f>
        <v/>
      </c>
      <c r="Q121" s="34">
        <f t="shared" si="4"/>
        <v>0</v>
      </c>
    </row>
    <row r="122" spans="16:17" x14ac:dyDescent="0.25">
      <c r="P122" s="34" t="str">
        <f>IF(N122="IRRIGATED",IF(E122/M122&gt;=[1]SCORES!I$5,1,0),"")</f>
        <v/>
      </c>
      <c r="Q122" s="34">
        <f t="shared" si="4"/>
        <v>0</v>
      </c>
    </row>
    <row r="123" spans="16:17" x14ac:dyDescent="0.25">
      <c r="P123" s="34" t="str">
        <f>IF(N123="IRRIGATED",IF(E123/M123&gt;=[1]SCORES!I$5,1,0),"")</f>
        <v/>
      </c>
      <c r="Q123" s="34">
        <f t="shared" si="4"/>
        <v>0</v>
      </c>
    </row>
    <row r="124" spans="16:17" x14ac:dyDescent="0.25">
      <c r="P124" s="34" t="str">
        <f>IF(N124="IRRIGATED",IF(E124/M124&gt;=[1]SCORES!I$5,1,0),"")</f>
        <v/>
      </c>
      <c r="Q124" s="34">
        <f t="shared" si="4"/>
        <v>0</v>
      </c>
    </row>
    <row r="125" spans="16:17" x14ac:dyDescent="0.25">
      <c r="P125" s="34" t="str">
        <f>IF(N125="IRRIGATED",IF(E125/M125&gt;=[1]SCORES!I$5,1,0),"")</f>
        <v/>
      </c>
      <c r="Q125" s="34">
        <f t="shared" si="4"/>
        <v>0</v>
      </c>
    </row>
    <row r="126" spans="16:17" x14ac:dyDescent="0.25">
      <c r="P126" s="34" t="str">
        <f>IF(N126="IRRIGATED",IF(E126/M126&gt;=[1]SCORES!I$5,1,0),"")</f>
        <v/>
      </c>
      <c r="Q126" s="34">
        <f t="shared" si="4"/>
        <v>0</v>
      </c>
    </row>
    <row r="127" spans="16:17" x14ac:dyDescent="0.25">
      <c r="P127" s="34" t="str">
        <f>IF(N127="IRRIGATED",IF(E127/M127&gt;=[1]SCORES!I$5,1,0),"")</f>
        <v/>
      </c>
      <c r="Q127" s="34">
        <f t="shared" si="4"/>
        <v>0</v>
      </c>
    </row>
    <row r="128" spans="16:17" x14ac:dyDescent="0.25">
      <c r="P128" s="34" t="str">
        <f>IF(N128="IRRIGATED",IF(E128/M128&gt;=[1]SCORES!I$5,1,0),"")</f>
        <v/>
      </c>
      <c r="Q128" s="34">
        <f t="shared" si="4"/>
        <v>0</v>
      </c>
    </row>
    <row r="129" spans="16:17" x14ac:dyDescent="0.25">
      <c r="P129" s="34" t="str">
        <f>IF(N129="IRRIGATED",IF(E129/M129&gt;=[1]SCORES!I$5,1,0),"")</f>
        <v/>
      </c>
      <c r="Q129" s="34">
        <f t="shared" si="4"/>
        <v>0</v>
      </c>
    </row>
    <row r="130" spans="16:17" x14ac:dyDescent="0.25">
      <c r="P130" s="34" t="str">
        <f>IF(N130="IRRIGATED",IF(E130/M130&gt;=[1]SCORES!I$5,1,0),"")</f>
        <v/>
      </c>
      <c r="Q130" s="34">
        <f t="shared" si="4"/>
        <v>0</v>
      </c>
    </row>
    <row r="131" spans="16:17" x14ac:dyDescent="0.25">
      <c r="P131" s="34" t="str">
        <f>IF(N131="IRRIGATED",IF(E131/M131&gt;=[1]SCORES!I$5,1,0),"")</f>
        <v/>
      </c>
      <c r="Q131" s="34">
        <f t="shared" si="4"/>
        <v>0</v>
      </c>
    </row>
    <row r="132" spans="16:17" x14ac:dyDescent="0.25">
      <c r="P132" s="34" t="str">
        <f>IF(N132="IRRIGATED",IF(E132/M132&gt;=[1]SCORES!I$5,1,0),"")</f>
        <v/>
      </c>
      <c r="Q132" s="34">
        <f t="shared" si="4"/>
        <v>0</v>
      </c>
    </row>
    <row r="133" spans="16:17" x14ac:dyDescent="0.25">
      <c r="P133" s="34" t="str">
        <f>IF(N133="IRRIGATED",IF(E133/M133&gt;=[1]SCORES!I$5,1,0),"")</f>
        <v/>
      </c>
      <c r="Q133" s="34">
        <f t="shared" si="4"/>
        <v>0</v>
      </c>
    </row>
    <row r="134" spans="16:17" x14ac:dyDescent="0.25">
      <c r="P134" s="34" t="str">
        <f>IF(N134="IRRIGATED",IF(E134/M134&gt;=[1]SCORES!I$5,1,0),"")</f>
        <v/>
      </c>
      <c r="Q134" s="34">
        <f t="shared" si="4"/>
        <v>0</v>
      </c>
    </row>
    <row r="135" spans="16:17" x14ac:dyDescent="0.25">
      <c r="P135" s="34" t="str">
        <f>IF(N135="IRRIGATED",IF(E135/M135&gt;=[1]SCORES!I$5,1,0),"")</f>
        <v/>
      </c>
      <c r="Q135" s="34">
        <f t="shared" si="4"/>
        <v>0</v>
      </c>
    </row>
    <row r="136" spans="16:17" x14ac:dyDescent="0.25">
      <c r="P136" s="34" t="str">
        <f>IF(N136="IRRIGATED",IF(E136/M136&gt;=[1]SCORES!I$5,1,0),"")</f>
        <v/>
      </c>
      <c r="Q136" s="34">
        <f t="shared" si="4"/>
        <v>0</v>
      </c>
    </row>
    <row r="137" spans="16:17" x14ac:dyDescent="0.25">
      <c r="P137" s="34" t="str">
        <f>IF(N137="IRRIGATED",IF(E137/M137&gt;=[1]SCORES!I$5,1,0),"")</f>
        <v/>
      </c>
      <c r="Q137" s="34">
        <f t="shared" si="4"/>
        <v>0</v>
      </c>
    </row>
    <row r="138" spans="16:17" x14ac:dyDescent="0.25">
      <c r="P138" s="34" t="str">
        <f>IF(N138="IRRIGATED",IF(E138/M138&gt;=[1]SCORES!I$5,1,0),"")</f>
        <v/>
      </c>
      <c r="Q138" s="34">
        <f t="shared" si="4"/>
        <v>0</v>
      </c>
    </row>
    <row r="139" spans="16:17" x14ac:dyDescent="0.25">
      <c r="P139" s="34" t="str">
        <f>IF(N139="IRRIGATED",IF(E139/M139&gt;=[1]SCORES!I$5,1,0),"")</f>
        <v/>
      </c>
      <c r="Q139" s="34">
        <f t="shared" si="4"/>
        <v>0</v>
      </c>
    </row>
    <row r="140" spans="16:17" x14ac:dyDescent="0.25">
      <c r="P140" s="34" t="str">
        <f>IF(N140="IRRIGATED",IF(E140/M140&gt;=[1]SCORES!I$5,1,0),"")</f>
        <v/>
      </c>
      <c r="Q140" s="34">
        <f t="shared" si="4"/>
        <v>0</v>
      </c>
    </row>
    <row r="141" spans="16:17" x14ac:dyDescent="0.25">
      <c r="P141" s="34" t="str">
        <f>IF(N141="IRRIGATED",IF(E141/M141&gt;=[1]SCORES!I$5,1,0),"")</f>
        <v/>
      </c>
      <c r="Q141" s="34">
        <f t="shared" si="4"/>
        <v>0</v>
      </c>
    </row>
    <row r="142" spans="16:17" x14ac:dyDescent="0.25">
      <c r="P142" s="34" t="str">
        <f>IF(N142="IRRIGATED",IF(E142/M142&gt;=[1]SCORES!I$5,1,0),"")</f>
        <v/>
      </c>
      <c r="Q142" s="34">
        <f t="shared" si="4"/>
        <v>0</v>
      </c>
    </row>
  </sheetData>
  <sortState xmlns:xlrd2="http://schemas.microsoft.com/office/spreadsheetml/2017/richdata2" ref="A2:Q142">
    <sortCondition ref="B1:B14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B1BC-DE14-4F81-9615-F9A2F847723F}">
  <dimension ref="A2:R47"/>
  <sheetViews>
    <sheetView zoomScale="70" zoomScaleNormal="70" workbookViewId="0">
      <selection activeCell="E32" sqref="E32"/>
    </sheetView>
  </sheetViews>
  <sheetFormatPr defaultRowHeight="18.75" x14ac:dyDescent="0.3"/>
  <cols>
    <col min="1" max="1" width="24.625" style="44" customWidth="1"/>
    <col min="2" max="2" width="30.875" style="44" customWidth="1"/>
    <col min="3" max="3" width="26.875" style="44" customWidth="1"/>
    <col min="4" max="4" width="25.625" style="44" customWidth="1"/>
    <col min="5" max="5" width="22.75" style="44" customWidth="1"/>
    <col min="6" max="6" width="23.75" style="44" customWidth="1"/>
    <col min="7" max="7" width="24.75" style="44" customWidth="1"/>
    <col min="8" max="8" width="23.5" style="44" customWidth="1"/>
    <col min="9" max="9" width="15.875" style="44" customWidth="1"/>
    <col min="10" max="10" width="14" style="44" bestFit="1" customWidth="1"/>
    <col min="11" max="11" width="14.5" style="44" bestFit="1" customWidth="1"/>
    <col min="12" max="13" width="8.125" style="44" bestFit="1" customWidth="1"/>
    <col min="14" max="15" width="8.5" style="44" bestFit="1" customWidth="1"/>
    <col min="16" max="16" width="8.125" style="44" bestFit="1" customWidth="1"/>
    <col min="17" max="17" width="8.5" style="44" bestFit="1" customWidth="1"/>
    <col min="18" max="18" width="8.125" style="44" bestFit="1" customWidth="1"/>
    <col min="19" max="16384" width="9" style="44"/>
  </cols>
  <sheetData>
    <row r="2" spans="1:9" x14ac:dyDescent="0.3">
      <c r="A2" s="42" t="s">
        <v>95</v>
      </c>
      <c r="B2" s="42">
        <v>17276</v>
      </c>
      <c r="C2" s="43"/>
      <c r="D2" s="43" t="s">
        <v>174</v>
      </c>
    </row>
    <row r="4" spans="1:9" x14ac:dyDescent="0.3">
      <c r="A4" s="42"/>
      <c r="B4" s="42" t="s">
        <v>42</v>
      </c>
      <c r="C4" s="42" t="s">
        <v>44</v>
      </c>
      <c r="D4" s="42" t="s">
        <v>45</v>
      </c>
      <c r="E4" s="42" t="s">
        <v>46</v>
      </c>
      <c r="F4" s="42" t="s">
        <v>38</v>
      </c>
      <c r="G4" s="42" t="s">
        <v>40</v>
      </c>
      <c r="H4" s="42" t="s">
        <v>43</v>
      </c>
      <c r="I4" s="42" t="s">
        <v>41</v>
      </c>
    </row>
    <row r="5" spans="1:9" x14ac:dyDescent="0.3">
      <c r="A5" s="42" t="s">
        <v>159</v>
      </c>
      <c r="B5" s="43">
        <v>1</v>
      </c>
      <c r="C5" s="43">
        <v>2</v>
      </c>
      <c r="D5" s="43">
        <v>3</v>
      </c>
      <c r="E5" s="43">
        <v>4</v>
      </c>
      <c r="F5" s="43">
        <v>5</v>
      </c>
      <c r="G5" s="43">
        <v>6</v>
      </c>
      <c r="H5" s="43">
        <v>7</v>
      </c>
      <c r="I5" s="43">
        <v>8</v>
      </c>
    </row>
    <row r="6" spans="1:9" x14ac:dyDescent="0.3">
      <c r="A6" s="45" t="s">
        <v>5</v>
      </c>
      <c r="B6" s="43">
        <v>2</v>
      </c>
      <c r="C6" s="43">
        <v>2</v>
      </c>
      <c r="D6" s="43">
        <v>3</v>
      </c>
      <c r="E6" s="43">
        <v>1</v>
      </c>
      <c r="F6" s="43">
        <v>1</v>
      </c>
      <c r="G6" s="43">
        <v>1</v>
      </c>
      <c r="H6" s="43">
        <v>2</v>
      </c>
      <c r="I6" s="43">
        <v>1</v>
      </c>
    </row>
    <row r="7" spans="1:9" x14ac:dyDescent="0.3">
      <c r="A7" s="45" t="s">
        <v>175</v>
      </c>
      <c r="B7" s="43">
        <v>0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</row>
    <row r="9" spans="1:9" x14ac:dyDescent="0.3">
      <c r="A9" s="42" t="s">
        <v>65</v>
      </c>
      <c r="B9" s="42" t="s">
        <v>42</v>
      </c>
      <c r="C9" s="42" t="s">
        <v>44</v>
      </c>
      <c r="D9" s="42" t="s">
        <v>45</v>
      </c>
      <c r="E9" s="42" t="s">
        <v>46</v>
      </c>
      <c r="F9" s="42" t="s">
        <v>38</v>
      </c>
      <c r="G9" s="42" t="s">
        <v>40</v>
      </c>
      <c r="H9" s="42" t="s">
        <v>43</v>
      </c>
      <c r="I9" s="42" t="s">
        <v>41</v>
      </c>
    </row>
    <row r="10" spans="1:9" x14ac:dyDescent="0.3">
      <c r="A10" s="42">
        <v>2018</v>
      </c>
      <c r="B10" s="46">
        <f>SUMIFS('Data(perSeason,perCrop)'!$A:$A,'Data(perSeason,perCrop)'!$S:$S,Cropping_Intensity!$A10,'Data(perSeason,perCrop)'!$O:$O,Cropping_Intensity!B$7,'Data(perSeason,perCrop)'!$C:$C,Cropping_Intensity!B$4)</f>
        <v>70.677873860219194</v>
      </c>
      <c r="C10" s="46">
        <f>SUMIFS('Data(perSeason,perCrop)'!$A:$A,'Data(perSeason,perCrop)'!$S:$S,Cropping_Intensity!$A10,'Data(perSeason,perCrop)'!$O:$O,Cropping_Intensity!C$7,'Data(perSeason,perCrop)'!$C:$C,Cropping_Intensity!C$4)</f>
        <v>0</v>
      </c>
      <c r="D10" s="46">
        <f>SUMIFS('Data(perSeason,perCrop)'!$A:$A,'Data(perSeason,perCrop)'!$S:$S,Cropping_Intensity!$A10,'Data(perSeason,perCrop)'!$O:$O,Cropping_Intensity!D$7,'Data(perSeason,perCrop)'!$C:$C,Cropping_Intensity!D$4)</f>
        <v>0</v>
      </c>
      <c r="E10" s="46">
        <f>SUMIFS('Data(perSeason,perCrop)'!$A:$A,'Data(perSeason,perCrop)'!$S:$S,Cropping_Intensity!$A10,'Data(perSeason,perCrop)'!$O:$O,Cropping_Intensity!E$7,'Data(perSeason,perCrop)'!$C:$C,Cropping_Intensity!E$4)</f>
        <v>796.86922911066608</v>
      </c>
      <c r="F10" s="46">
        <f>SUMIFS('Data(perSeason,perCrop)'!$A:$A,'Data(perSeason,perCrop)'!$S:$S,Cropping_Intensity!$A10,'Data(perSeason,perCrop)'!$O:$O,Cropping_Intensity!F$7,'Data(perSeason,perCrop)'!$C:$C,Cropping_Intensity!F$4)</f>
        <v>8677.5926584606714</v>
      </c>
      <c r="G10" s="46">
        <f>SUMIFS('Data(perSeason,perCrop)'!$A:$A,'Data(perSeason,perCrop)'!$S:$S,Cropping_Intensity!$A10,'Data(perSeason,perCrop)'!$O:$O,Cropping_Intensity!G$7,'Data(perSeason,perCrop)'!$C:$C,Cropping_Intensity!G$4)</f>
        <v>0</v>
      </c>
      <c r="H10" s="46">
        <f>SUMIFS('Data(perSeason,perCrop)'!$A:$A,'Data(perSeason,perCrop)'!$S:$S,Cropping_Intensity!$A10,'Data(perSeason,perCrop)'!$O:$O,Cropping_Intensity!H$7,'Data(perSeason,perCrop)'!$C:$C,Cropping_Intensity!H$4)</f>
        <v>2248.9474307277751</v>
      </c>
      <c r="I10" s="46">
        <f>SUMIFS('Data(perSeason,perCrop)'!$A:$A,'Data(perSeason,perCrop)'!$S:$S,Cropping_Intensity!$A10,'Data(perSeason,perCrop)'!$O:$O,Cropping_Intensity!I$7,'Data(perSeason,perCrop)'!$C:$C,Cropping_Intensity!I$4)</f>
        <v>0</v>
      </c>
    </row>
    <row r="11" spans="1:9" x14ac:dyDescent="0.3">
      <c r="A11" s="42">
        <v>2019</v>
      </c>
      <c r="B11" s="46">
        <f>SUMIFS('Data(perSeason,perCrop)'!$A:$A,'Data(perSeason,perCrop)'!$S:$S,Cropping_Intensity!$A11,'Data(perSeason,perCrop)'!$O:$O,Cropping_Intensity!B$7,'Data(perSeason,perCrop)'!$C:$C,Cropping_Intensity!B$4)</f>
        <v>118.67038205033541</v>
      </c>
      <c r="C11" s="46">
        <f>SUMIFS('Data(perSeason,perCrop)'!$A:$A,'Data(perSeason,perCrop)'!$S:$S,Cropping_Intensity!$A11,'Data(perSeason,perCrop)'!$O:$O,Cropping_Intensity!C$7,'Data(perSeason,perCrop)'!$C:$C,Cropping_Intensity!C$4)</f>
        <v>49.024805529692401</v>
      </c>
      <c r="D11" s="46">
        <f>SUMIFS('Data(perSeason,perCrop)'!$A:$A,'Data(perSeason,perCrop)'!$S:$S,Cropping_Intensity!$A11,'Data(perSeason,perCrop)'!$O:$O,Cropping_Intensity!D$7,'Data(perSeason,perCrop)'!$C:$C,Cropping_Intensity!D$4)</f>
        <v>107.797327464159</v>
      </c>
      <c r="E11" s="46">
        <f>SUMIFS('Data(perSeason,perCrop)'!$A:$A,'Data(perSeason,perCrop)'!$S:$S,Cropping_Intensity!$A11,'Data(perSeason,perCrop)'!$O:$O,Cropping_Intensity!E$7,'Data(perSeason,perCrop)'!$C:$C,Cropping_Intensity!E$4)</f>
        <v>3774.403396605941</v>
      </c>
      <c r="F11" s="46">
        <f>SUMIFS('Data(perSeason,perCrop)'!$A:$A,'Data(perSeason,perCrop)'!$S:$S,Cropping_Intensity!$A11,'Data(perSeason,perCrop)'!$O:$O,Cropping_Intensity!F$7,'Data(perSeason,perCrop)'!$C:$C,Cropping_Intensity!F$4)</f>
        <v>4537.6772725355204</v>
      </c>
      <c r="G11" s="46">
        <f>SUMIFS('Data(perSeason,perCrop)'!$A:$A,'Data(perSeason,perCrop)'!$S:$S,Cropping_Intensity!$A11,'Data(perSeason,perCrop)'!$O:$O,Cropping_Intensity!G$7,'Data(perSeason,perCrop)'!$C:$C,Cropping_Intensity!G$4)</f>
        <v>120.2706697403911</v>
      </c>
      <c r="H11" s="46">
        <f>SUMIFS('Data(perSeason,perCrop)'!$A:$A,'Data(perSeason,perCrop)'!$S:$S,Cropping_Intensity!$A11,'Data(perSeason,perCrop)'!$O:$O,Cropping_Intensity!H$7,'Data(perSeason,perCrop)'!$C:$C,Cropping_Intensity!H$4)</f>
        <v>4888.8774142094098</v>
      </c>
      <c r="I11" s="46">
        <f>SUMIFS('Data(perSeason,perCrop)'!$A:$A,'Data(perSeason,perCrop)'!$S:$S,Cropping_Intensity!$A11,'Data(perSeason,perCrop)'!$O:$O,Cropping_Intensity!I$7,'Data(perSeason,perCrop)'!$C:$C,Cropping_Intensity!I$4)</f>
        <v>7.8892189413811202</v>
      </c>
    </row>
    <row r="12" spans="1:9" x14ac:dyDescent="0.3">
      <c r="A12" s="42">
        <v>2020</v>
      </c>
      <c r="B12" s="46">
        <f>SUMIFS('Data(perSeason,perCrop)'!$A:$A,'Data(perSeason,perCrop)'!$S:$S,Cropping_Intensity!$A12,'Data(perSeason,perCrop)'!$O:$O,Cropping_Intensity!B$7,'Data(perSeason,perCrop)'!$C:$C,Cropping_Intensity!B$4)</f>
        <v>59.597834370329501</v>
      </c>
      <c r="C12" s="46">
        <f>SUMIFS('Data(perSeason,perCrop)'!$A:$A,'Data(perSeason,perCrop)'!$S:$S,Cropping_Intensity!$A12,'Data(perSeason,perCrop)'!$O:$O,Cropping_Intensity!C$7,'Data(perSeason,perCrop)'!$C:$C,Cropping_Intensity!C$4)</f>
        <v>15.666135669265399</v>
      </c>
      <c r="D12" s="46">
        <f>SUMIFS('Data(perSeason,perCrop)'!$A:$A,'Data(perSeason,perCrop)'!$S:$S,Cropping_Intensity!$A12,'Data(perSeason,perCrop)'!$O:$O,Cropping_Intensity!D$7,'Data(perSeason,perCrop)'!$C:$C,Cropping_Intensity!D$4)</f>
        <v>6.7832797368995701</v>
      </c>
      <c r="E12" s="46">
        <f>SUMIFS('Data(perSeason,perCrop)'!$A:$A,'Data(perSeason,perCrop)'!$S:$S,Cropping_Intensity!$A12,'Data(perSeason,perCrop)'!$O:$O,Cropping_Intensity!E$7,'Data(perSeason,perCrop)'!$C:$C,Cropping_Intensity!E$4)</f>
        <v>306.93799111519269</v>
      </c>
      <c r="F12" s="46">
        <f>SUMIFS('Data(perSeason,perCrop)'!$A:$A,'Data(perSeason,perCrop)'!$S:$S,Cropping_Intensity!$A12,'Data(perSeason,perCrop)'!$O:$O,Cropping_Intensity!F$7,'Data(perSeason,perCrop)'!$C:$C,Cropping_Intensity!F$4)</f>
        <v>7898.0791283783201</v>
      </c>
      <c r="G12" s="46">
        <f>SUMIFS('Data(perSeason,perCrop)'!$A:$A,'Data(perSeason,perCrop)'!$S:$S,Cropping_Intensity!$A12,'Data(perSeason,perCrop)'!$O:$O,Cropping_Intensity!G$7,'Data(perSeason,perCrop)'!$C:$C,Cropping_Intensity!G$4)</f>
        <v>13.2184320975599</v>
      </c>
      <c r="H12" s="46">
        <f>SUMIFS('Data(perSeason,perCrop)'!$A:$A,'Data(perSeason,perCrop)'!$S:$S,Cropping_Intensity!$A12,'Data(perSeason,perCrop)'!$O:$O,Cropping_Intensity!H$7,'Data(perSeason,perCrop)'!$C:$C,Cropping_Intensity!H$4)</f>
        <v>2257.142949595253</v>
      </c>
      <c r="I12" s="46">
        <f>SUMIFS('Data(perSeason,perCrop)'!$A:$A,'Data(perSeason,perCrop)'!$S:$S,Cropping_Intensity!$A12,'Data(perSeason,perCrop)'!$O:$O,Cropping_Intensity!I$7,'Data(perSeason,perCrop)'!$C:$C,Cropping_Intensity!I$4)</f>
        <v>0</v>
      </c>
    </row>
    <row r="13" spans="1:9" x14ac:dyDescent="0.3">
      <c r="A13" s="42">
        <v>2021</v>
      </c>
      <c r="B13" s="46">
        <f>SUMIFS('Data(perSeason,perCrop)'!$A:$A,'Data(perSeason,perCrop)'!$S:$S,Cropping_Intensity!$A13,'Data(perSeason,perCrop)'!$O:$O,Cropping_Intensity!B$7,'Data(perSeason,perCrop)'!$C:$C,Cropping_Intensity!B$4)</f>
        <v>114.53168808460291</v>
      </c>
      <c r="C13" s="46">
        <f>SUMIFS('Data(perSeason,perCrop)'!$A:$A,'Data(perSeason,perCrop)'!$S:$S,Cropping_Intensity!$A13,'Data(perSeason,perCrop)'!$O:$O,Cropping_Intensity!C$7,'Data(perSeason,perCrop)'!$C:$C,Cropping_Intensity!C$4)</f>
        <v>14.3835998596191</v>
      </c>
      <c r="D13" s="46">
        <f>SUMIFS('Data(perSeason,perCrop)'!$A:$A,'Data(perSeason,perCrop)'!$S:$S,Cropping_Intensity!$A13,'Data(perSeason,perCrop)'!$O:$O,Cropping_Intensity!D$7,'Data(perSeason,perCrop)'!$C:$C,Cropping_Intensity!D$4)</f>
        <v>11.209214118742</v>
      </c>
      <c r="E13" s="46">
        <f>SUMIFS('Data(perSeason,perCrop)'!$A:$A,'Data(perSeason,perCrop)'!$S:$S,Cropping_Intensity!$A13,'Data(perSeason,perCrop)'!$O:$O,Cropping_Intensity!E$7,'Data(perSeason,perCrop)'!$C:$C,Cropping_Intensity!E$4)</f>
        <v>648.99691136969955</v>
      </c>
      <c r="F13" s="46">
        <f>SUMIFS('Data(perSeason,perCrop)'!$A:$A,'Data(perSeason,perCrop)'!$S:$S,Cropping_Intensity!$A13,'Data(perSeason,perCrop)'!$O:$O,Cropping_Intensity!F$7,'Data(perSeason,perCrop)'!$C:$C,Cropping_Intensity!F$4)</f>
        <v>6029.00393578681</v>
      </c>
      <c r="G13" s="46">
        <f>SUMIFS('Data(perSeason,perCrop)'!$A:$A,'Data(perSeason,perCrop)'!$S:$S,Cropping_Intensity!$A13,'Data(perSeason,perCrop)'!$O:$O,Cropping_Intensity!G$7,'Data(perSeason,perCrop)'!$C:$C,Cropping_Intensity!G$4)</f>
        <v>82.084901718241298</v>
      </c>
      <c r="H13" s="46">
        <f>SUMIFS('Data(perSeason,perCrop)'!$A:$A,'Data(perSeason,perCrop)'!$S:$S,Cropping_Intensity!$A13,'Data(perSeason,perCrop)'!$O:$O,Cropping_Intensity!H$7,'Data(perSeason,perCrop)'!$C:$C,Cropping_Intensity!H$4)</f>
        <v>2122.9211440596087</v>
      </c>
      <c r="I13" s="46">
        <f>SUMIFS('Data(perSeason,perCrop)'!$A:$A,'Data(perSeason,perCrop)'!$S:$S,Cropping_Intensity!$A13,'Data(perSeason,perCrop)'!$O:$O,Cropping_Intensity!I$7,'Data(perSeason,perCrop)'!$C:$C,Cropping_Intensity!I$4)</f>
        <v>0</v>
      </c>
    </row>
    <row r="14" spans="1:9" x14ac:dyDescent="0.3">
      <c r="A14" s="42">
        <v>2022</v>
      </c>
      <c r="B14" s="46">
        <f>SUMIFS('Data(perSeason,perCrop)'!$A:$A,'Data(perSeason,perCrop)'!$S:$S,Cropping_Intensity!$A14,'Data(perSeason,perCrop)'!$O:$O,Cropping_Intensity!B$7,'Data(perSeason,perCrop)'!$C:$C,Cropping_Intensity!B$4)</f>
        <v>11.589766700915099</v>
      </c>
      <c r="C14" s="46">
        <f>SUMIFS('Data(perSeason,perCrop)'!$A:$A,'Data(perSeason,perCrop)'!$S:$S,Cropping_Intensity!$A14,'Data(perSeason,perCrop)'!$O:$O,Cropping_Intensity!C$7,'Data(perSeason,perCrop)'!$C:$C,Cropping_Intensity!C$4)</f>
        <v>0</v>
      </c>
      <c r="D14" s="46">
        <f>SUMIFS('Data(perSeason,perCrop)'!$A:$A,'Data(perSeason,perCrop)'!$S:$S,Cropping_Intensity!$A14,'Data(perSeason,perCrop)'!$O:$O,Cropping_Intensity!D$7,'Data(perSeason,perCrop)'!$C:$C,Cropping_Intensity!D$4)</f>
        <v>0</v>
      </c>
      <c r="E14" s="46">
        <f>SUMIFS('Data(perSeason,perCrop)'!$A:$A,'Data(perSeason,perCrop)'!$S:$S,Cropping_Intensity!$A14,'Data(perSeason,perCrop)'!$O:$O,Cropping_Intensity!E$7,'Data(perSeason,perCrop)'!$C:$C,Cropping_Intensity!E$4)</f>
        <v>708.97697545862104</v>
      </c>
      <c r="F14" s="46">
        <f>SUMIFS('Data(perSeason,perCrop)'!$A:$A,'Data(perSeason,perCrop)'!$S:$S,Cropping_Intensity!$A14,'Data(perSeason,perCrop)'!$O:$O,Cropping_Intensity!F$7,'Data(perSeason,perCrop)'!$C:$C,Cropping_Intensity!F$4)</f>
        <v>8199.9696360880189</v>
      </c>
      <c r="G14" s="46">
        <f>SUMIFS('Data(perSeason,perCrop)'!$A:$A,'Data(perSeason,perCrop)'!$S:$S,Cropping_Intensity!$A14,'Data(perSeason,perCrop)'!$O:$O,Cropping_Intensity!G$7,'Data(perSeason,perCrop)'!$C:$C,Cropping_Intensity!G$4)</f>
        <v>0</v>
      </c>
      <c r="H14" s="46">
        <f>SUMIFS('Data(perSeason,perCrop)'!$A:$A,'Data(perSeason,perCrop)'!$S:$S,Cropping_Intensity!$A14,'Data(perSeason,perCrop)'!$O:$O,Cropping_Intensity!H$7,'Data(perSeason,perCrop)'!$C:$C,Cropping_Intensity!H$4)</f>
        <v>4402.2662681174843</v>
      </c>
      <c r="I14" s="46">
        <f>SUMIFS('Data(perSeason,perCrop)'!$A:$A,'Data(perSeason,perCrop)'!$S:$S,Cropping_Intensity!$A14,'Data(perSeason,perCrop)'!$O:$O,Cropping_Intensity!I$7,'Data(perSeason,perCrop)'!$C:$C,Cropping_Intensity!I$4)</f>
        <v>0</v>
      </c>
    </row>
    <row r="15" spans="1:9" x14ac:dyDescent="0.3">
      <c r="A15" s="47" t="s">
        <v>176</v>
      </c>
      <c r="B15" s="48">
        <f>AVERAGE(B10:B14)</f>
        <v>75.013509013280412</v>
      </c>
      <c r="C15" s="48">
        <f t="shared" ref="C15:F15" si="0">AVERAGE(C10:C14)</f>
        <v>15.81490821171538</v>
      </c>
      <c r="D15" s="48">
        <f t="shared" si="0"/>
        <v>25.157964263960114</v>
      </c>
      <c r="E15" s="48">
        <f t="shared" si="0"/>
        <v>1247.2369007320242</v>
      </c>
      <c r="F15" s="48">
        <f t="shared" si="0"/>
        <v>7068.4645262498689</v>
      </c>
      <c r="G15" s="48">
        <f>AVERAGE(G10:G14)</f>
        <v>43.114800711238459</v>
      </c>
      <c r="H15" s="48">
        <f t="shared" ref="H15:I15" si="1">AVERAGE(H10:H14)</f>
        <v>3184.0310413419061</v>
      </c>
      <c r="I15" s="48">
        <f t="shared" si="1"/>
        <v>1.577843788276224</v>
      </c>
    </row>
    <row r="17" spans="1:18" x14ac:dyDescent="0.3">
      <c r="A17" s="42" t="s">
        <v>65</v>
      </c>
      <c r="B17" s="42" t="s">
        <v>42</v>
      </c>
      <c r="C17" s="42" t="s">
        <v>44</v>
      </c>
      <c r="D17" s="42" t="s">
        <v>45</v>
      </c>
      <c r="E17" s="42" t="s">
        <v>46</v>
      </c>
      <c r="F17" s="42" t="s">
        <v>38</v>
      </c>
      <c r="G17" s="42" t="s">
        <v>40</v>
      </c>
      <c r="H17" s="42" t="s">
        <v>43</v>
      </c>
      <c r="I17" s="42" t="s">
        <v>41</v>
      </c>
    </row>
    <row r="18" spans="1:18" x14ac:dyDescent="0.3">
      <c r="A18" s="42">
        <v>2018</v>
      </c>
      <c r="B18" s="49">
        <f t="shared" ref="B18:I22" si="2">B10*B$6/$B$2</f>
        <v>8.1822035031510996E-3</v>
      </c>
      <c r="C18" s="49">
        <f t="shared" si="2"/>
        <v>0</v>
      </c>
      <c r="D18" s="49">
        <f t="shared" si="2"/>
        <v>0</v>
      </c>
      <c r="E18" s="49">
        <f t="shared" si="2"/>
        <v>4.6125794692675741E-2</v>
      </c>
      <c r="F18" s="49">
        <f t="shared" si="2"/>
        <v>0.50229177231191657</v>
      </c>
      <c r="G18" s="49">
        <f t="shared" si="2"/>
        <v>0</v>
      </c>
      <c r="H18" s="49">
        <f t="shared" si="2"/>
        <v>0.26035510890573921</v>
      </c>
      <c r="I18" s="49">
        <f t="shared" si="2"/>
        <v>0</v>
      </c>
    </row>
    <row r="19" spans="1:18" x14ac:dyDescent="0.3">
      <c r="A19" s="42">
        <v>2019</v>
      </c>
      <c r="B19" s="49">
        <f t="shared" si="2"/>
        <v>1.3738178056301852E-2</v>
      </c>
      <c r="C19" s="49">
        <f t="shared" si="2"/>
        <v>5.6754810754448253E-3</v>
      </c>
      <c r="D19" s="49">
        <f t="shared" si="2"/>
        <v>1.8719146931724759E-2</v>
      </c>
      <c r="E19" s="49">
        <f t="shared" si="2"/>
        <v>0.21847669579798223</v>
      </c>
      <c r="F19" s="49">
        <f t="shared" si="2"/>
        <v>0.26265786481451264</v>
      </c>
      <c r="G19" s="49">
        <f t="shared" si="2"/>
        <v>6.9617197117614665E-3</v>
      </c>
      <c r="H19" s="49">
        <f t="shared" si="2"/>
        <v>0.56597330565054527</v>
      </c>
      <c r="I19" s="49">
        <f t="shared" si="2"/>
        <v>4.5665772987850894E-4</v>
      </c>
    </row>
    <row r="20" spans="1:18" x14ac:dyDescent="0.3">
      <c r="A20" s="42">
        <v>2020</v>
      </c>
      <c r="B20" s="49">
        <f t="shared" si="2"/>
        <v>6.899494601797812E-3</v>
      </c>
      <c r="C20" s="49">
        <f t="shared" si="2"/>
        <v>1.8136299686577215E-3</v>
      </c>
      <c r="D20" s="49">
        <f t="shared" si="2"/>
        <v>1.1779254000172906E-3</v>
      </c>
      <c r="E20" s="49">
        <f t="shared" si="2"/>
        <v>1.776672789506788E-2</v>
      </c>
      <c r="F20" s="49">
        <f t="shared" si="2"/>
        <v>0.45717059089941653</v>
      </c>
      <c r="G20" s="49">
        <f t="shared" si="2"/>
        <v>7.651326752465791E-4</v>
      </c>
      <c r="H20" s="49">
        <f t="shared" si="2"/>
        <v>0.26130388395406956</v>
      </c>
      <c r="I20" s="49">
        <f t="shared" si="2"/>
        <v>0</v>
      </c>
    </row>
    <row r="21" spans="1:18" x14ac:dyDescent="0.3">
      <c r="A21" s="42">
        <v>2021</v>
      </c>
      <c r="B21" s="49">
        <f t="shared" si="2"/>
        <v>1.3259051642116567E-2</v>
      </c>
      <c r="C21" s="49">
        <f t="shared" si="2"/>
        <v>1.665153954575029E-3</v>
      </c>
      <c r="D21" s="49">
        <f t="shared" si="2"/>
        <v>1.9464946953129199E-3</v>
      </c>
      <c r="E21" s="49">
        <f t="shared" si="2"/>
        <v>3.7566387553235679E-2</v>
      </c>
      <c r="F21" s="49">
        <f t="shared" si="2"/>
        <v>0.3489814734768934</v>
      </c>
      <c r="G21" s="49">
        <f t="shared" si="2"/>
        <v>4.7513835215467291E-3</v>
      </c>
      <c r="H21" s="49">
        <f t="shared" si="2"/>
        <v>0.24576535587631496</v>
      </c>
      <c r="I21" s="49">
        <f t="shared" si="2"/>
        <v>0</v>
      </c>
    </row>
    <row r="22" spans="1:18" x14ac:dyDescent="0.3">
      <c r="A22" s="42">
        <v>2022</v>
      </c>
      <c r="B22" s="49">
        <f t="shared" si="2"/>
        <v>1.3417187660239754E-3</v>
      </c>
      <c r="C22" s="49">
        <f t="shared" si="2"/>
        <v>0</v>
      </c>
      <c r="D22" s="49">
        <f t="shared" si="2"/>
        <v>0</v>
      </c>
      <c r="E22" s="49">
        <f t="shared" si="2"/>
        <v>4.1038259751019969E-2</v>
      </c>
      <c r="F22" s="49">
        <f t="shared" si="2"/>
        <v>0.47464515142903557</v>
      </c>
      <c r="G22" s="49">
        <f t="shared" si="2"/>
        <v>0</v>
      </c>
      <c r="H22" s="49">
        <f t="shared" si="2"/>
        <v>0.50963953092353376</v>
      </c>
      <c r="I22" s="49">
        <f t="shared" si="2"/>
        <v>0</v>
      </c>
    </row>
    <row r="23" spans="1:18" x14ac:dyDescent="0.3">
      <c r="A23" s="47" t="s">
        <v>176</v>
      </c>
      <c r="B23" s="50">
        <f>AVERAGE(B18:B22)</f>
        <v>8.6841293138782607E-3</v>
      </c>
      <c r="C23" s="50">
        <f t="shared" ref="C23:F23" si="3">AVERAGE(C18:C22)</f>
        <v>1.8308529997355151E-3</v>
      </c>
      <c r="D23" s="50">
        <f t="shared" si="3"/>
        <v>4.3687134054109936E-3</v>
      </c>
      <c r="E23" s="50">
        <f t="shared" si="3"/>
        <v>7.2194773137996299E-2</v>
      </c>
      <c r="F23" s="50">
        <f t="shared" si="3"/>
        <v>0.40914937058635498</v>
      </c>
      <c r="G23" s="50">
        <f>AVERAGE(G18:G22)</f>
        <v>2.4956471817109546E-3</v>
      </c>
      <c r="H23" s="50">
        <f t="shared" ref="H23:I23" si="4">AVERAGE(H18:H22)</f>
        <v>0.36860743706204052</v>
      </c>
      <c r="I23" s="50">
        <f t="shared" si="4"/>
        <v>9.1331545975701793E-5</v>
      </c>
    </row>
    <row r="25" spans="1:18" x14ac:dyDescent="0.3">
      <c r="A25" s="42" t="s">
        <v>177</v>
      </c>
      <c r="B25" s="42" t="s">
        <v>180</v>
      </c>
      <c r="C25" s="42" t="s">
        <v>181</v>
      </c>
      <c r="K25" s="54"/>
      <c r="L25" s="54"/>
      <c r="M25" s="54"/>
      <c r="N25" s="54"/>
      <c r="O25" s="54"/>
      <c r="P25" s="54"/>
      <c r="Q25" s="54"/>
      <c r="R25" s="54"/>
    </row>
    <row r="26" spans="1:18" x14ac:dyDescent="0.3">
      <c r="A26" s="42">
        <v>2018</v>
      </c>
      <c r="B26" s="51">
        <f>SUM(B18:I18)</f>
        <v>0.81695487941348266</v>
      </c>
      <c r="C26" s="46">
        <f>B26*B$2</f>
        <v>14113.712496747326</v>
      </c>
      <c r="D26" s="54"/>
      <c r="E26" s="54"/>
      <c r="F26" s="54"/>
      <c r="G26" s="54"/>
      <c r="H26" s="54"/>
      <c r="I26" s="54"/>
      <c r="K26" s="54"/>
      <c r="L26" s="54"/>
      <c r="M26" s="54"/>
      <c r="N26" s="54"/>
      <c r="O26" s="54"/>
      <c r="P26" s="54"/>
      <c r="Q26" s="54"/>
      <c r="R26" s="54"/>
    </row>
    <row r="27" spans="1:18" x14ac:dyDescent="0.3">
      <c r="A27" s="42">
        <v>2019</v>
      </c>
      <c r="B27" s="51">
        <f t="shared" ref="B27:B30" si="5">SUM(B19:I19)</f>
        <v>1.0926590497681516</v>
      </c>
      <c r="C27" s="46">
        <f t="shared" ref="C27:C30" si="6">B27*B$2</f>
        <v>18876.777743794588</v>
      </c>
      <c r="K27" s="54"/>
      <c r="L27" s="54"/>
      <c r="M27" s="54"/>
      <c r="N27" s="54"/>
      <c r="O27" s="54"/>
      <c r="P27" s="54"/>
      <c r="Q27" s="54"/>
      <c r="R27" s="54"/>
    </row>
    <row r="28" spans="1:18" x14ac:dyDescent="0.3">
      <c r="A28" s="42">
        <v>2020</v>
      </c>
      <c r="B28" s="51">
        <f t="shared" si="5"/>
        <v>0.74689738539427331</v>
      </c>
      <c r="C28" s="46">
        <f t="shared" si="6"/>
        <v>12903.399230071465</v>
      </c>
      <c r="K28" s="54"/>
      <c r="L28" s="54"/>
      <c r="M28" s="54"/>
      <c r="N28" s="54"/>
      <c r="O28" s="54"/>
      <c r="P28" s="54"/>
      <c r="Q28" s="54"/>
      <c r="R28" s="54"/>
    </row>
    <row r="29" spans="1:18" x14ac:dyDescent="0.3">
      <c r="A29" s="42">
        <v>2021</v>
      </c>
      <c r="B29" s="51">
        <f t="shared" si="5"/>
        <v>0.65393530071999528</v>
      </c>
      <c r="C29" s="46">
        <f t="shared" si="6"/>
        <v>11297.386255238638</v>
      </c>
      <c r="K29" s="54"/>
      <c r="L29" s="54"/>
      <c r="M29" s="54"/>
      <c r="N29" s="54"/>
      <c r="O29" s="54"/>
      <c r="P29" s="54"/>
      <c r="Q29" s="54"/>
      <c r="R29" s="54"/>
    </row>
    <row r="30" spans="1:18" x14ac:dyDescent="0.3">
      <c r="A30" s="42">
        <v>2022</v>
      </c>
      <c r="B30" s="51">
        <f t="shared" si="5"/>
        <v>1.0266646608696133</v>
      </c>
      <c r="C30" s="46">
        <f t="shared" si="6"/>
        <v>17736.658681183439</v>
      </c>
      <c r="K30" s="54"/>
      <c r="L30" s="54"/>
      <c r="M30" s="54"/>
      <c r="N30" s="54"/>
      <c r="O30" s="54"/>
      <c r="P30" s="54"/>
      <c r="Q30" s="54"/>
      <c r="R30" s="54"/>
    </row>
    <row r="31" spans="1:18" x14ac:dyDescent="0.3">
      <c r="A31" s="47" t="s">
        <v>176</v>
      </c>
      <c r="B31" s="52">
        <f>AVERAGE(B26:B30)</f>
        <v>0.86742225523310323</v>
      </c>
      <c r="C31" s="48">
        <f>AVERAGE(C26:C30)</f>
        <v>14985.586881407091</v>
      </c>
      <c r="K31" s="54"/>
      <c r="L31" s="54"/>
      <c r="M31" s="54"/>
      <c r="N31" s="54"/>
      <c r="O31" s="54"/>
      <c r="P31" s="54"/>
      <c r="Q31" s="54"/>
      <c r="R31" s="54"/>
    </row>
    <row r="33" spans="4:18" x14ac:dyDescent="0.3">
      <c r="K33" s="55"/>
      <c r="L33" s="55"/>
      <c r="M33" s="55"/>
      <c r="N33" s="55"/>
      <c r="O33" s="55"/>
      <c r="P33" s="55"/>
      <c r="Q33" s="55"/>
      <c r="R33" s="55"/>
    </row>
    <row r="34" spans="4:18" x14ac:dyDescent="0.3">
      <c r="K34" s="55"/>
      <c r="L34" s="55"/>
      <c r="M34" s="55"/>
      <c r="N34" s="55"/>
      <c r="O34" s="55"/>
      <c r="P34" s="55"/>
      <c r="Q34" s="55"/>
      <c r="R34" s="55"/>
    </row>
    <row r="35" spans="4:18" x14ac:dyDescent="0.3">
      <c r="K35" s="55"/>
      <c r="L35" s="55"/>
      <c r="M35" s="55"/>
      <c r="N35" s="55"/>
      <c r="O35" s="55"/>
      <c r="P35" s="55"/>
      <c r="Q35" s="55"/>
      <c r="R35" s="55"/>
    </row>
    <row r="36" spans="4:18" x14ac:dyDescent="0.3">
      <c r="K36" s="55"/>
      <c r="L36" s="55"/>
      <c r="M36" s="55"/>
      <c r="N36" s="55"/>
      <c r="O36" s="55"/>
      <c r="P36" s="55"/>
      <c r="Q36" s="55"/>
      <c r="R36" s="55"/>
    </row>
    <row r="37" spans="4:18" x14ac:dyDescent="0.3">
      <c r="K37" s="55"/>
      <c r="L37" s="55"/>
      <c r="M37" s="55"/>
      <c r="N37" s="55"/>
      <c r="O37" s="55"/>
      <c r="P37" s="55"/>
      <c r="Q37" s="55"/>
      <c r="R37" s="55"/>
    </row>
    <row r="43" spans="4:18" x14ac:dyDescent="0.3">
      <c r="D43" s="55"/>
      <c r="E43" s="55"/>
      <c r="F43" s="55"/>
      <c r="G43" s="55"/>
      <c r="H43" s="55"/>
      <c r="I43" s="55"/>
      <c r="J43" s="55"/>
      <c r="K43" s="55"/>
    </row>
    <row r="44" spans="4:18" x14ac:dyDescent="0.3">
      <c r="D44" s="55"/>
      <c r="E44" s="55"/>
      <c r="F44" s="55"/>
      <c r="G44" s="55"/>
      <c r="H44" s="55"/>
      <c r="I44" s="55"/>
      <c r="J44" s="55"/>
      <c r="K44" s="55"/>
    </row>
    <row r="45" spans="4:18" x14ac:dyDescent="0.3">
      <c r="D45" s="55"/>
      <c r="E45" s="55"/>
      <c r="F45" s="55"/>
      <c r="G45" s="55"/>
      <c r="H45" s="55"/>
      <c r="I45" s="55"/>
      <c r="J45" s="55"/>
      <c r="K45" s="55"/>
    </row>
    <row r="46" spans="4:18" x14ac:dyDescent="0.3">
      <c r="D46" s="55"/>
      <c r="E46" s="55"/>
      <c r="F46" s="55"/>
      <c r="G46" s="55"/>
      <c r="H46" s="55"/>
      <c r="I46" s="55"/>
      <c r="J46" s="55"/>
      <c r="K46" s="55"/>
    </row>
    <row r="47" spans="4:18" x14ac:dyDescent="0.3">
      <c r="D47" s="55"/>
      <c r="E47" s="55"/>
      <c r="F47" s="55"/>
      <c r="G47" s="55"/>
      <c r="H47" s="55"/>
      <c r="I47" s="55"/>
      <c r="J47" s="55"/>
      <c r="K47" s="5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9B0E-4943-40F6-BDCB-C7566837A1D6}">
  <dimension ref="A2:M23"/>
  <sheetViews>
    <sheetView workbookViewId="0">
      <selection activeCell="N21" sqref="N21"/>
    </sheetView>
  </sheetViews>
  <sheetFormatPr defaultRowHeight="15.75" x14ac:dyDescent="0.25"/>
  <cols>
    <col min="1" max="1" width="14.375" customWidth="1"/>
  </cols>
  <sheetData>
    <row r="2" spans="1:6" ht="18.75" x14ac:dyDescent="0.3">
      <c r="A2" s="9"/>
      <c r="F2" s="7"/>
    </row>
    <row r="3" spans="1:6" x14ac:dyDescent="0.25">
      <c r="A3" s="2"/>
      <c r="F3" s="7"/>
    </row>
    <row r="4" spans="1:6" x14ac:dyDescent="0.25">
      <c r="F4" s="7"/>
    </row>
    <row r="5" spans="1:6" x14ac:dyDescent="0.25">
      <c r="F5" s="7"/>
    </row>
    <row r="6" spans="1:6" x14ac:dyDescent="0.25">
      <c r="F6" s="7"/>
    </row>
    <row r="7" spans="1:6" x14ac:dyDescent="0.25">
      <c r="B7" s="4"/>
      <c r="F7" s="70"/>
    </row>
    <row r="23" spans="13:13" x14ac:dyDescent="0.25">
      <c r="M23" t="str">
        <f>IF(COUNTIFS('Data(perSeason,perCrop)'!$S:$S,Indicators!$B87)&gt;0,'[2]Indicators(perCrop)'!AH$38,"")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5A7B-BA3D-4377-9C95-00758A7FF942}">
  <dimension ref="A2:R55"/>
  <sheetViews>
    <sheetView tabSelected="1" topLeftCell="A22" zoomScale="70" zoomScaleNormal="70" workbookViewId="0">
      <selection activeCell="G37" sqref="G37"/>
    </sheetView>
  </sheetViews>
  <sheetFormatPr defaultRowHeight="18.75" x14ac:dyDescent="0.3"/>
  <cols>
    <col min="1" max="1" width="24.625" style="44" customWidth="1"/>
    <col min="2" max="2" width="30.875" style="44" customWidth="1"/>
    <col min="3" max="3" width="26.875" style="44" customWidth="1"/>
    <col min="4" max="4" width="25.625" style="44" customWidth="1"/>
    <col min="5" max="5" width="22.75" style="44" customWidth="1"/>
    <col min="6" max="6" width="36" style="44" customWidth="1"/>
    <col min="7" max="7" width="24.75" style="44" customWidth="1"/>
    <col min="8" max="8" width="23.5" style="44" customWidth="1"/>
    <col min="9" max="9" width="15.875" style="44" customWidth="1"/>
    <col min="10" max="10" width="14" style="44" bestFit="1" customWidth="1"/>
    <col min="11" max="11" width="14.5" style="44" bestFit="1" customWidth="1"/>
    <col min="12" max="13" width="8.125" style="44" bestFit="1" customWidth="1"/>
    <col min="14" max="15" width="8.5" style="44" bestFit="1" customWidth="1"/>
    <col min="16" max="16" width="8.125" style="44" bestFit="1" customWidth="1"/>
    <col min="17" max="17" width="8.5" style="44" bestFit="1" customWidth="1"/>
    <col min="18" max="18" width="8.125" style="44" bestFit="1" customWidth="1"/>
    <col min="19" max="16384" width="9" style="44"/>
  </cols>
  <sheetData>
    <row r="2" spans="1:10" x14ac:dyDescent="0.3">
      <c r="A2" s="42" t="s">
        <v>95</v>
      </c>
      <c r="B2" s="42">
        <v>17276</v>
      </c>
      <c r="C2" s="43"/>
      <c r="D2" s="43" t="s">
        <v>174</v>
      </c>
    </row>
    <row r="4" spans="1:10" x14ac:dyDescent="0.3">
      <c r="A4" s="42"/>
      <c r="B4" s="42" t="s">
        <v>42</v>
      </c>
      <c r="C4" s="42" t="s">
        <v>44</v>
      </c>
      <c r="D4" s="42" t="s">
        <v>45</v>
      </c>
      <c r="E4" s="42" t="s">
        <v>46</v>
      </c>
      <c r="F4" s="42" t="s">
        <v>38</v>
      </c>
      <c r="G4" s="42" t="s">
        <v>40</v>
      </c>
      <c r="H4" s="42" t="s">
        <v>43</v>
      </c>
      <c r="I4" s="42" t="s">
        <v>41</v>
      </c>
    </row>
    <row r="5" spans="1:10" x14ac:dyDescent="0.3">
      <c r="A5" s="42" t="s">
        <v>159</v>
      </c>
      <c r="B5" s="43">
        <v>1</v>
      </c>
      <c r="C5" s="43">
        <v>2</v>
      </c>
      <c r="D5" s="43">
        <v>3</v>
      </c>
      <c r="E5" s="43">
        <v>4</v>
      </c>
      <c r="F5" s="43">
        <v>5</v>
      </c>
      <c r="G5" s="43">
        <v>6</v>
      </c>
      <c r="H5" s="43">
        <v>7</v>
      </c>
      <c r="I5" s="43">
        <v>8</v>
      </c>
    </row>
    <row r="6" spans="1:10" x14ac:dyDescent="0.3">
      <c r="A6" s="45" t="s">
        <v>5</v>
      </c>
      <c r="B6" s="43">
        <v>2</v>
      </c>
      <c r="C6" s="43">
        <v>2</v>
      </c>
      <c r="D6" s="43">
        <v>3</v>
      </c>
      <c r="E6" s="43">
        <v>1</v>
      </c>
      <c r="F6" s="43">
        <v>1</v>
      </c>
      <c r="G6" s="43">
        <v>1</v>
      </c>
      <c r="H6" s="43">
        <v>2</v>
      </c>
      <c r="I6" s="43">
        <v>1</v>
      </c>
    </row>
    <row r="7" spans="1:10" x14ac:dyDescent="0.3">
      <c r="A7" s="45" t="s">
        <v>175</v>
      </c>
      <c r="B7" s="43">
        <v>0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</row>
    <row r="9" spans="1:10" x14ac:dyDescent="0.3">
      <c r="A9" s="42" t="s">
        <v>65</v>
      </c>
      <c r="B9" s="42" t="s">
        <v>42</v>
      </c>
      <c r="C9" s="42" t="s">
        <v>44</v>
      </c>
      <c r="D9" s="42" t="s">
        <v>45</v>
      </c>
      <c r="E9" s="42" t="s">
        <v>46</v>
      </c>
      <c r="F9" s="42" t="s">
        <v>38</v>
      </c>
      <c r="G9" s="42" t="s">
        <v>40</v>
      </c>
      <c r="H9" s="42" t="s">
        <v>43</v>
      </c>
      <c r="I9" s="42" t="s">
        <v>41</v>
      </c>
      <c r="J9" s="42" t="s">
        <v>64</v>
      </c>
    </row>
    <row r="10" spans="1:10" x14ac:dyDescent="0.3">
      <c r="A10" s="42">
        <v>2018</v>
      </c>
      <c r="B10" s="46">
        <f>SUMIFS('Data(perSeason,perCrop)'!$A:$A,'Data(perSeason,perCrop)'!$S:$S,Irrigation_Utilization!$A10,'Data(perSeason,perCrop)'!$O:$O,Irrigation_Utilization!B$7,'Data(perSeason,perCrop)'!$C:$C,Irrigation_Utilization!B$4,'Data(perSeason,perCrop)'!$R:$R,"IRRIGATED" )</f>
        <v>59.843343867378898</v>
      </c>
      <c r="C10" s="46">
        <f>SUMIFS('Data(perSeason,perCrop)'!$A:$A,'Data(perSeason,perCrop)'!$S:$S,Irrigation_Utilization!$A10,'Data(perSeason,perCrop)'!$O:$O,Irrigation_Utilization!C$7,'Data(perSeason,perCrop)'!$C:$C,Irrigation_Utilization!C$4,'Data(perSeason,perCrop)'!$R:$R,"IRRIGATED" )</f>
        <v>0</v>
      </c>
      <c r="D10" s="46">
        <f>SUMIFS('Data(perSeason,perCrop)'!$A:$A,'Data(perSeason,perCrop)'!$S:$S,Irrigation_Utilization!$A10,'Data(perSeason,perCrop)'!$O:$O,Irrigation_Utilization!D$7,'Data(perSeason,perCrop)'!$C:$C,Irrigation_Utilization!D$4,'Data(perSeason,perCrop)'!$R:$R,"IRRIGATED" )</f>
        <v>0</v>
      </c>
      <c r="E10" s="46">
        <f>SUMIFS('Data(perSeason,perCrop)'!$A:$A,'Data(perSeason,perCrop)'!$S:$S,Irrigation_Utilization!$A10,'Data(perSeason,perCrop)'!$O:$O,Irrigation_Utilization!E$7,'Data(perSeason,perCrop)'!$C:$C,Irrigation_Utilization!E$4,'Data(perSeason,perCrop)'!$R:$R,"IRRIGATED" )</f>
        <v>674.82990028568304</v>
      </c>
      <c r="F10" s="46">
        <f>SUMIFS('Data(perSeason,perCrop)'!$A:$A,'Data(perSeason,perCrop)'!$S:$S,Irrigation_Utilization!$A10,'Data(perSeason,perCrop)'!$O:$O,Irrigation_Utilization!F$7,'Data(perSeason,perCrop)'!$C:$C,Irrigation_Utilization!F$4,'Data(perSeason,perCrop)'!$R:$R,"IRRIGATED" )</f>
        <v>6429.0185732130503</v>
      </c>
      <c r="G10" s="46">
        <f>SUMIFS('Data(perSeason,perCrop)'!$A:$A,'Data(perSeason,perCrop)'!$S:$S,Irrigation_Utilization!$A10,'Data(perSeason,perCrop)'!$O:$O,Irrigation_Utilization!G$7,'Data(perSeason,perCrop)'!$C:$C,Irrigation_Utilization!G$4,'Data(perSeason,perCrop)'!$R:$R,"IRRIGATED" )</f>
        <v>0</v>
      </c>
      <c r="H10" s="46">
        <f>SUMIFS('Data(perSeason,perCrop)'!$A:$A,'Data(perSeason,perCrop)'!$S:$S,Irrigation_Utilization!$A10,'Data(perSeason,perCrop)'!$O:$O,Irrigation_Utilization!H$7,'Data(perSeason,perCrop)'!$C:$C,Irrigation_Utilization!H$4,'Data(perSeason,perCrop)'!$R:$R,"IRRIGATED" )</f>
        <v>2204.0051542435499</v>
      </c>
      <c r="I10" s="46">
        <f>SUMIFS('Data(perSeason,perCrop)'!$A:$A,'Data(perSeason,perCrop)'!$S:$S,Irrigation_Utilization!$A10,'Data(perSeason,perCrop)'!$O:$O,Irrigation_Utilization!I$7,'Data(perSeason,perCrop)'!$C:$C,Irrigation_Utilization!I$4,'Data(perSeason,perCrop)'!$R:$R,"IRRIGATED" )</f>
        <v>0</v>
      </c>
      <c r="J10" s="46">
        <f>SUM(B10:I10)</f>
        <v>9367.6969716096628</v>
      </c>
    </row>
    <row r="11" spans="1:10" x14ac:dyDescent="0.3">
      <c r="A11" s="42">
        <v>2019</v>
      </c>
      <c r="B11" s="46">
        <f>SUMIFS('Data(perSeason,perCrop)'!$A:$A,'Data(perSeason,perCrop)'!$S:$S,Irrigation_Utilization!$A11,'Data(perSeason,perCrop)'!$O:$O,Irrigation_Utilization!B$7,'Data(perSeason,perCrop)'!$C:$C,Irrigation_Utilization!B$4,'Data(perSeason,perCrop)'!$R:$R,"IRRIGATED" )</f>
        <v>75.894637203207495</v>
      </c>
      <c r="C11" s="46">
        <f>SUMIFS('Data(perSeason,perCrop)'!$A:$A,'Data(perSeason,perCrop)'!$S:$S,Irrigation_Utilization!$A11,'Data(perSeason,perCrop)'!$O:$O,Irrigation_Utilization!C$7,'Data(perSeason,perCrop)'!$C:$C,Irrigation_Utilization!C$4,'Data(perSeason,perCrop)'!$R:$R,"IRRIGATED" )</f>
        <v>49.024805529692401</v>
      </c>
      <c r="D11" s="46">
        <f>SUMIFS('Data(perSeason,perCrop)'!$A:$A,'Data(perSeason,perCrop)'!$S:$S,Irrigation_Utilization!$A11,'Data(perSeason,perCrop)'!$O:$O,Irrigation_Utilization!D$7,'Data(perSeason,perCrop)'!$C:$C,Irrigation_Utilization!D$4,'Data(perSeason,perCrop)'!$R:$R,"IRRIGATED" )</f>
        <v>107.797327464159</v>
      </c>
      <c r="E11" s="46">
        <f>SUMIFS('Data(perSeason,perCrop)'!$A:$A,'Data(perSeason,perCrop)'!$S:$S,Irrigation_Utilization!$A11,'Data(perSeason,perCrop)'!$O:$O,Irrigation_Utilization!E$7,'Data(perSeason,perCrop)'!$C:$C,Irrigation_Utilization!E$4,'Data(perSeason,perCrop)'!$R:$R,"IRRIGATED" )</f>
        <v>3035.4939721681199</v>
      </c>
      <c r="F11" s="46">
        <f>SUMIFS('Data(perSeason,perCrop)'!$A:$A,'Data(perSeason,perCrop)'!$S:$S,Irrigation_Utilization!$A11,'Data(perSeason,perCrop)'!$O:$O,Irrigation_Utilization!F$7,'Data(perSeason,perCrop)'!$C:$C,Irrigation_Utilization!F$4,'Data(perSeason,perCrop)'!$R:$R,"IRRIGATED" )</f>
        <v>2517.5208993528599</v>
      </c>
      <c r="G11" s="46">
        <f>SUMIFS('Data(perSeason,perCrop)'!$A:$A,'Data(perSeason,perCrop)'!$S:$S,Irrigation_Utilization!$A11,'Data(perSeason,perCrop)'!$O:$O,Irrigation_Utilization!G$7,'Data(perSeason,perCrop)'!$C:$C,Irrigation_Utilization!G$4,'Data(perSeason,perCrop)'!$R:$R,"IRRIGATED" )</f>
        <v>80.534693239644398</v>
      </c>
      <c r="H11" s="46">
        <f>SUMIFS('Data(perSeason,perCrop)'!$A:$A,'Data(perSeason,perCrop)'!$S:$S,Irrigation_Utilization!$A11,'Data(perSeason,perCrop)'!$O:$O,Irrigation_Utilization!H$7,'Data(perSeason,perCrop)'!$C:$C,Irrigation_Utilization!H$4,'Data(perSeason,perCrop)'!$R:$R,"IRRIGATED" )</f>
        <v>4609.0600970074602</v>
      </c>
      <c r="I11" s="46">
        <f>SUMIFS('Data(perSeason,perCrop)'!$A:$A,'Data(perSeason,perCrop)'!$S:$S,Irrigation_Utilization!$A11,'Data(perSeason,perCrop)'!$O:$O,Irrigation_Utilization!I$7,'Data(perSeason,perCrop)'!$C:$C,Irrigation_Utilization!I$4,'Data(perSeason,perCrop)'!$R:$R,"IRRIGATED" )</f>
        <v>7.8892189413811202</v>
      </c>
      <c r="J11" s="46">
        <f t="shared" ref="J11:J15" si="0">SUM(B11:I11)</f>
        <v>10483.215650906524</v>
      </c>
    </row>
    <row r="12" spans="1:10" x14ac:dyDescent="0.3">
      <c r="A12" s="42">
        <v>2020</v>
      </c>
      <c r="B12" s="46">
        <f>SUMIFS('Data(perSeason,perCrop)'!$A:$A,'Data(perSeason,perCrop)'!$S:$S,Irrigation_Utilization!$A12,'Data(perSeason,perCrop)'!$O:$O,Irrigation_Utilization!B$7,'Data(perSeason,perCrop)'!$C:$C,Irrigation_Utilization!B$4,'Data(perSeason,perCrop)'!$R:$R,"IRRIGATED" )</f>
        <v>25.360404259419099</v>
      </c>
      <c r="C12" s="46">
        <f>SUMIFS('Data(perSeason,perCrop)'!$A:$A,'Data(perSeason,perCrop)'!$S:$S,Irrigation_Utilization!$A12,'Data(perSeason,perCrop)'!$O:$O,Irrigation_Utilization!C$7,'Data(perSeason,perCrop)'!$C:$C,Irrigation_Utilization!C$4,'Data(perSeason,perCrop)'!$R:$R,"IRRIGATED" )</f>
        <v>15.666135669265399</v>
      </c>
      <c r="D12" s="46">
        <f>SUMIFS('Data(perSeason,perCrop)'!$A:$A,'Data(perSeason,perCrop)'!$S:$S,Irrigation_Utilization!$A12,'Data(perSeason,perCrop)'!$O:$O,Irrigation_Utilization!D$7,'Data(perSeason,perCrop)'!$C:$C,Irrigation_Utilization!D$4,'Data(perSeason,perCrop)'!$R:$R,"IRRIGATED" )</f>
        <v>6.7832797368995701</v>
      </c>
      <c r="E12" s="46">
        <f>SUMIFS('Data(perSeason,perCrop)'!$A:$A,'Data(perSeason,perCrop)'!$S:$S,Irrigation_Utilization!$A12,'Data(perSeason,perCrop)'!$O:$O,Irrigation_Utilization!E$7,'Data(perSeason,perCrop)'!$C:$C,Irrigation_Utilization!E$4,'Data(perSeason,perCrop)'!$R:$R,"IRRIGATED" )</f>
        <v>251.174209022013</v>
      </c>
      <c r="F12" s="46">
        <f>SUMIFS('Data(perSeason,perCrop)'!$A:$A,'Data(perSeason,perCrop)'!$S:$S,Irrigation_Utilization!$A12,'Data(perSeason,perCrop)'!$O:$O,Irrigation_Utilization!F$7,'Data(perSeason,perCrop)'!$C:$C,Irrigation_Utilization!F$4,'Data(perSeason,perCrop)'!$R:$R,"IRRIGATED" )</f>
        <v>3835.7190811328801</v>
      </c>
      <c r="G12" s="46">
        <f>SUMIFS('Data(perSeason,perCrop)'!$A:$A,'Data(perSeason,perCrop)'!$S:$S,Irrigation_Utilization!$A12,'Data(perSeason,perCrop)'!$O:$O,Irrigation_Utilization!G$7,'Data(perSeason,perCrop)'!$C:$C,Irrigation_Utilization!G$4,'Data(perSeason,perCrop)'!$R:$R,"IRRIGATED" )</f>
        <v>0</v>
      </c>
      <c r="H12" s="46">
        <f>SUMIFS('Data(perSeason,perCrop)'!$A:$A,'Data(perSeason,perCrop)'!$S:$S,Irrigation_Utilization!$A12,'Data(perSeason,perCrop)'!$O:$O,Irrigation_Utilization!H$7,'Data(perSeason,perCrop)'!$C:$C,Irrigation_Utilization!H$4,'Data(perSeason,perCrop)'!$R:$R,"IRRIGATED" )</f>
        <v>2154.3016933961699</v>
      </c>
      <c r="I12" s="46">
        <f>SUMIFS('Data(perSeason,perCrop)'!$A:$A,'Data(perSeason,perCrop)'!$S:$S,Irrigation_Utilization!$A12,'Data(perSeason,perCrop)'!$O:$O,Irrigation_Utilization!I$7,'Data(perSeason,perCrop)'!$C:$C,Irrigation_Utilization!I$4,'Data(perSeason,perCrop)'!$R:$R,"IRRIGATED" )</f>
        <v>0</v>
      </c>
      <c r="J12" s="46">
        <f t="shared" si="0"/>
        <v>6289.0048032166469</v>
      </c>
    </row>
    <row r="13" spans="1:10" x14ac:dyDescent="0.3">
      <c r="A13" s="42">
        <v>2021</v>
      </c>
      <c r="B13" s="46">
        <f>SUMIFS('Data(perSeason,perCrop)'!$A:$A,'Data(perSeason,perCrop)'!$S:$S,Irrigation_Utilization!$A13,'Data(perSeason,perCrop)'!$O:$O,Irrigation_Utilization!B$7,'Data(perSeason,perCrop)'!$C:$C,Irrigation_Utilization!B$4,'Data(perSeason,perCrop)'!$R:$R,"IRRIGATED" )</f>
        <v>67.455544868510998</v>
      </c>
      <c r="C13" s="46">
        <f>SUMIFS('Data(perSeason,perCrop)'!$A:$A,'Data(perSeason,perCrop)'!$S:$S,Irrigation_Utilization!$A13,'Data(perSeason,perCrop)'!$O:$O,Irrigation_Utilization!C$7,'Data(perSeason,perCrop)'!$C:$C,Irrigation_Utilization!C$4,'Data(perSeason,perCrop)'!$R:$R,"IRRIGATED" )</f>
        <v>14.3835998596191</v>
      </c>
      <c r="D13" s="46">
        <f>SUMIFS('Data(perSeason,perCrop)'!$A:$A,'Data(perSeason,perCrop)'!$S:$S,Irrigation_Utilization!$A13,'Data(perSeason,perCrop)'!$O:$O,Irrigation_Utilization!D$7,'Data(perSeason,perCrop)'!$C:$C,Irrigation_Utilization!D$4,'Data(perSeason,perCrop)'!$R:$R,"IRRIGATED" )</f>
        <v>11.209214118742</v>
      </c>
      <c r="E13" s="46">
        <f>SUMIFS('Data(perSeason,perCrop)'!$A:$A,'Data(perSeason,perCrop)'!$S:$S,Irrigation_Utilization!$A13,'Data(perSeason,perCrop)'!$O:$O,Irrigation_Utilization!E$7,'Data(perSeason,perCrop)'!$C:$C,Irrigation_Utilization!E$4,'Data(perSeason,perCrop)'!$R:$R,"IRRIGATED" )</f>
        <v>561.88326694162299</v>
      </c>
      <c r="F13" s="46">
        <f>SUMIFS('Data(perSeason,perCrop)'!$A:$A,'Data(perSeason,perCrop)'!$S:$S,Irrigation_Utilization!$A13,'Data(perSeason,perCrop)'!$O:$O,Irrigation_Utilization!F$7,'Data(perSeason,perCrop)'!$C:$C,Irrigation_Utilization!F$4,'Data(perSeason,perCrop)'!$R:$R,"IRRIGATED" )</f>
        <v>4053.7929421479998</v>
      </c>
      <c r="G13" s="46">
        <f>SUMIFS('Data(perSeason,perCrop)'!$A:$A,'Data(perSeason,perCrop)'!$S:$S,Irrigation_Utilization!$A13,'Data(perSeason,perCrop)'!$O:$O,Irrigation_Utilization!G$7,'Data(perSeason,perCrop)'!$C:$C,Irrigation_Utilization!G$4,'Data(perSeason,perCrop)'!$R:$R,"IRRIGATED" )</f>
        <v>33.569077611655402</v>
      </c>
      <c r="H13" s="46">
        <f>SUMIFS('Data(perSeason,perCrop)'!$A:$A,'Data(perSeason,perCrop)'!$S:$S,Irrigation_Utilization!$A13,'Data(perSeason,perCrop)'!$O:$O,Irrigation_Utilization!H$7,'Data(perSeason,perCrop)'!$C:$C,Irrigation_Utilization!H$4,'Data(perSeason,perCrop)'!$R:$R,"IRRIGATED" )</f>
        <v>2093.7227903912999</v>
      </c>
      <c r="I13" s="46">
        <f>SUMIFS('Data(perSeason,perCrop)'!$A:$A,'Data(perSeason,perCrop)'!$S:$S,Irrigation_Utilization!$A13,'Data(perSeason,perCrop)'!$O:$O,Irrigation_Utilization!I$7,'Data(perSeason,perCrop)'!$C:$C,Irrigation_Utilization!I$4,'Data(perSeason,perCrop)'!$R:$R,"IRRIGATED" )</f>
        <v>0</v>
      </c>
      <c r="J13" s="46">
        <f t="shared" si="0"/>
        <v>6836.0164359394503</v>
      </c>
    </row>
    <row r="14" spans="1:10" x14ac:dyDescent="0.3">
      <c r="A14" s="42">
        <v>2022</v>
      </c>
      <c r="B14" s="46">
        <f>SUMIFS('Data(perSeason,perCrop)'!$A:$A,'Data(perSeason,perCrop)'!$S:$S,Irrigation_Utilization!$A14,'Data(perSeason,perCrop)'!$O:$O,Irrigation_Utilization!B$7,'Data(perSeason,perCrop)'!$C:$C,Irrigation_Utilization!B$4,'Data(perSeason,perCrop)'!$R:$R,"IRRIGATED" )</f>
        <v>0</v>
      </c>
      <c r="C14" s="46">
        <f>SUMIFS('Data(perSeason,perCrop)'!$A:$A,'Data(perSeason,perCrop)'!$S:$S,Irrigation_Utilization!$A14,'Data(perSeason,perCrop)'!$O:$O,Irrigation_Utilization!C$7,'Data(perSeason,perCrop)'!$C:$C,Irrigation_Utilization!C$4,'Data(perSeason,perCrop)'!$R:$R,"IRRIGATED" )</f>
        <v>0</v>
      </c>
      <c r="D14" s="46">
        <f>SUMIFS('Data(perSeason,perCrop)'!$A:$A,'Data(perSeason,perCrop)'!$S:$S,Irrigation_Utilization!$A14,'Data(perSeason,perCrop)'!$O:$O,Irrigation_Utilization!D$7,'Data(perSeason,perCrop)'!$C:$C,Irrigation_Utilization!D$4,'Data(perSeason,perCrop)'!$R:$R,"IRRIGATED" )</f>
        <v>0</v>
      </c>
      <c r="E14" s="46">
        <f>SUMIFS('Data(perSeason,perCrop)'!$A:$A,'Data(perSeason,perCrop)'!$S:$S,Irrigation_Utilization!$A14,'Data(perSeason,perCrop)'!$O:$O,Irrigation_Utilization!E$7,'Data(perSeason,perCrop)'!$C:$C,Irrigation_Utilization!E$4,'Data(perSeason,perCrop)'!$R:$R,"IRRIGATED" )</f>
        <v>597.415349417936</v>
      </c>
      <c r="F14" s="46">
        <f>SUMIFS('Data(perSeason,perCrop)'!$A:$A,'Data(perSeason,perCrop)'!$S:$S,Irrigation_Utilization!$A14,'Data(perSeason,perCrop)'!$O:$O,Irrigation_Utilization!F$7,'Data(perSeason,perCrop)'!$C:$C,Irrigation_Utilization!F$4,'Data(perSeason,perCrop)'!$R:$R,"IRRIGATED" )</f>
        <v>4785.7117038593497</v>
      </c>
      <c r="G14" s="46">
        <f>SUMIFS('Data(perSeason,perCrop)'!$A:$A,'Data(perSeason,perCrop)'!$S:$S,Irrigation_Utilization!$A14,'Data(perSeason,perCrop)'!$O:$O,Irrigation_Utilization!G$7,'Data(perSeason,perCrop)'!$C:$C,Irrigation_Utilization!G$4,'Data(perSeason,perCrop)'!$R:$R,"IRRIGATED" )</f>
        <v>0</v>
      </c>
      <c r="H14" s="46">
        <f>SUMIFS('Data(perSeason,perCrop)'!$A:$A,'Data(perSeason,perCrop)'!$S:$S,Irrigation_Utilization!$A14,'Data(perSeason,perCrop)'!$O:$O,Irrigation_Utilization!H$7,'Data(perSeason,perCrop)'!$C:$C,Irrigation_Utilization!H$4,'Data(perSeason,perCrop)'!$R:$R,"IRRIGATED" )</f>
        <v>4069.1683853299701</v>
      </c>
      <c r="I14" s="46">
        <f>SUMIFS('Data(perSeason,perCrop)'!$A:$A,'Data(perSeason,perCrop)'!$S:$S,Irrigation_Utilization!$A14,'Data(perSeason,perCrop)'!$O:$O,Irrigation_Utilization!I$7,'Data(perSeason,perCrop)'!$C:$C,Irrigation_Utilization!I$4,'Data(perSeason,perCrop)'!$R:$R,"IRRIGATED" )</f>
        <v>0</v>
      </c>
      <c r="J14" s="46">
        <f t="shared" si="0"/>
        <v>9452.2954386072561</v>
      </c>
    </row>
    <row r="15" spans="1:10" x14ac:dyDescent="0.3">
      <c r="A15" s="47" t="s">
        <v>176</v>
      </c>
      <c r="B15" s="48">
        <f>AVERAGE(B10:B14)</f>
        <v>45.710786039703301</v>
      </c>
      <c r="C15" s="48">
        <f t="shared" ref="C15:F15" si="1">AVERAGE(C10:C14)</f>
        <v>15.81490821171538</v>
      </c>
      <c r="D15" s="48">
        <f t="shared" si="1"/>
        <v>25.157964263960114</v>
      </c>
      <c r="E15" s="48">
        <f t="shared" si="1"/>
        <v>1024.159339567075</v>
      </c>
      <c r="F15" s="48">
        <f t="shared" si="1"/>
        <v>4324.3526399412276</v>
      </c>
      <c r="G15" s="48">
        <f>AVERAGE(G10:G14)</f>
        <v>22.82075417025996</v>
      </c>
      <c r="H15" s="48">
        <f t="shared" ref="H15:I15" si="2">AVERAGE(H10:H14)</f>
        <v>3026.0516240736897</v>
      </c>
      <c r="I15" s="48">
        <f t="shared" si="2"/>
        <v>1.577843788276224</v>
      </c>
      <c r="J15" s="48">
        <f t="shared" si="0"/>
        <v>8485.6458600559072</v>
      </c>
    </row>
    <row r="17" spans="1:10" x14ac:dyDescent="0.3">
      <c r="A17" s="42" t="s">
        <v>65</v>
      </c>
      <c r="B17" s="42" t="s">
        <v>42</v>
      </c>
      <c r="C17" s="42" t="s">
        <v>44</v>
      </c>
      <c r="D17" s="42" t="s">
        <v>45</v>
      </c>
      <c r="E17" s="42" t="s">
        <v>46</v>
      </c>
      <c r="F17" s="42" t="s">
        <v>38</v>
      </c>
      <c r="G17" s="42" t="s">
        <v>40</v>
      </c>
      <c r="H17" s="42" t="s">
        <v>43</v>
      </c>
      <c r="I17" s="42" t="s">
        <v>41</v>
      </c>
    </row>
    <row r="18" spans="1:10" x14ac:dyDescent="0.3">
      <c r="A18" s="42">
        <v>2018</v>
      </c>
      <c r="B18" s="49">
        <f>B10/$B$2</f>
        <v>3.4639583160094292E-3</v>
      </c>
      <c r="C18" s="49">
        <f t="shared" ref="C18:I18" si="3">C10/$B$2</f>
        <v>0</v>
      </c>
      <c r="D18" s="49">
        <f t="shared" si="3"/>
        <v>0</v>
      </c>
      <c r="E18" s="49">
        <f t="shared" si="3"/>
        <v>3.9061698326330344E-2</v>
      </c>
      <c r="F18" s="49">
        <f t="shared" si="3"/>
        <v>0.37213582850272348</v>
      </c>
      <c r="G18" s="49">
        <f t="shared" si="3"/>
        <v>0</v>
      </c>
      <c r="H18" s="49">
        <f t="shared" si="3"/>
        <v>0.12757612608494731</v>
      </c>
      <c r="I18" s="49">
        <f t="shared" si="3"/>
        <v>0</v>
      </c>
    </row>
    <row r="19" spans="1:10" x14ac:dyDescent="0.3">
      <c r="A19" s="42">
        <v>2019</v>
      </c>
      <c r="B19" s="49">
        <f t="shared" ref="B19:I22" si="4">B11/$B$2</f>
        <v>4.3930676778888341E-3</v>
      </c>
      <c r="C19" s="49">
        <f t="shared" si="4"/>
        <v>2.8377405377224127E-3</v>
      </c>
      <c r="D19" s="49">
        <f t="shared" si="4"/>
        <v>6.2397156439082538E-3</v>
      </c>
      <c r="E19" s="49">
        <f t="shared" si="4"/>
        <v>0.17570583307294049</v>
      </c>
      <c r="F19" s="49">
        <f t="shared" si="4"/>
        <v>0.14572359917532182</v>
      </c>
      <c r="G19" s="49">
        <f t="shared" si="4"/>
        <v>4.6616516114635562E-3</v>
      </c>
      <c r="H19" s="49">
        <f t="shared" si="4"/>
        <v>0.26678977176472912</v>
      </c>
      <c r="I19" s="49">
        <f t="shared" si="4"/>
        <v>4.5665772987850894E-4</v>
      </c>
    </row>
    <row r="20" spans="1:10" x14ac:dyDescent="0.3">
      <c r="A20" s="42">
        <v>2020</v>
      </c>
      <c r="B20" s="49">
        <f t="shared" si="4"/>
        <v>1.4679557918163405E-3</v>
      </c>
      <c r="C20" s="49">
        <f t="shared" si="4"/>
        <v>9.0681498432886075E-4</v>
      </c>
      <c r="D20" s="49">
        <f t="shared" si="4"/>
        <v>3.9264180000576351E-4</v>
      </c>
      <c r="E20" s="49">
        <f t="shared" si="4"/>
        <v>1.4538909992012792E-2</v>
      </c>
      <c r="F20" s="49">
        <f t="shared" si="4"/>
        <v>0.22202587874119473</v>
      </c>
      <c r="G20" s="49">
        <f t="shared" si="4"/>
        <v>0</v>
      </c>
      <c r="H20" s="49">
        <f t="shared" si="4"/>
        <v>0.12469910241931986</v>
      </c>
      <c r="I20" s="49">
        <f t="shared" si="4"/>
        <v>0</v>
      </c>
    </row>
    <row r="21" spans="1:10" x14ac:dyDescent="0.3">
      <c r="A21" s="42">
        <v>2021</v>
      </c>
      <c r="B21" s="49">
        <f t="shared" si="4"/>
        <v>3.9045812033173767E-3</v>
      </c>
      <c r="C21" s="49">
        <f t="shared" si="4"/>
        <v>8.325769772875145E-4</v>
      </c>
      <c r="D21" s="49">
        <f t="shared" si="4"/>
        <v>6.4883156510430655E-4</v>
      </c>
      <c r="E21" s="49">
        <f t="shared" si="4"/>
        <v>3.2523921448345858E-2</v>
      </c>
      <c r="F21" s="49">
        <f t="shared" si="4"/>
        <v>0.23464881582241259</v>
      </c>
      <c r="G21" s="49">
        <f t="shared" si="4"/>
        <v>1.9431047471437487E-3</v>
      </c>
      <c r="H21" s="49">
        <f t="shared" si="4"/>
        <v>0.12119256716782241</v>
      </c>
      <c r="I21" s="49">
        <f t="shared" si="4"/>
        <v>0</v>
      </c>
    </row>
    <row r="22" spans="1:10" x14ac:dyDescent="0.3">
      <c r="A22" s="42">
        <v>2022</v>
      </c>
      <c r="B22" s="49">
        <f t="shared" si="4"/>
        <v>0</v>
      </c>
      <c r="C22" s="49">
        <f t="shared" si="4"/>
        <v>0</v>
      </c>
      <c r="D22" s="49">
        <f t="shared" si="4"/>
        <v>0</v>
      </c>
      <c r="E22" s="49">
        <f t="shared" si="4"/>
        <v>3.4580652316388981E-2</v>
      </c>
      <c r="F22" s="49">
        <f t="shared" si="4"/>
        <v>0.27701503263830457</v>
      </c>
      <c r="G22" s="49">
        <f t="shared" si="4"/>
        <v>0</v>
      </c>
      <c r="H22" s="49">
        <f t="shared" si="4"/>
        <v>0.23553880442984315</v>
      </c>
      <c r="I22" s="49">
        <f t="shared" si="4"/>
        <v>0</v>
      </c>
    </row>
    <row r="23" spans="1:10" x14ac:dyDescent="0.3">
      <c r="A23" s="47" t="s">
        <v>176</v>
      </c>
      <c r="B23" s="50">
        <f>AVERAGE(B18:B22)</f>
        <v>2.6459125978063958E-3</v>
      </c>
      <c r="C23" s="50">
        <f t="shared" ref="C23:F23" si="5">AVERAGE(C18:C22)</f>
        <v>9.1542649986775754E-4</v>
      </c>
      <c r="D23" s="50">
        <f t="shared" si="5"/>
        <v>1.4562378018036649E-3</v>
      </c>
      <c r="E23" s="50">
        <f t="shared" si="5"/>
        <v>5.9282203031203698E-2</v>
      </c>
      <c r="F23" s="50">
        <f t="shared" si="5"/>
        <v>0.25030983097599141</v>
      </c>
      <c r="G23" s="50">
        <f>AVERAGE(G18:G22)</f>
        <v>1.320951271721461E-3</v>
      </c>
      <c r="H23" s="50">
        <f t="shared" ref="H23:I23" si="6">AVERAGE(H18:H22)</f>
        <v>0.1751592743733324</v>
      </c>
      <c r="I23" s="50">
        <f t="shared" si="6"/>
        <v>9.1331545975701793E-5</v>
      </c>
    </row>
    <row r="25" spans="1:10" x14ac:dyDescent="0.3">
      <c r="A25" s="42" t="s">
        <v>65</v>
      </c>
      <c r="B25" s="42" t="s">
        <v>42</v>
      </c>
      <c r="C25" s="42" t="s">
        <v>44</v>
      </c>
      <c r="D25" s="42" t="s">
        <v>45</v>
      </c>
      <c r="E25" s="42" t="s">
        <v>46</v>
      </c>
      <c r="F25" s="42" t="s">
        <v>38</v>
      </c>
      <c r="G25" s="42" t="s">
        <v>40</v>
      </c>
      <c r="H25" s="42" t="s">
        <v>43</v>
      </c>
      <c r="I25" s="42" t="s">
        <v>41</v>
      </c>
      <c r="J25" s="42" t="s">
        <v>64</v>
      </c>
    </row>
    <row r="26" spans="1:10" x14ac:dyDescent="0.3">
      <c r="A26" s="42">
        <v>2018</v>
      </c>
      <c r="B26" s="49">
        <f>(B10*B$6)/$B$2</f>
        <v>6.9279166320188584E-3</v>
      </c>
      <c r="C26" s="49">
        <f t="shared" ref="C26:I26" si="7">(C10*C$6)/$B$2</f>
        <v>0</v>
      </c>
      <c r="D26" s="49">
        <f t="shared" si="7"/>
        <v>0</v>
      </c>
      <c r="E26" s="49">
        <f t="shared" si="7"/>
        <v>3.9061698326330344E-2</v>
      </c>
      <c r="F26" s="49">
        <f t="shared" si="7"/>
        <v>0.37213582850272348</v>
      </c>
      <c r="G26" s="49">
        <f t="shared" si="7"/>
        <v>0</v>
      </c>
      <c r="H26" s="49">
        <f t="shared" si="7"/>
        <v>0.25515225216989462</v>
      </c>
      <c r="I26" s="49">
        <f t="shared" si="7"/>
        <v>0</v>
      </c>
      <c r="J26" s="51">
        <f>SUM(B26:I26)</f>
        <v>0.67327769563096729</v>
      </c>
    </row>
    <row r="27" spans="1:10" x14ac:dyDescent="0.3">
      <c r="A27" s="42">
        <v>2019</v>
      </c>
      <c r="B27" s="49">
        <f t="shared" ref="B27:I30" si="8">(B11*B$6)/$B$2</f>
        <v>8.7861353557776682E-3</v>
      </c>
      <c r="C27" s="49">
        <f t="shared" si="8"/>
        <v>5.6754810754448253E-3</v>
      </c>
      <c r="D27" s="49">
        <f t="shared" si="8"/>
        <v>1.8719146931724759E-2</v>
      </c>
      <c r="E27" s="49">
        <f t="shared" si="8"/>
        <v>0.17570583307294049</v>
      </c>
      <c r="F27" s="49">
        <f t="shared" si="8"/>
        <v>0.14572359917532182</v>
      </c>
      <c r="G27" s="49">
        <f t="shared" si="8"/>
        <v>4.6616516114635562E-3</v>
      </c>
      <c r="H27" s="49">
        <f t="shared" si="8"/>
        <v>0.53357954352945824</v>
      </c>
      <c r="I27" s="49">
        <f t="shared" si="8"/>
        <v>4.5665772987850894E-4</v>
      </c>
      <c r="J27" s="51">
        <f t="shared" ref="J27:J31" si="9">SUM(B27:I27)</f>
        <v>0.89330804848200984</v>
      </c>
    </row>
    <row r="28" spans="1:10" x14ac:dyDescent="0.3">
      <c r="A28" s="42">
        <v>2020</v>
      </c>
      <c r="B28" s="49">
        <f t="shared" si="8"/>
        <v>2.9359115836326811E-3</v>
      </c>
      <c r="C28" s="49">
        <f t="shared" si="8"/>
        <v>1.8136299686577215E-3</v>
      </c>
      <c r="D28" s="49">
        <f t="shared" si="8"/>
        <v>1.1779254000172906E-3</v>
      </c>
      <c r="E28" s="49">
        <f t="shared" si="8"/>
        <v>1.4538909992012792E-2</v>
      </c>
      <c r="F28" s="49">
        <f t="shared" si="8"/>
        <v>0.22202587874119473</v>
      </c>
      <c r="G28" s="49">
        <f t="shared" si="8"/>
        <v>0</v>
      </c>
      <c r="H28" s="49">
        <f t="shared" si="8"/>
        <v>0.24939820483863973</v>
      </c>
      <c r="I28" s="49">
        <f t="shared" si="8"/>
        <v>0</v>
      </c>
      <c r="J28" s="51">
        <f t="shared" si="9"/>
        <v>0.49189046052415497</v>
      </c>
    </row>
    <row r="29" spans="1:10" x14ac:dyDescent="0.3">
      <c r="A29" s="42">
        <v>2021</v>
      </c>
      <c r="B29" s="49">
        <f t="shared" si="8"/>
        <v>7.8091624066347533E-3</v>
      </c>
      <c r="C29" s="49">
        <f t="shared" si="8"/>
        <v>1.665153954575029E-3</v>
      </c>
      <c r="D29" s="49">
        <f t="shared" si="8"/>
        <v>1.9464946953129199E-3</v>
      </c>
      <c r="E29" s="49">
        <f t="shared" si="8"/>
        <v>3.2523921448345858E-2</v>
      </c>
      <c r="F29" s="49">
        <f t="shared" si="8"/>
        <v>0.23464881582241259</v>
      </c>
      <c r="G29" s="49">
        <f t="shared" si="8"/>
        <v>1.9431047471437487E-3</v>
      </c>
      <c r="H29" s="49">
        <f t="shared" si="8"/>
        <v>0.24238513433564482</v>
      </c>
      <c r="I29" s="49">
        <f t="shared" si="8"/>
        <v>0</v>
      </c>
      <c r="J29" s="51">
        <f t="shared" si="9"/>
        <v>0.52292178741006978</v>
      </c>
    </row>
    <row r="30" spans="1:10" x14ac:dyDescent="0.3">
      <c r="A30" s="42">
        <v>2022</v>
      </c>
      <c r="B30" s="49">
        <f t="shared" si="8"/>
        <v>0</v>
      </c>
      <c r="C30" s="49">
        <f t="shared" si="8"/>
        <v>0</v>
      </c>
      <c r="D30" s="49">
        <f t="shared" si="8"/>
        <v>0</v>
      </c>
      <c r="E30" s="49">
        <f t="shared" si="8"/>
        <v>3.4580652316388981E-2</v>
      </c>
      <c r="F30" s="49">
        <f t="shared" si="8"/>
        <v>0.27701503263830457</v>
      </c>
      <c r="G30" s="49">
        <f t="shared" si="8"/>
        <v>0</v>
      </c>
      <c r="H30" s="49">
        <f t="shared" si="8"/>
        <v>0.4710776088596863</v>
      </c>
      <c r="I30" s="49">
        <f t="shared" si="8"/>
        <v>0</v>
      </c>
      <c r="J30" s="51">
        <f t="shared" si="9"/>
        <v>0.78267329381437989</v>
      </c>
    </row>
    <row r="31" spans="1:10" x14ac:dyDescent="0.3">
      <c r="A31" s="47" t="s">
        <v>176</v>
      </c>
      <c r="B31" s="50">
        <f>AVERAGE(B26:B30)</f>
        <v>5.2918251956127916E-3</v>
      </c>
      <c r="C31" s="50">
        <f t="shared" ref="C31:F31" si="10">AVERAGE(C26:C30)</f>
        <v>1.8308529997355151E-3</v>
      </c>
      <c r="D31" s="50">
        <f t="shared" si="10"/>
        <v>4.3687134054109936E-3</v>
      </c>
      <c r="E31" s="50">
        <f t="shared" si="10"/>
        <v>5.9282203031203698E-2</v>
      </c>
      <c r="F31" s="50">
        <f t="shared" si="10"/>
        <v>0.25030983097599141</v>
      </c>
      <c r="G31" s="50">
        <f>AVERAGE(G26:G30)</f>
        <v>1.320951271721461E-3</v>
      </c>
      <c r="H31" s="50">
        <f t="shared" ref="H31:I31" si="11">AVERAGE(H26:H30)</f>
        <v>0.35031854874666479</v>
      </c>
      <c r="I31" s="50">
        <f t="shared" si="11"/>
        <v>9.1331545975701793E-5</v>
      </c>
      <c r="J31" s="52">
        <f t="shared" si="9"/>
        <v>0.67281425717231647</v>
      </c>
    </row>
    <row r="33" spans="1:18" x14ac:dyDescent="0.3">
      <c r="A33" s="42" t="s">
        <v>177</v>
      </c>
      <c r="B33" s="42" t="s">
        <v>178</v>
      </c>
      <c r="C33" s="42" t="s">
        <v>179</v>
      </c>
      <c r="G33" s="53"/>
      <c r="K33" s="54"/>
      <c r="L33" s="54"/>
      <c r="M33" s="54"/>
      <c r="N33" s="54"/>
      <c r="O33" s="54"/>
      <c r="P33" s="54"/>
      <c r="Q33" s="54"/>
      <c r="R33" s="54"/>
    </row>
    <row r="34" spans="1:18" x14ac:dyDescent="0.3">
      <c r="A34" s="42">
        <v>2018</v>
      </c>
      <c r="B34" s="51">
        <f>SUM(B18:I18)</f>
        <v>0.54223761123001057</v>
      </c>
      <c r="C34" s="46">
        <f>B34*B$2</f>
        <v>9367.6969716096628</v>
      </c>
      <c r="D34" s="54"/>
      <c r="G34" s="53"/>
      <c r="H34" s="54"/>
      <c r="I34" s="54"/>
      <c r="K34" s="54"/>
      <c r="L34" s="54"/>
      <c r="M34" s="54"/>
      <c r="N34" s="54"/>
      <c r="O34" s="54"/>
      <c r="P34" s="54"/>
      <c r="Q34" s="54"/>
      <c r="R34" s="54"/>
    </row>
    <row r="35" spans="1:18" x14ac:dyDescent="0.3">
      <c r="A35" s="42">
        <v>2019</v>
      </c>
      <c r="B35" s="51">
        <f>SUM(B19:I19)</f>
        <v>0.6068080372138529</v>
      </c>
      <c r="C35" s="46">
        <f t="shared" ref="C35:C38" si="12">B35*B$2</f>
        <v>10483.215650906523</v>
      </c>
      <c r="G35" s="53"/>
      <c r="K35" s="54"/>
      <c r="L35" s="54"/>
      <c r="M35" s="54"/>
      <c r="N35" s="54"/>
      <c r="O35" s="54"/>
      <c r="P35" s="54"/>
      <c r="Q35" s="54"/>
      <c r="R35" s="54"/>
    </row>
    <row r="36" spans="1:18" x14ac:dyDescent="0.3">
      <c r="A36" s="42">
        <v>2020</v>
      </c>
      <c r="B36" s="51">
        <f>SUM(B20:I20)</f>
        <v>0.36403130372867831</v>
      </c>
      <c r="C36" s="46">
        <f t="shared" si="12"/>
        <v>6289.0048032166469</v>
      </c>
      <c r="G36" s="53"/>
      <c r="K36" s="54"/>
      <c r="L36" s="54"/>
      <c r="M36" s="54"/>
      <c r="N36" s="54"/>
      <c r="O36" s="54"/>
      <c r="P36" s="54"/>
      <c r="Q36" s="54"/>
      <c r="R36" s="54"/>
    </row>
    <row r="37" spans="1:18" x14ac:dyDescent="0.3">
      <c r="A37" s="42">
        <v>2021</v>
      </c>
      <c r="B37" s="51">
        <f>SUM(B21:I21)</f>
        <v>0.39569439893143382</v>
      </c>
      <c r="C37" s="46">
        <f t="shared" si="12"/>
        <v>6836.0164359394503</v>
      </c>
      <c r="G37" s="54"/>
      <c r="K37" s="54"/>
      <c r="L37" s="54"/>
      <c r="M37" s="54"/>
      <c r="N37" s="54"/>
      <c r="O37" s="54"/>
      <c r="P37" s="54"/>
      <c r="Q37" s="54"/>
      <c r="R37" s="54"/>
    </row>
    <row r="38" spans="1:18" x14ac:dyDescent="0.3">
      <c r="A38" s="42">
        <v>2022</v>
      </c>
      <c r="B38" s="51">
        <f>SUM(B22:I22)</f>
        <v>0.54713448938453668</v>
      </c>
      <c r="C38" s="46">
        <f t="shared" si="12"/>
        <v>9452.2954386072561</v>
      </c>
      <c r="G38" s="54"/>
      <c r="K38" s="54"/>
      <c r="L38" s="54"/>
      <c r="M38" s="54"/>
      <c r="N38" s="54"/>
      <c r="O38" s="54"/>
      <c r="P38" s="54"/>
      <c r="Q38" s="54"/>
      <c r="R38" s="54"/>
    </row>
    <row r="39" spans="1:18" x14ac:dyDescent="0.3">
      <c r="A39" s="47" t="s">
        <v>176</v>
      </c>
      <c r="B39" s="52">
        <f>AVERAGE(B34:B38)</f>
        <v>0.49118116809770251</v>
      </c>
      <c r="C39" s="48">
        <f>AVERAGE(C34:C38)</f>
        <v>8485.6458600559072</v>
      </c>
      <c r="G39" s="54"/>
      <c r="K39" s="54"/>
      <c r="L39" s="54"/>
      <c r="M39" s="54"/>
      <c r="N39" s="54"/>
      <c r="O39" s="54"/>
      <c r="P39" s="54"/>
      <c r="Q39" s="54"/>
      <c r="R39" s="54"/>
    </row>
    <row r="40" spans="1:18" x14ac:dyDescent="0.3">
      <c r="G40" s="54"/>
    </row>
    <row r="41" spans="1:18" x14ac:dyDescent="0.3">
      <c r="G41" s="54"/>
      <c r="K41" s="55"/>
      <c r="L41" s="55"/>
      <c r="M41" s="55"/>
      <c r="N41" s="55"/>
      <c r="O41" s="55"/>
      <c r="P41" s="55"/>
      <c r="Q41" s="55"/>
      <c r="R41" s="55"/>
    </row>
    <row r="42" spans="1:18" x14ac:dyDescent="0.3">
      <c r="A42" s="54"/>
      <c r="B42" s="54"/>
      <c r="C42" s="54"/>
      <c r="D42" s="54"/>
      <c r="E42" s="54"/>
      <c r="F42" s="54"/>
      <c r="H42" s="54"/>
      <c r="K42" s="55"/>
      <c r="L42" s="55"/>
      <c r="M42" s="55"/>
      <c r="N42" s="55"/>
      <c r="O42" s="55"/>
      <c r="P42" s="55"/>
      <c r="Q42" s="55"/>
      <c r="R42" s="55"/>
    </row>
    <row r="43" spans="1:18" x14ac:dyDescent="0.3">
      <c r="A43" s="54"/>
      <c r="B43" s="54"/>
      <c r="C43" s="54"/>
      <c r="D43" s="54"/>
      <c r="E43" s="54"/>
      <c r="F43" s="54"/>
      <c r="H43" s="54"/>
      <c r="K43" s="55"/>
      <c r="L43" s="55"/>
      <c r="M43" s="55"/>
      <c r="N43" s="55"/>
      <c r="O43" s="55"/>
      <c r="P43" s="55"/>
      <c r="Q43" s="55"/>
      <c r="R43" s="55"/>
    </row>
    <row r="44" spans="1:18" x14ac:dyDescent="0.3">
      <c r="A44" s="54"/>
      <c r="B44" s="54"/>
      <c r="C44" s="54"/>
      <c r="D44" s="54"/>
      <c r="E44" s="54"/>
      <c r="F44" s="54"/>
      <c r="G44" s="55"/>
      <c r="H44" s="54"/>
      <c r="K44" s="55"/>
      <c r="L44" s="55"/>
      <c r="M44" s="55"/>
      <c r="N44" s="55"/>
      <c r="O44" s="55"/>
      <c r="P44" s="55"/>
      <c r="Q44" s="55"/>
      <c r="R44" s="55"/>
    </row>
    <row r="45" spans="1:18" x14ac:dyDescent="0.3">
      <c r="A45" s="54"/>
      <c r="B45" s="54"/>
      <c r="C45" s="54"/>
      <c r="D45" s="54"/>
      <c r="E45" s="54"/>
      <c r="F45" s="54"/>
      <c r="G45" s="55"/>
      <c r="H45" s="54"/>
      <c r="K45" s="55"/>
      <c r="L45" s="55"/>
      <c r="M45" s="55"/>
      <c r="N45" s="55"/>
      <c r="O45" s="55"/>
      <c r="P45" s="55"/>
      <c r="Q45" s="55"/>
      <c r="R45" s="55"/>
    </row>
    <row r="46" spans="1:18" x14ac:dyDescent="0.3">
      <c r="A46" s="54"/>
      <c r="B46" s="54"/>
      <c r="C46" s="54"/>
      <c r="D46" s="54"/>
      <c r="E46" s="54"/>
      <c r="F46" s="54"/>
      <c r="G46" s="55"/>
      <c r="H46" s="54"/>
    </row>
    <row r="47" spans="1:18" x14ac:dyDescent="0.3">
      <c r="A47" s="54"/>
      <c r="B47" s="54"/>
      <c r="C47" s="54"/>
      <c r="D47" s="54"/>
      <c r="E47" s="54"/>
      <c r="F47" s="54"/>
      <c r="G47" s="55"/>
      <c r="H47" s="54"/>
    </row>
    <row r="48" spans="1:18" x14ac:dyDescent="0.3">
      <c r="A48" s="54"/>
      <c r="B48" s="54"/>
      <c r="C48" s="54"/>
      <c r="D48" s="54"/>
      <c r="E48" s="54"/>
      <c r="F48" s="54"/>
      <c r="G48" s="55"/>
      <c r="H48" s="54"/>
    </row>
    <row r="51" spans="4:11" x14ac:dyDescent="0.3">
      <c r="D51" s="55"/>
      <c r="E51" s="55"/>
      <c r="F51" s="55"/>
      <c r="H51" s="55"/>
      <c r="I51" s="55"/>
      <c r="J51" s="55"/>
      <c r="K51" s="55"/>
    </row>
    <row r="52" spans="4:11" x14ac:dyDescent="0.3">
      <c r="D52" s="55"/>
      <c r="E52" s="55"/>
      <c r="F52" s="55"/>
      <c r="H52" s="55"/>
      <c r="I52" s="55"/>
      <c r="J52" s="55"/>
      <c r="K52" s="55"/>
    </row>
    <row r="53" spans="4:11" x14ac:dyDescent="0.3">
      <c r="D53" s="55"/>
      <c r="E53" s="55"/>
      <c r="F53" s="55"/>
      <c r="H53" s="55"/>
      <c r="I53" s="55"/>
      <c r="J53" s="55"/>
      <c r="K53" s="55"/>
    </row>
    <row r="54" spans="4:11" x14ac:dyDescent="0.3">
      <c r="D54" s="55"/>
      <c r="E54" s="55"/>
      <c r="F54" s="55"/>
      <c r="H54" s="55"/>
      <c r="I54" s="55"/>
      <c r="J54" s="55"/>
      <c r="K54" s="55"/>
    </row>
    <row r="55" spans="4:11" x14ac:dyDescent="0.3">
      <c r="D55" s="55"/>
      <c r="E55" s="55"/>
      <c r="F55" s="55"/>
      <c r="H55" s="55"/>
      <c r="I55" s="55"/>
      <c r="J55" s="55"/>
      <c r="K55" s="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1A3E-E498-45C1-A4EE-6F4F65539474}">
  <dimension ref="A1:AF85"/>
  <sheetViews>
    <sheetView topLeftCell="A3" zoomScale="70" zoomScaleNormal="70" workbookViewId="0">
      <selection activeCell="B21" sqref="B21"/>
    </sheetView>
  </sheetViews>
  <sheetFormatPr defaultRowHeight="15.75" x14ac:dyDescent="0.25"/>
  <cols>
    <col min="1" max="1" width="24.25" customWidth="1"/>
    <col min="2" max="2" width="15.875" bestFit="1" customWidth="1"/>
    <col min="13" max="13" width="11.5" customWidth="1"/>
  </cols>
  <sheetData>
    <row r="1" spans="1:32" x14ac:dyDescent="0.25">
      <c r="A1" s="56" t="s">
        <v>6</v>
      </c>
    </row>
    <row r="2" spans="1:32" ht="18.75" x14ac:dyDescent="0.3">
      <c r="A2" s="57" t="s">
        <v>182</v>
      </c>
      <c r="B2" s="58" t="s">
        <v>47</v>
      </c>
      <c r="C2" s="58" t="s">
        <v>57</v>
      </c>
      <c r="D2" s="58" t="s">
        <v>110</v>
      </c>
      <c r="E2" s="58" t="s">
        <v>50</v>
      </c>
      <c r="F2" s="58" t="s">
        <v>58</v>
      </c>
      <c r="G2" s="58" t="s">
        <v>51</v>
      </c>
      <c r="H2" s="58" t="s">
        <v>97</v>
      </c>
      <c r="I2" s="58" t="s">
        <v>52</v>
      </c>
      <c r="J2" s="58" t="s">
        <v>59</v>
      </c>
      <c r="K2" s="58" t="s">
        <v>111</v>
      </c>
      <c r="L2" s="58" t="s">
        <v>54</v>
      </c>
      <c r="M2" s="58" t="s">
        <v>112</v>
      </c>
      <c r="N2" s="58" t="s">
        <v>48</v>
      </c>
      <c r="O2" s="58" t="s">
        <v>53</v>
      </c>
      <c r="P2" s="58" t="s">
        <v>49</v>
      </c>
      <c r="Q2" s="58" t="s">
        <v>56</v>
      </c>
      <c r="R2" s="58" t="s">
        <v>102</v>
      </c>
      <c r="S2" s="58" t="s">
        <v>103</v>
      </c>
      <c r="T2" s="58" t="s">
        <v>101</v>
      </c>
      <c r="U2" s="58" t="s">
        <v>106</v>
      </c>
      <c r="V2" s="58" t="s">
        <v>113</v>
      </c>
      <c r="W2" s="58" t="s">
        <v>114</v>
      </c>
      <c r="X2" s="58" t="s">
        <v>115</v>
      </c>
      <c r="Y2" s="58" t="s">
        <v>116</v>
      </c>
      <c r="Z2" s="58" t="s">
        <v>107</v>
      </c>
      <c r="AA2" s="58" t="s">
        <v>104</v>
      </c>
      <c r="AB2" s="58" t="s">
        <v>117</v>
      </c>
      <c r="AC2" s="58" t="s">
        <v>118</v>
      </c>
      <c r="AD2" s="58" t="s">
        <v>119</v>
      </c>
      <c r="AE2" s="58" t="s">
        <v>108</v>
      </c>
      <c r="AF2" s="58" t="s">
        <v>105</v>
      </c>
    </row>
    <row r="3" spans="1:32" ht="18.75" x14ac:dyDescent="0.3">
      <c r="A3" s="42" t="s">
        <v>183</v>
      </c>
      <c r="B3" s="42">
        <v>1</v>
      </c>
      <c r="C3" s="42">
        <v>2</v>
      </c>
      <c r="D3" s="42">
        <v>3</v>
      </c>
      <c r="E3" s="42">
        <v>4</v>
      </c>
      <c r="F3" s="42">
        <v>5</v>
      </c>
      <c r="G3" s="42">
        <v>6</v>
      </c>
      <c r="H3" s="42">
        <v>7</v>
      </c>
      <c r="I3" s="42">
        <v>8</v>
      </c>
      <c r="J3" s="42">
        <v>9</v>
      </c>
      <c r="K3" s="42">
        <v>10</v>
      </c>
      <c r="L3" s="42">
        <v>11</v>
      </c>
      <c r="M3" s="42">
        <v>12</v>
      </c>
      <c r="N3" s="42">
        <v>13</v>
      </c>
      <c r="O3" s="42">
        <v>14</v>
      </c>
      <c r="P3" s="42">
        <v>15</v>
      </c>
      <c r="Q3" s="42">
        <v>16</v>
      </c>
      <c r="R3" s="42">
        <v>17</v>
      </c>
      <c r="S3" s="42">
        <v>18</v>
      </c>
      <c r="T3" s="42">
        <v>19</v>
      </c>
      <c r="U3" s="42">
        <v>20</v>
      </c>
      <c r="V3" s="42">
        <v>21</v>
      </c>
      <c r="W3" s="42">
        <v>22</v>
      </c>
      <c r="X3" s="42">
        <v>23</v>
      </c>
      <c r="Y3" s="42">
        <v>24</v>
      </c>
      <c r="Z3" s="42">
        <v>25</v>
      </c>
      <c r="AA3" s="42">
        <v>40</v>
      </c>
      <c r="AB3" s="42">
        <v>41</v>
      </c>
      <c r="AC3" s="42">
        <v>42</v>
      </c>
      <c r="AD3" s="42">
        <v>43</v>
      </c>
      <c r="AE3" s="42">
        <v>44</v>
      </c>
      <c r="AF3" s="42">
        <v>45</v>
      </c>
    </row>
    <row r="4" spans="1:32" ht="18.75" x14ac:dyDescent="0.3">
      <c r="A4" s="42">
        <v>2018</v>
      </c>
      <c r="B4" s="59">
        <f>SUMIFS('Data(perSeason,perCrop)'!$A:$A,'Data(perSeason,perCrop)'!$S:$S,Adequacy!$A4,'Data(perSeason,perCrop)'!$O:$O,1,'Data(perSeason,perCrop)'!$C:$C,Adequacy!B$2,'Data(perSeason,perCrop)'!$R:$R,"IRRIGATED")</f>
        <v>0</v>
      </c>
      <c r="C4" s="59">
        <f>SUMIFS('Data(perSeason,perCrop)'!$A:$A,'Data(perSeason,perCrop)'!$S:$S,Adequacy!$A4,'Data(perSeason,perCrop)'!$O:$O,1,'Data(perSeason,perCrop)'!$C:$C,Adequacy!C$2,'Data(perSeason,perCrop)'!$R:$R,"IRRIGATED")</f>
        <v>5050.8789496593199</v>
      </c>
      <c r="D4" s="59">
        <f>SUMIFS('Data(perSeason,perCrop)'!$A:$A,'Data(perSeason,perCrop)'!$S:$S,Adequacy!$A4,'Data(perSeason,perCrop)'!$O:$O,1,'Data(perSeason,perCrop)'!$C:$C,Adequacy!D$2,'Data(perSeason,perCrop)'!$R:$R,"IRRIGATED")</f>
        <v>0</v>
      </c>
      <c r="E4" s="59">
        <f>SUMIFS('Data(perSeason,perCrop)'!$A:$A,'Data(perSeason,perCrop)'!$S:$S,Adequacy!$A4,'Data(perSeason,perCrop)'!$O:$O,1,'Data(perSeason,perCrop)'!$C:$C,Adequacy!E$2,'Data(perSeason,perCrop)'!$R:$R,"IRRIGATED")</f>
        <v>0</v>
      </c>
      <c r="F4" s="59">
        <f>SUMIFS('Data(perSeason,perCrop)'!$A:$A,'Data(perSeason,perCrop)'!$S:$S,Adequacy!$A4,'Data(perSeason,perCrop)'!$O:$O,1,'Data(perSeason,perCrop)'!$C:$C,Adequacy!F$2,'Data(perSeason,perCrop)'!$R:$R,"IRRIGATED")</f>
        <v>0</v>
      </c>
      <c r="G4" s="59">
        <f>SUMIFS('Data(perSeason,perCrop)'!$A:$A,'Data(perSeason,perCrop)'!$S:$S,Adequacy!$A4,'Data(perSeason,perCrop)'!$O:$O,1,'Data(perSeason,perCrop)'!$C:$C,Adequacy!G$2,'Data(perSeason,perCrop)'!$R:$R,"IRRIGATED")</f>
        <v>0</v>
      </c>
      <c r="H4" s="59">
        <f>SUMIFS('Data(perSeason,perCrop)'!$A:$A,'Data(perSeason,perCrop)'!$S:$S,Adequacy!$A4,'Data(perSeason,perCrop)'!$O:$O,1,'Data(perSeason,perCrop)'!$C:$C,Adequacy!H$2,'Data(perSeason,perCrop)'!$R:$R,"IRRIGATED")</f>
        <v>0</v>
      </c>
      <c r="I4" s="59">
        <f>SUMIFS('Data(perSeason,perCrop)'!$A:$A,'Data(perSeason,perCrop)'!$S:$S,Adequacy!$A4,'Data(perSeason,perCrop)'!$O:$O,1,'Data(perSeason,perCrop)'!$C:$C,Adequacy!I$2,'Data(perSeason,perCrop)'!$R:$R,"IRRIGATED")</f>
        <v>0</v>
      </c>
      <c r="J4" s="59">
        <f>SUMIFS('Data(perSeason,perCrop)'!$A:$A,'Data(perSeason,perCrop)'!$S:$S,Adequacy!$A4,'Data(perSeason,perCrop)'!$O:$O,1,'Data(perSeason,perCrop)'!$C:$C,Adequacy!J$2,'Data(perSeason,perCrop)'!$R:$R,"IRRIGATED")</f>
        <v>0</v>
      </c>
      <c r="K4" s="59">
        <f>SUMIFS('Data(perSeason,perCrop)'!$A:$A,'Data(perSeason,perCrop)'!$S:$S,Adequacy!$A4,'Data(perSeason,perCrop)'!$O:$O,1,'Data(perSeason,perCrop)'!$C:$C,Adequacy!K$2,'Data(perSeason,perCrop)'!$R:$R,"IRRIGATED")</f>
        <v>0</v>
      </c>
      <c r="L4" s="59">
        <f>SUMIFS('Data(perSeason,perCrop)'!$A:$A,'Data(perSeason,perCrop)'!$S:$S,Adequacy!$A4,'Data(perSeason,perCrop)'!$O:$O,1,'Data(perSeason,perCrop)'!$C:$C,Adequacy!L$2,'Data(perSeason,perCrop)'!$R:$R,"IRRIGATED")</f>
        <v>0</v>
      </c>
      <c r="M4" s="59">
        <f>SUMIFS('Data(perSeason,perCrop)'!$A:$A,'Data(perSeason,perCrop)'!$S:$S,Adequacy!$A4,'Data(perSeason,perCrop)'!$O:$O,1,'Data(perSeason,perCrop)'!$C:$C,Adequacy!M$2,'Data(perSeason,perCrop)'!$R:$R,"IRRIGATED")</f>
        <v>0</v>
      </c>
      <c r="N4" s="59">
        <f>SUMIFS('Data(perSeason,perCrop)'!$A:$A,'Data(perSeason,perCrop)'!$S:$S,Adequacy!$A4,'Data(perSeason,perCrop)'!$O:$O,1,'Data(perSeason,perCrop)'!$C:$C,Adequacy!N$2,'Data(perSeason,perCrop)'!$R:$R,"IRRIGATED")</f>
        <v>0</v>
      </c>
      <c r="O4" s="59">
        <f>SUMIFS('Data(perSeason,perCrop)'!$A:$A,'Data(perSeason,perCrop)'!$S:$S,Adequacy!$A4,'Data(perSeason,perCrop)'!$O:$O,1,'Data(perSeason,perCrop)'!$C:$C,Adequacy!O$2,'Data(perSeason,perCrop)'!$R:$R,"IRRIGATED")</f>
        <v>141.06024110038501</v>
      </c>
      <c r="P4" s="59">
        <f>SUMIFS('Data(perSeason,perCrop)'!$A:$A,'Data(perSeason,perCrop)'!$S:$S,Adequacy!$A4,'Data(perSeason,perCrop)'!$O:$O,1,'Data(perSeason,perCrop)'!$C:$C,Adequacy!P$2,'Data(perSeason,perCrop)'!$R:$R,"IRRIGATED")</f>
        <v>501.66725891546099</v>
      </c>
      <c r="Q4" s="59">
        <f>SUMIFS('Data(perSeason,perCrop)'!$A:$A,'Data(perSeason,perCrop)'!$S:$S,Adequacy!$A4,'Data(perSeason,perCrop)'!$O:$O,1,'Data(perSeason,perCrop)'!$C:$C,Adequacy!Q$2,'Data(perSeason,perCrop)'!$R:$R,"IRRIGATED")</f>
        <v>0</v>
      </c>
      <c r="R4" s="59">
        <f>SUMIFS('Data(perSeason,perCrop)'!$A:$A,'Data(perSeason,perCrop)'!$S:$S,Adequacy!$A4,'Data(perSeason,perCrop)'!$O:$O,1,'Data(perSeason,perCrop)'!$C:$C,Adequacy!R$2,'Data(perSeason,perCrop)'!$R:$R,"IRRIGATED")</f>
        <v>892.75171087141996</v>
      </c>
      <c r="S4" s="59">
        <f>SUMIFS('Data(perSeason,perCrop)'!$A:$A,'Data(perSeason,perCrop)'!$S:$S,Adequacy!$A4,'Data(perSeason,perCrop)'!$O:$O,1,'Data(perSeason,perCrop)'!$C:$C,Adequacy!S$2,'Data(perSeason,perCrop)'!$R:$R,"IRRIGATED")</f>
        <v>0</v>
      </c>
      <c r="T4" s="59">
        <f>SUMIFS('Data(perSeason,perCrop)'!$A:$A,'Data(perSeason,perCrop)'!$S:$S,Adequacy!$A4,'Data(perSeason,perCrop)'!$O:$O,1,'Data(perSeason,perCrop)'!$C:$C,Adequacy!T$2,'Data(perSeason,perCrop)'!$R:$R,"IRRIGATED")</f>
        <v>0</v>
      </c>
      <c r="U4" s="59">
        <f>SUMIFS('Data(perSeason,perCrop)'!$A:$A,'Data(perSeason,perCrop)'!$S:$S,Adequacy!$A4,'Data(perSeason,perCrop)'!$O:$O,1,'Data(perSeason,perCrop)'!$C:$C,Adequacy!U$2,'Data(perSeason,perCrop)'!$R:$R,"IRRIGATED")</f>
        <v>1103.4963688442199</v>
      </c>
      <c r="V4" s="59">
        <f>SUMIFS('Data(perSeason,perCrop)'!$A:$A,'Data(perSeason,perCrop)'!$S:$S,Adequacy!$A4,'Data(perSeason,perCrop)'!$O:$O,1,'Data(perSeason,perCrop)'!$C:$C,Adequacy!V$2,'Data(perSeason,perCrop)'!$R:$R,"IRRIGATED")</f>
        <v>0</v>
      </c>
      <c r="W4" s="59">
        <f>SUMIFS('Data(perSeason,perCrop)'!$A:$A,'Data(perSeason,perCrop)'!$S:$S,Adequacy!$A4,'Data(perSeason,perCrop)'!$O:$O,1,'Data(perSeason,perCrop)'!$C:$C,Adequacy!W$2,'Data(perSeason,perCrop)'!$R:$R,"IRRIGATED")</f>
        <v>0</v>
      </c>
      <c r="X4" s="59">
        <f>SUMIFS('Data(perSeason,perCrop)'!$A:$A,'Data(perSeason,perCrop)'!$S:$S,Adequacy!$A4,'Data(perSeason,perCrop)'!$O:$O,1,'Data(perSeason,perCrop)'!$C:$C,Adequacy!X$2,'Data(perSeason,perCrop)'!$R:$R,"IRRIGATED")</f>
        <v>0</v>
      </c>
      <c r="Y4" s="59">
        <f>SUMIFS('Data(perSeason,perCrop)'!$A:$A,'Data(perSeason,perCrop)'!$S:$S,Adequacy!$A4,'Data(perSeason,perCrop)'!$O:$O,1,'Data(perSeason,perCrop)'!$C:$C,Adequacy!Y$2,'Data(perSeason,perCrop)'!$R:$R,"IRRIGATED")</f>
        <v>0</v>
      </c>
      <c r="Z4" s="59">
        <f>SUMIFS('Data(perSeason,perCrop)'!$A:$A,'Data(perSeason,perCrop)'!$S:$S,Adequacy!$A4,'Data(perSeason,perCrop)'!$O:$O,1,'Data(perSeason,perCrop)'!$C:$C,Adequacy!Z$2,'Data(perSeason,perCrop)'!$R:$R,"IRRIGATED")</f>
        <v>0</v>
      </c>
      <c r="AA4" s="59">
        <f>SUMIFS('Data(perSeason,perCrop)'!$A:$A,'Data(perSeason,perCrop)'!$S:$S,Adequacy!$A4,'Data(perSeason,perCrop)'!$O:$O,1,'Data(perSeason,perCrop)'!$C:$C,Adequacy!AA$2,'Data(perSeason,perCrop)'!$R:$R,"IRRIGATED")</f>
        <v>0</v>
      </c>
      <c r="AB4" s="59">
        <f>SUMIFS('Data(perSeason,perCrop)'!$A:$A,'Data(perSeason,perCrop)'!$S:$S,Adequacy!$A4,'Data(perSeason,perCrop)'!$O:$O,1,'Data(perSeason,perCrop)'!$C:$C,Adequacy!AB$2,'Data(perSeason,perCrop)'!$R:$R,"IRRIGATED")</f>
        <v>0</v>
      </c>
      <c r="AC4" s="59">
        <f>SUMIFS('Data(perSeason,perCrop)'!$A:$A,'Data(perSeason,perCrop)'!$S:$S,Adequacy!$A4,'Data(perSeason,perCrop)'!$O:$O,1,'Data(perSeason,perCrop)'!$C:$C,Adequacy!AC$2,'Data(perSeason,perCrop)'!$R:$R,"IRRIGATED")</f>
        <v>0</v>
      </c>
      <c r="AD4" s="59">
        <f>SUMIFS('Data(perSeason,perCrop)'!$A:$A,'Data(perSeason,perCrop)'!$S:$S,Adequacy!$A4,'Data(perSeason,perCrop)'!$O:$O,1,'Data(perSeason,perCrop)'!$C:$C,Adequacy!AD$2,'Data(perSeason,perCrop)'!$R:$R,"IRRIGATED")</f>
        <v>0</v>
      </c>
      <c r="AE4" s="59">
        <f>SUMIFS('Data(perSeason,perCrop)'!$A:$A,'Data(perSeason,perCrop)'!$S:$S,Adequacy!$A4,'Data(perSeason,perCrop)'!$O:$O,1,'Data(perSeason,perCrop)'!$C:$C,Adequacy!AE$2,'Data(perSeason,perCrop)'!$R:$R,"IRRIGATED")</f>
        <v>0</v>
      </c>
      <c r="AF4" s="59">
        <f>SUMIFS('Data(perSeason,perCrop)'!$A:$A,'Data(perSeason,perCrop)'!$S:$S,Adequacy!$A4,'Data(perSeason,perCrop)'!$O:$O,1,'Data(perSeason,perCrop)'!$C:$C,Adequacy!AF$2,'Data(perSeason,perCrop)'!$R:$R,"IRRIGATED")</f>
        <v>0</v>
      </c>
    </row>
    <row r="5" spans="1:32" ht="18.75" x14ac:dyDescent="0.3">
      <c r="A5" s="42">
        <v>2019</v>
      </c>
      <c r="B5" s="59">
        <f>SUMIFS('Data(perSeason,perCrop)'!$A:$A,'Data(perSeason,perCrop)'!$S:$S,Adequacy!$A5,'Data(perSeason,perCrop)'!$O:$O,1,'Data(perSeason,perCrop)'!$C:$C,Adequacy!B$2,'Data(perSeason,perCrop)'!$R:$R,"IRRIGATED")</f>
        <v>0</v>
      </c>
      <c r="C5" s="59">
        <f>SUMIFS('Data(perSeason,perCrop)'!$A:$A,'Data(perSeason,perCrop)'!$S:$S,Adequacy!$A5,'Data(perSeason,perCrop)'!$O:$O,1,'Data(perSeason,perCrop)'!$C:$C,Adequacy!C$2,'Data(perSeason,perCrop)'!$R:$R,"IRRIGATED")</f>
        <v>2055.4886627748301</v>
      </c>
      <c r="D5" s="59">
        <f>SUMIFS('Data(perSeason,perCrop)'!$A:$A,'Data(perSeason,perCrop)'!$S:$S,Adequacy!$A5,'Data(perSeason,perCrop)'!$O:$O,1,'Data(perSeason,perCrop)'!$C:$C,Adequacy!D$2,'Data(perSeason,perCrop)'!$R:$R,"IRRIGATED")</f>
        <v>0</v>
      </c>
      <c r="E5" s="59">
        <f>SUMIFS('Data(perSeason,perCrop)'!$A:$A,'Data(perSeason,perCrop)'!$S:$S,Adequacy!$A5,'Data(perSeason,perCrop)'!$O:$O,1,'Data(perSeason,perCrop)'!$C:$C,Adequacy!E$2,'Data(perSeason,perCrop)'!$R:$R,"IRRIGATED")</f>
        <v>0</v>
      </c>
      <c r="F5" s="59">
        <f>SUMIFS('Data(perSeason,perCrop)'!$A:$A,'Data(perSeason,perCrop)'!$S:$S,Adequacy!$A5,'Data(perSeason,perCrop)'!$O:$O,1,'Data(perSeason,perCrop)'!$C:$C,Adequacy!F$2,'Data(perSeason,perCrop)'!$R:$R,"IRRIGATED")</f>
        <v>0</v>
      </c>
      <c r="G5" s="59">
        <f>SUMIFS('Data(perSeason,perCrop)'!$A:$A,'Data(perSeason,perCrop)'!$S:$S,Adequacy!$A5,'Data(perSeason,perCrop)'!$O:$O,1,'Data(perSeason,perCrop)'!$C:$C,Adequacy!G$2,'Data(perSeason,perCrop)'!$R:$R,"IRRIGATED")</f>
        <v>0</v>
      </c>
      <c r="H5" s="59">
        <f>SUMIFS('Data(perSeason,perCrop)'!$A:$A,'Data(perSeason,perCrop)'!$S:$S,Adequacy!$A5,'Data(perSeason,perCrop)'!$O:$O,1,'Data(perSeason,perCrop)'!$C:$C,Adequacy!H$2,'Data(perSeason,perCrop)'!$R:$R,"IRRIGATED")</f>
        <v>0</v>
      </c>
      <c r="I5" s="59">
        <f>SUMIFS('Data(perSeason,perCrop)'!$A:$A,'Data(perSeason,perCrop)'!$S:$S,Adequacy!$A5,'Data(perSeason,perCrop)'!$O:$O,1,'Data(perSeason,perCrop)'!$C:$C,Adequacy!I$2,'Data(perSeason,perCrop)'!$R:$R,"IRRIGATED")</f>
        <v>0</v>
      </c>
      <c r="J5" s="59">
        <f>SUMIFS('Data(perSeason,perCrop)'!$A:$A,'Data(perSeason,perCrop)'!$S:$S,Adequacy!$A5,'Data(perSeason,perCrop)'!$O:$O,1,'Data(perSeason,perCrop)'!$C:$C,Adequacy!J$2,'Data(perSeason,perCrop)'!$R:$R,"IRRIGATED")</f>
        <v>0</v>
      </c>
      <c r="K5" s="59">
        <f>SUMIFS('Data(perSeason,perCrop)'!$A:$A,'Data(perSeason,perCrop)'!$S:$S,Adequacy!$A5,'Data(perSeason,perCrop)'!$O:$O,1,'Data(perSeason,perCrop)'!$C:$C,Adequacy!K$2,'Data(perSeason,perCrop)'!$R:$R,"IRRIGATED")</f>
        <v>0</v>
      </c>
      <c r="L5" s="59">
        <f>SUMIFS('Data(perSeason,perCrop)'!$A:$A,'Data(perSeason,perCrop)'!$S:$S,Adequacy!$A5,'Data(perSeason,perCrop)'!$O:$O,1,'Data(perSeason,perCrop)'!$C:$C,Adequacy!L$2,'Data(perSeason,perCrop)'!$R:$R,"IRRIGATED")</f>
        <v>0</v>
      </c>
      <c r="M5" s="59">
        <f>SUMIFS('Data(perSeason,perCrop)'!$A:$A,'Data(perSeason,perCrop)'!$S:$S,Adequacy!$A5,'Data(perSeason,perCrop)'!$O:$O,1,'Data(perSeason,perCrop)'!$C:$C,Adequacy!M$2,'Data(perSeason,perCrop)'!$R:$R,"IRRIGATED")</f>
        <v>0</v>
      </c>
      <c r="N5" s="59">
        <f>SUMIFS('Data(perSeason,perCrop)'!$A:$A,'Data(perSeason,perCrop)'!$S:$S,Adequacy!$A5,'Data(perSeason,perCrop)'!$O:$O,1,'Data(perSeason,perCrop)'!$C:$C,Adequacy!N$2,'Data(perSeason,perCrop)'!$R:$R,"IRRIGATED")</f>
        <v>0</v>
      </c>
      <c r="O5" s="59">
        <f>SUMIFS('Data(perSeason,perCrop)'!$A:$A,'Data(perSeason,perCrop)'!$S:$S,Adequacy!$A5,'Data(perSeason,perCrop)'!$O:$O,1,'Data(perSeason,perCrop)'!$C:$C,Adequacy!O$2,'Data(perSeason,perCrop)'!$R:$R,"IRRIGATED")</f>
        <v>41.066688733625199</v>
      </c>
      <c r="P5" s="59">
        <f>SUMIFS('Data(perSeason,perCrop)'!$A:$A,'Data(perSeason,perCrop)'!$S:$S,Adequacy!$A5,'Data(perSeason,perCrop)'!$O:$O,1,'Data(perSeason,perCrop)'!$C:$C,Adequacy!P$2,'Data(perSeason,perCrop)'!$R:$R,"IRRIGATED")</f>
        <v>149.36319359326799</v>
      </c>
      <c r="Q5" s="59">
        <f>SUMIFS('Data(perSeason,perCrop)'!$A:$A,'Data(perSeason,perCrop)'!$S:$S,Adequacy!$A5,'Data(perSeason,perCrop)'!$O:$O,1,'Data(perSeason,perCrop)'!$C:$C,Adequacy!Q$2,'Data(perSeason,perCrop)'!$R:$R,"IRRIGATED")</f>
        <v>0</v>
      </c>
      <c r="R5" s="59">
        <f>SUMIFS('Data(perSeason,perCrop)'!$A:$A,'Data(perSeason,perCrop)'!$S:$S,Adequacy!$A5,'Data(perSeason,perCrop)'!$O:$O,1,'Data(perSeason,perCrop)'!$C:$C,Adequacy!R$2,'Data(perSeason,perCrop)'!$R:$R,"IRRIGATED")</f>
        <v>804.64819681717495</v>
      </c>
      <c r="S5" s="59">
        <f>SUMIFS('Data(perSeason,perCrop)'!$A:$A,'Data(perSeason,perCrop)'!$S:$S,Adequacy!$A5,'Data(perSeason,perCrop)'!$O:$O,1,'Data(perSeason,perCrop)'!$C:$C,Adequacy!S$2,'Data(perSeason,perCrop)'!$R:$R,"IRRIGATED")</f>
        <v>0</v>
      </c>
      <c r="T5" s="59">
        <f>SUMIFS('Data(perSeason,perCrop)'!$A:$A,'Data(perSeason,perCrop)'!$S:$S,Adequacy!$A5,'Data(perSeason,perCrop)'!$O:$O,1,'Data(perSeason,perCrop)'!$C:$C,Adequacy!T$2,'Data(perSeason,perCrop)'!$R:$R,"IRRIGATED")</f>
        <v>0</v>
      </c>
      <c r="U5" s="59">
        <f>SUMIFS('Data(perSeason,perCrop)'!$A:$A,'Data(perSeason,perCrop)'!$S:$S,Adequacy!$A5,'Data(perSeason,perCrop)'!$O:$O,1,'Data(perSeason,perCrop)'!$C:$C,Adequacy!U$2,'Data(perSeason,perCrop)'!$R:$R,"IRRIGATED")</f>
        <v>3808.661310122</v>
      </c>
      <c r="V5" s="59">
        <f>SUMIFS('Data(perSeason,perCrop)'!$A:$A,'Data(perSeason,perCrop)'!$S:$S,Adequacy!$A5,'Data(perSeason,perCrop)'!$O:$O,1,'Data(perSeason,perCrop)'!$C:$C,Adequacy!V$2,'Data(perSeason,perCrop)'!$R:$R,"IRRIGATED")</f>
        <v>0</v>
      </c>
      <c r="W5" s="59">
        <f>SUMIFS('Data(perSeason,perCrop)'!$A:$A,'Data(perSeason,perCrop)'!$S:$S,Adequacy!$A5,'Data(perSeason,perCrop)'!$O:$O,1,'Data(perSeason,perCrop)'!$C:$C,Adequacy!W$2,'Data(perSeason,perCrop)'!$R:$R,"IRRIGATED")</f>
        <v>0</v>
      </c>
      <c r="X5" s="59">
        <f>SUMIFS('Data(perSeason,perCrop)'!$A:$A,'Data(perSeason,perCrop)'!$S:$S,Adequacy!$A5,'Data(perSeason,perCrop)'!$O:$O,1,'Data(perSeason,perCrop)'!$C:$C,Adequacy!X$2,'Data(perSeason,perCrop)'!$R:$R,"IRRIGATED")</f>
        <v>0</v>
      </c>
      <c r="Y5" s="59">
        <f>SUMIFS('Data(perSeason,perCrop)'!$A:$A,'Data(perSeason,perCrop)'!$S:$S,Adequacy!$A5,'Data(perSeason,perCrop)'!$O:$O,1,'Data(perSeason,perCrop)'!$C:$C,Adequacy!Y$2,'Data(perSeason,perCrop)'!$R:$R,"IRRIGATED")</f>
        <v>0</v>
      </c>
      <c r="Z5" s="59">
        <f>SUMIFS('Data(perSeason,perCrop)'!$A:$A,'Data(perSeason,perCrop)'!$S:$S,Adequacy!$A5,'Data(perSeason,perCrop)'!$O:$O,1,'Data(perSeason,perCrop)'!$C:$C,Adequacy!Z$2,'Data(perSeason,perCrop)'!$R:$R,"IRRIGATED")</f>
        <v>0</v>
      </c>
      <c r="AA5" s="59">
        <f>SUMIFS('Data(perSeason,perCrop)'!$A:$A,'Data(perSeason,perCrop)'!$S:$S,Adequacy!$A5,'Data(perSeason,perCrop)'!$O:$O,1,'Data(perSeason,perCrop)'!$C:$C,Adequacy!AA$2,'Data(perSeason,perCrop)'!$R:$R,"IRRIGATED")</f>
        <v>0</v>
      </c>
      <c r="AB5" s="59">
        <f>SUMIFS('Data(perSeason,perCrop)'!$A:$A,'Data(perSeason,perCrop)'!$S:$S,Adequacy!$A5,'Data(perSeason,perCrop)'!$O:$O,1,'Data(perSeason,perCrop)'!$C:$C,Adequacy!AB$2,'Data(perSeason,perCrop)'!$R:$R,"IRRIGATED")</f>
        <v>0</v>
      </c>
      <c r="AC5" s="59">
        <f>SUMIFS('Data(perSeason,perCrop)'!$A:$A,'Data(perSeason,perCrop)'!$S:$S,Adequacy!$A5,'Data(perSeason,perCrop)'!$O:$O,1,'Data(perSeason,perCrop)'!$C:$C,Adequacy!AC$2,'Data(perSeason,perCrop)'!$R:$R,"IRRIGATED")</f>
        <v>0</v>
      </c>
      <c r="AD5" s="59">
        <f>SUMIFS('Data(perSeason,perCrop)'!$A:$A,'Data(perSeason,perCrop)'!$S:$S,Adequacy!$A5,'Data(perSeason,perCrop)'!$O:$O,1,'Data(perSeason,perCrop)'!$C:$C,Adequacy!AD$2,'Data(perSeason,perCrop)'!$R:$R,"IRRIGATED")</f>
        <v>0</v>
      </c>
      <c r="AE5" s="59">
        <f>SUMIFS('Data(perSeason,perCrop)'!$A:$A,'Data(perSeason,perCrop)'!$S:$S,Adequacy!$A5,'Data(perSeason,perCrop)'!$O:$O,1,'Data(perSeason,perCrop)'!$C:$C,Adequacy!AE$2,'Data(perSeason,perCrop)'!$R:$R,"IRRIGATED")</f>
        <v>0</v>
      </c>
      <c r="AF5" s="59">
        <f>SUMIFS('Data(perSeason,perCrop)'!$A:$A,'Data(perSeason,perCrop)'!$S:$S,Adequacy!$A5,'Data(perSeason,perCrop)'!$O:$O,1,'Data(perSeason,perCrop)'!$C:$C,Adequacy!AF$2,'Data(perSeason,perCrop)'!$R:$R,"IRRIGATED")</f>
        <v>0</v>
      </c>
    </row>
    <row r="6" spans="1:32" ht="18.75" x14ac:dyDescent="0.3">
      <c r="A6" s="42">
        <v>2020</v>
      </c>
      <c r="B6" s="59">
        <f>SUMIFS('Data(perSeason,perCrop)'!$A:$A,'Data(perSeason,perCrop)'!$S:$S,Adequacy!$A6,'Data(perSeason,perCrop)'!$O:$O,1,'Data(perSeason,perCrop)'!$C:$C,Adequacy!B$2,'Data(perSeason,perCrop)'!$R:$R,"IRRIGATED")</f>
        <v>0</v>
      </c>
      <c r="C6" s="59">
        <f>SUMIFS('Data(perSeason,perCrop)'!$A:$A,'Data(perSeason,perCrop)'!$S:$S,Adequacy!$A6,'Data(perSeason,perCrop)'!$O:$O,1,'Data(perSeason,perCrop)'!$C:$C,Adequacy!C$2,'Data(perSeason,perCrop)'!$R:$R,"IRRIGATED")</f>
        <v>2233.22710793429</v>
      </c>
      <c r="D6" s="59">
        <f>SUMIFS('Data(perSeason,perCrop)'!$A:$A,'Data(perSeason,perCrop)'!$S:$S,Adequacy!$A6,'Data(perSeason,perCrop)'!$O:$O,1,'Data(perSeason,perCrop)'!$C:$C,Adequacy!D$2,'Data(perSeason,perCrop)'!$R:$R,"IRRIGATED")</f>
        <v>0</v>
      </c>
      <c r="E6" s="59">
        <f>SUMIFS('Data(perSeason,perCrop)'!$A:$A,'Data(perSeason,perCrop)'!$S:$S,Adequacy!$A6,'Data(perSeason,perCrop)'!$O:$O,1,'Data(perSeason,perCrop)'!$C:$C,Adequacy!E$2,'Data(perSeason,perCrop)'!$R:$R,"IRRIGATED")</f>
        <v>0</v>
      </c>
      <c r="F6" s="59">
        <f>SUMIFS('Data(perSeason,perCrop)'!$A:$A,'Data(perSeason,perCrop)'!$S:$S,Adequacy!$A6,'Data(perSeason,perCrop)'!$O:$O,1,'Data(perSeason,perCrop)'!$C:$C,Adequacy!F$2,'Data(perSeason,perCrop)'!$R:$R,"IRRIGATED")</f>
        <v>0</v>
      </c>
      <c r="G6" s="59">
        <f>SUMIFS('Data(perSeason,perCrop)'!$A:$A,'Data(perSeason,perCrop)'!$S:$S,Adequacy!$A6,'Data(perSeason,perCrop)'!$O:$O,1,'Data(perSeason,perCrop)'!$C:$C,Adequacy!G$2,'Data(perSeason,perCrop)'!$R:$R,"IRRIGATED")</f>
        <v>0</v>
      </c>
      <c r="H6" s="59">
        <f>SUMIFS('Data(perSeason,perCrop)'!$A:$A,'Data(perSeason,perCrop)'!$S:$S,Adequacy!$A6,'Data(perSeason,perCrop)'!$O:$O,1,'Data(perSeason,perCrop)'!$C:$C,Adequacy!H$2,'Data(perSeason,perCrop)'!$R:$R,"IRRIGATED")</f>
        <v>0</v>
      </c>
      <c r="I6" s="59">
        <f>SUMIFS('Data(perSeason,perCrop)'!$A:$A,'Data(perSeason,perCrop)'!$S:$S,Adequacy!$A6,'Data(perSeason,perCrop)'!$O:$O,1,'Data(perSeason,perCrop)'!$C:$C,Adequacy!I$2,'Data(perSeason,perCrop)'!$R:$R,"IRRIGATED")</f>
        <v>0</v>
      </c>
      <c r="J6" s="59">
        <f>SUMIFS('Data(perSeason,perCrop)'!$A:$A,'Data(perSeason,perCrop)'!$S:$S,Adequacy!$A6,'Data(perSeason,perCrop)'!$O:$O,1,'Data(perSeason,perCrop)'!$C:$C,Adequacy!J$2,'Data(perSeason,perCrop)'!$R:$R,"IRRIGATED")</f>
        <v>0</v>
      </c>
      <c r="K6" s="59">
        <f>SUMIFS('Data(perSeason,perCrop)'!$A:$A,'Data(perSeason,perCrop)'!$S:$S,Adequacy!$A6,'Data(perSeason,perCrop)'!$O:$O,1,'Data(perSeason,perCrop)'!$C:$C,Adequacy!K$2,'Data(perSeason,perCrop)'!$R:$R,"IRRIGATED")</f>
        <v>0</v>
      </c>
      <c r="L6" s="59">
        <f>SUMIFS('Data(perSeason,perCrop)'!$A:$A,'Data(perSeason,perCrop)'!$S:$S,Adequacy!$A6,'Data(perSeason,perCrop)'!$O:$O,1,'Data(perSeason,perCrop)'!$C:$C,Adequacy!L$2,'Data(perSeason,perCrop)'!$R:$R,"IRRIGATED")</f>
        <v>0</v>
      </c>
      <c r="M6" s="59">
        <f>SUMIFS('Data(perSeason,perCrop)'!$A:$A,'Data(perSeason,perCrop)'!$S:$S,Adequacy!$A6,'Data(perSeason,perCrop)'!$O:$O,1,'Data(perSeason,perCrop)'!$C:$C,Adequacy!M$2,'Data(perSeason,perCrop)'!$R:$R,"IRRIGATED")</f>
        <v>0</v>
      </c>
      <c r="N6" s="59">
        <f>SUMIFS('Data(perSeason,perCrop)'!$A:$A,'Data(perSeason,perCrop)'!$S:$S,Adequacy!$A6,'Data(perSeason,perCrop)'!$O:$O,1,'Data(perSeason,perCrop)'!$C:$C,Adequacy!N$2,'Data(perSeason,perCrop)'!$R:$R,"IRRIGATED")</f>
        <v>0</v>
      </c>
      <c r="O6" s="59">
        <f>SUMIFS('Data(perSeason,perCrop)'!$A:$A,'Data(perSeason,perCrop)'!$S:$S,Adequacy!$A6,'Data(perSeason,perCrop)'!$O:$O,1,'Data(perSeason,perCrop)'!$C:$C,Adequacy!O$2,'Data(perSeason,perCrop)'!$R:$R,"IRRIGATED")</f>
        <v>263.72243268315901</v>
      </c>
      <c r="P6" s="59">
        <f>SUMIFS('Data(perSeason,perCrop)'!$A:$A,'Data(perSeason,perCrop)'!$S:$S,Adequacy!$A6,'Data(perSeason,perCrop)'!$O:$O,1,'Data(perSeason,perCrop)'!$C:$C,Adequacy!P$2,'Data(perSeason,perCrop)'!$R:$R,"IRRIGATED")</f>
        <v>468.78014767221401</v>
      </c>
      <c r="Q6" s="59">
        <f>SUMIFS('Data(perSeason,perCrop)'!$A:$A,'Data(perSeason,perCrop)'!$S:$S,Adequacy!$A6,'Data(perSeason,perCrop)'!$O:$O,1,'Data(perSeason,perCrop)'!$C:$C,Adequacy!Q$2,'Data(perSeason,perCrop)'!$R:$R,"IRRIGATED")</f>
        <v>0</v>
      </c>
      <c r="R6" s="59">
        <f>SUMIFS('Data(perSeason,perCrop)'!$A:$A,'Data(perSeason,perCrop)'!$S:$S,Adequacy!$A6,'Data(perSeason,perCrop)'!$O:$O,1,'Data(perSeason,perCrop)'!$C:$C,Adequacy!R$2,'Data(perSeason,perCrop)'!$R:$R,"IRRIGATED")</f>
        <v>573.60987432403999</v>
      </c>
      <c r="S6" s="59">
        <f>SUMIFS('Data(perSeason,perCrop)'!$A:$A,'Data(perSeason,perCrop)'!$S:$S,Adequacy!$A6,'Data(perSeason,perCrop)'!$O:$O,1,'Data(perSeason,perCrop)'!$C:$C,Adequacy!S$2,'Data(perSeason,perCrop)'!$R:$R,"IRRIGATED")</f>
        <v>0</v>
      </c>
      <c r="T6" s="59">
        <f>SUMIFS('Data(perSeason,perCrop)'!$A:$A,'Data(perSeason,perCrop)'!$S:$S,Adequacy!$A6,'Data(perSeason,perCrop)'!$O:$O,1,'Data(perSeason,perCrop)'!$C:$C,Adequacy!T$2,'Data(perSeason,perCrop)'!$R:$R,"IRRIGATED")</f>
        <v>0</v>
      </c>
      <c r="U6" s="59">
        <f>SUMIFS('Data(perSeason,perCrop)'!$A:$A,'Data(perSeason,perCrop)'!$S:$S,Adequacy!$A6,'Data(perSeason,perCrop)'!$O:$O,1,'Data(perSeason,perCrop)'!$C:$C,Adequacy!U$2,'Data(perSeason,perCrop)'!$R:$R,"IRRIGATED")</f>
        <v>348.25434140223399</v>
      </c>
      <c r="V6" s="59">
        <f>SUMIFS('Data(perSeason,perCrop)'!$A:$A,'Data(perSeason,perCrop)'!$S:$S,Adequacy!$A6,'Data(perSeason,perCrop)'!$O:$O,1,'Data(perSeason,perCrop)'!$C:$C,Adequacy!V$2,'Data(perSeason,perCrop)'!$R:$R,"IRRIGATED")</f>
        <v>0</v>
      </c>
      <c r="W6" s="59">
        <f>SUMIFS('Data(perSeason,perCrop)'!$A:$A,'Data(perSeason,perCrop)'!$S:$S,Adequacy!$A6,'Data(perSeason,perCrop)'!$O:$O,1,'Data(perSeason,perCrop)'!$C:$C,Adequacy!W$2,'Data(perSeason,perCrop)'!$R:$R,"IRRIGATED")</f>
        <v>0</v>
      </c>
      <c r="X6" s="59">
        <f>SUMIFS('Data(perSeason,perCrop)'!$A:$A,'Data(perSeason,perCrop)'!$S:$S,Adequacy!$A6,'Data(perSeason,perCrop)'!$O:$O,1,'Data(perSeason,perCrop)'!$C:$C,Adequacy!X$2,'Data(perSeason,perCrop)'!$R:$R,"IRRIGATED")</f>
        <v>0</v>
      </c>
      <c r="Y6" s="59">
        <f>SUMIFS('Data(perSeason,perCrop)'!$A:$A,'Data(perSeason,perCrop)'!$S:$S,Adequacy!$A6,'Data(perSeason,perCrop)'!$O:$O,1,'Data(perSeason,perCrop)'!$C:$C,Adequacy!Y$2,'Data(perSeason,perCrop)'!$R:$R,"IRRIGATED")</f>
        <v>0</v>
      </c>
      <c r="Z6" s="59">
        <f>SUMIFS('Data(perSeason,perCrop)'!$A:$A,'Data(perSeason,perCrop)'!$S:$S,Adequacy!$A6,'Data(perSeason,perCrop)'!$O:$O,1,'Data(perSeason,perCrop)'!$C:$C,Adequacy!Z$2,'Data(perSeason,perCrop)'!$R:$R,"IRRIGATED")</f>
        <v>0</v>
      </c>
      <c r="AA6" s="59">
        <f>SUMIFS('Data(perSeason,perCrop)'!$A:$A,'Data(perSeason,perCrop)'!$S:$S,Adequacy!$A6,'Data(perSeason,perCrop)'!$O:$O,1,'Data(perSeason,perCrop)'!$C:$C,Adequacy!AA$2,'Data(perSeason,perCrop)'!$R:$R,"IRRIGATED")</f>
        <v>0</v>
      </c>
      <c r="AB6" s="59">
        <f>SUMIFS('Data(perSeason,perCrop)'!$A:$A,'Data(perSeason,perCrop)'!$S:$S,Adequacy!$A6,'Data(perSeason,perCrop)'!$O:$O,1,'Data(perSeason,perCrop)'!$C:$C,Adequacy!AB$2,'Data(perSeason,perCrop)'!$R:$R,"IRRIGATED")</f>
        <v>0</v>
      </c>
      <c r="AC6" s="59">
        <f>SUMIFS('Data(perSeason,perCrop)'!$A:$A,'Data(perSeason,perCrop)'!$S:$S,Adequacy!$A6,'Data(perSeason,perCrop)'!$O:$O,1,'Data(perSeason,perCrop)'!$C:$C,Adequacy!AC$2,'Data(perSeason,perCrop)'!$R:$R,"IRRIGATED")</f>
        <v>0</v>
      </c>
      <c r="AD6" s="59">
        <f>SUMIFS('Data(perSeason,perCrop)'!$A:$A,'Data(perSeason,perCrop)'!$S:$S,Adequacy!$A6,'Data(perSeason,perCrop)'!$O:$O,1,'Data(perSeason,perCrop)'!$C:$C,Adequacy!AD$2,'Data(perSeason,perCrop)'!$R:$R,"IRRIGATED")</f>
        <v>0</v>
      </c>
      <c r="AE6" s="59">
        <f>SUMIFS('Data(perSeason,perCrop)'!$A:$A,'Data(perSeason,perCrop)'!$S:$S,Adequacy!$A6,'Data(perSeason,perCrop)'!$O:$O,1,'Data(perSeason,perCrop)'!$C:$C,Adequacy!AE$2,'Data(perSeason,perCrop)'!$R:$R,"IRRIGATED")</f>
        <v>0</v>
      </c>
      <c r="AF6" s="59">
        <f>SUMIFS('Data(perSeason,perCrop)'!$A:$A,'Data(perSeason,perCrop)'!$S:$S,Adequacy!$A6,'Data(perSeason,perCrop)'!$O:$O,1,'Data(perSeason,perCrop)'!$C:$C,Adequacy!AF$2,'Data(perSeason,perCrop)'!$R:$R,"IRRIGATED")</f>
        <v>0</v>
      </c>
    </row>
    <row r="7" spans="1:32" ht="18.75" x14ac:dyDescent="0.3">
      <c r="A7" s="42">
        <v>2021</v>
      </c>
      <c r="B7" s="59">
        <f>SUMIFS('Data(perSeason,perCrop)'!$A:$A,'Data(perSeason,perCrop)'!$S:$S,Adequacy!$A7,'Data(perSeason,perCrop)'!$O:$O,1,'Data(perSeason,perCrop)'!$C:$C,Adequacy!B$2,'Data(perSeason,perCrop)'!$R:$R,"IRRIGATED")</f>
        <v>0</v>
      </c>
      <c r="C7" s="59">
        <f>SUMIFS('Data(perSeason,perCrop)'!$A:$A,'Data(perSeason,perCrop)'!$S:$S,Adequacy!$A7,'Data(perSeason,perCrop)'!$O:$O,1,'Data(perSeason,perCrop)'!$C:$C,Adequacy!C$2,'Data(perSeason,perCrop)'!$R:$R,"IRRIGATED")</f>
        <v>2884.3026910335002</v>
      </c>
      <c r="D7" s="59">
        <f>SUMIFS('Data(perSeason,perCrop)'!$A:$A,'Data(perSeason,perCrop)'!$S:$S,Adequacy!$A7,'Data(perSeason,perCrop)'!$O:$O,1,'Data(perSeason,perCrop)'!$C:$C,Adequacy!D$2,'Data(perSeason,perCrop)'!$R:$R,"IRRIGATED")</f>
        <v>0</v>
      </c>
      <c r="E7" s="59">
        <f>SUMIFS('Data(perSeason,perCrop)'!$A:$A,'Data(perSeason,perCrop)'!$S:$S,Adequacy!$A7,'Data(perSeason,perCrop)'!$O:$O,1,'Data(perSeason,perCrop)'!$C:$C,Adequacy!E$2,'Data(perSeason,perCrop)'!$R:$R,"IRRIGATED")</f>
        <v>0</v>
      </c>
      <c r="F7" s="59">
        <f>SUMIFS('Data(perSeason,perCrop)'!$A:$A,'Data(perSeason,perCrop)'!$S:$S,Adequacy!$A7,'Data(perSeason,perCrop)'!$O:$O,1,'Data(perSeason,perCrop)'!$C:$C,Adequacy!F$2,'Data(perSeason,perCrop)'!$R:$R,"IRRIGATED")</f>
        <v>0</v>
      </c>
      <c r="G7" s="59">
        <f>SUMIFS('Data(perSeason,perCrop)'!$A:$A,'Data(perSeason,perCrop)'!$S:$S,Adequacy!$A7,'Data(perSeason,perCrop)'!$O:$O,1,'Data(perSeason,perCrop)'!$C:$C,Adequacy!G$2,'Data(perSeason,perCrop)'!$R:$R,"IRRIGATED")</f>
        <v>0</v>
      </c>
      <c r="H7" s="59">
        <f>SUMIFS('Data(perSeason,perCrop)'!$A:$A,'Data(perSeason,perCrop)'!$S:$S,Adequacy!$A7,'Data(perSeason,perCrop)'!$O:$O,1,'Data(perSeason,perCrop)'!$C:$C,Adequacy!H$2,'Data(perSeason,perCrop)'!$R:$R,"IRRIGATED")</f>
        <v>0</v>
      </c>
      <c r="I7" s="59">
        <f>SUMIFS('Data(perSeason,perCrop)'!$A:$A,'Data(perSeason,perCrop)'!$S:$S,Adequacy!$A7,'Data(perSeason,perCrop)'!$O:$O,1,'Data(perSeason,perCrop)'!$C:$C,Adequacy!I$2,'Data(perSeason,perCrop)'!$R:$R,"IRRIGATED")</f>
        <v>0</v>
      </c>
      <c r="J7" s="59">
        <f>SUMIFS('Data(perSeason,perCrop)'!$A:$A,'Data(perSeason,perCrop)'!$S:$S,Adequacy!$A7,'Data(perSeason,perCrop)'!$O:$O,1,'Data(perSeason,perCrop)'!$C:$C,Adequacy!J$2,'Data(perSeason,perCrop)'!$R:$R,"IRRIGATED")</f>
        <v>0</v>
      </c>
      <c r="K7" s="59">
        <f>SUMIFS('Data(perSeason,perCrop)'!$A:$A,'Data(perSeason,perCrop)'!$S:$S,Adequacy!$A7,'Data(perSeason,perCrop)'!$O:$O,1,'Data(perSeason,perCrop)'!$C:$C,Adequacy!K$2,'Data(perSeason,perCrop)'!$R:$R,"IRRIGATED")</f>
        <v>0</v>
      </c>
      <c r="L7" s="59">
        <f>SUMIFS('Data(perSeason,perCrop)'!$A:$A,'Data(perSeason,perCrop)'!$S:$S,Adequacy!$A7,'Data(perSeason,perCrop)'!$O:$O,1,'Data(perSeason,perCrop)'!$C:$C,Adequacy!L$2,'Data(perSeason,perCrop)'!$R:$R,"IRRIGATED")</f>
        <v>0</v>
      </c>
      <c r="M7" s="59">
        <f>SUMIFS('Data(perSeason,perCrop)'!$A:$A,'Data(perSeason,perCrop)'!$S:$S,Adequacy!$A7,'Data(perSeason,perCrop)'!$O:$O,1,'Data(perSeason,perCrop)'!$C:$C,Adequacy!M$2,'Data(perSeason,perCrop)'!$R:$R,"IRRIGATED")</f>
        <v>0</v>
      </c>
      <c r="N7" s="59">
        <f>SUMIFS('Data(perSeason,perCrop)'!$A:$A,'Data(perSeason,perCrop)'!$S:$S,Adequacy!$A7,'Data(perSeason,perCrop)'!$O:$O,1,'Data(perSeason,perCrop)'!$C:$C,Adequacy!N$2,'Data(perSeason,perCrop)'!$R:$R,"IRRIGATED")</f>
        <v>0</v>
      </c>
      <c r="O7" s="59">
        <f>SUMIFS('Data(perSeason,perCrop)'!$A:$A,'Data(perSeason,perCrop)'!$S:$S,Adequacy!$A7,'Data(perSeason,perCrop)'!$O:$O,1,'Data(perSeason,perCrop)'!$C:$C,Adequacy!O$2,'Data(perSeason,perCrop)'!$R:$R,"IRRIGATED")</f>
        <v>38.392339450474097</v>
      </c>
      <c r="P7" s="59">
        <f>SUMIFS('Data(perSeason,perCrop)'!$A:$A,'Data(perSeason,perCrop)'!$S:$S,Adequacy!$A7,'Data(perSeason,perCrop)'!$O:$O,1,'Data(perSeason,perCrop)'!$C:$C,Adequacy!P$2,'Data(perSeason,perCrop)'!$R:$R,"IRRIGATED")</f>
        <v>151.80534748228101</v>
      </c>
      <c r="Q7" s="59">
        <f>SUMIFS('Data(perSeason,perCrop)'!$A:$A,'Data(perSeason,perCrop)'!$S:$S,Adequacy!$A7,'Data(perSeason,perCrop)'!$O:$O,1,'Data(perSeason,perCrop)'!$C:$C,Adequacy!Q$2,'Data(perSeason,perCrop)'!$R:$R,"IRRIGATED")</f>
        <v>0</v>
      </c>
      <c r="R7" s="59">
        <f>SUMIFS('Data(perSeason,perCrop)'!$A:$A,'Data(perSeason,perCrop)'!$S:$S,Adequacy!$A7,'Data(perSeason,perCrop)'!$O:$O,1,'Data(perSeason,perCrop)'!$C:$C,Adequacy!R$2,'Data(perSeason,perCrop)'!$R:$R,"IRRIGATED")</f>
        <v>641.35861876530896</v>
      </c>
      <c r="S7" s="59">
        <f>SUMIFS('Data(perSeason,perCrop)'!$A:$A,'Data(perSeason,perCrop)'!$S:$S,Adequacy!$A7,'Data(perSeason,perCrop)'!$O:$O,1,'Data(perSeason,perCrop)'!$C:$C,Adequacy!S$2,'Data(perSeason,perCrop)'!$R:$R,"IRRIGATED")</f>
        <v>0</v>
      </c>
      <c r="T7" s="59">
        <f>SUMIFS('Data(perSeason,perCrop)'!$A:$A,'Data(perSeason,perCrop)'!$S:$S,Adequacy!$A7,'Data(perSeason,perCrop)'!$O:$O,1,'Data(perSeason,perCrop)'!$C:$C,Adequacy!T$2,'Data(perSeason,perCrop)'!$R:$R,"IRRIGATED")</f>
        <v>0</v>
      </c>
      <c r="U7" s="59">
        <f>SUMIFS('Data(perSeason,perCrop)'!$A:$A,'Data(perSeason,perCrop)'!$S:$S,Adequacy!$A7,'Data(perSeason,perCrop)'!$O:$O,1,'Data(perSeason,perCrop)'!$C:$C,Adequacy!U$2,'Data(perSeason,perCrop)'!$R:$R,"IRRIGATED")</f>
        <v>465.10641521983399</v>
      </c>
      <c r="V7" s="59">
        <f>SUMIFS('Data(perSeason,perCrop)'!$A:$A,'Data(perSeason,perCrop)'!$S:$S,Adequacy!$A7,'Data(perSeason,perCrop)'!$O:$O,1,'Data(perSeason,perCrop)'!$C:$C,Adequacy!V$2,'Data(perSeason,perCrop)'!$R:$R,"IRRIGATED")</f>
        <v>0</v>
      </c>
      <c r="W7" s="59">
        <f>SUMIFS('Data(perSeason,perCrop)'!$A:$A,'Data(perSeason,perCrop)'!$S:$S,Adequacy!$A7,'Data(perSeason,perCrop)'!$O:$O,1,'Data(perSeason,perCrop)'!$C:$C,Adequacy!W$2,'Data(perSeason,perCrop)'!$R:$R,"IRRIGATED")</f>
        <v>0</v>
      </c>
      <c r="X7" s="59">
        <f>SUMIFS('Data(perSeason,perCrop)'!$A:$A,'Data(perSeason,perCrop)'!$S:$S,Adequacy!$A7,'Data(perSeason,perCrop)'!$O:$O,1,'Data(perSeason,perCrop)'!$C:$C,Adequacy!X$2,'Data(perSeason,perCrop)'!$R:$R,"IRRIGATED")</f>
        <v>0</v>
      </c>
      <c r="Y7" s="59">
        <f>SUMIFS('Data(perSeason,perCrop)'!$A:$A,'Data(perSeason,perCrop)'!$S:$S,Adequacy!$A7,'Data(perSeason,perCrop)'!$O:$O,1,'Data(perSeason,perCrop)'!$C:$C,Adequacy!Y$2,'Data(perSeason,perCrop)'!$R:$R,"IRRIGATED")</f>
        <v>0</v>
      </c>
      <c r="Z7" s="59">
        <f>SUMIFS('Data(perSeason,perCrop)'!$A:$A,'Data(perSeason,perCrop)'!$S:$S,Adequacy!$A7,'Data(perSeason,perCrop)'!$O:$O,1,'Data(perSeason,perCrop)'!$C:$C,Adequacy!Z$2,'Data(perSeason,perCrop)'!$R:$R,"IRRIGATED")</f>
        <v>0</v>
      </c>
      <c r="AA7" s="59">
        <f>SUMIFS('Data(perSeason,perCrop)'!$A:$A,'Data(perSeason,perCrop)'!$S:$S,Adequacy!$A7,'Data(perSeason,perCrop)'!$O:$O,1,'Data(perSeason,perCrop)'!$C:$C,Adequacy!AA$2,'Data(perSeason,perCrop)'!$R:$R,"IRRIGATED")</f>
        <v>0</v>
      </c>
      <c r="AB7" s="59">
        <f>SUMIFS('Data(perSeason,perCrop)'!$A:$A,'Data(perSeason,perCrop)'!$S:$S,Adequacy!$A7,'Data(perSeason,perCrop)'!$O:$O,1,'Data(perSeason,perCrop)'!$C:$C,Adequacy!AB$2,'Data(perSeason,perCrop)'!$R:$R,"IRRIGATED")</f>
        <v>0</v>
      </c>
      <c r="AC7" s="59">
        <f>SUMIFS('Data(perSeason,perCrop)'!$A:$A,'Data(perSeason,perCrop)'!$S:$S,Adequacy!$A7,'Data(perSeason,perCrop)'!$O:$O,1,'Data(perSeason,perCrop)'!$C:$C,Adequacy!AC$2,'Data(perSeason,perCrop)'!$R:$R,"IRRIGATED")</f>
        <v>0</v>
      </c>
      <c r="AD7" s="59">
        <f>SUMIFS('Data(perSeason,perCrop)'!$A:$A,'Data(perSeason,perCrop)'!$S:$S,Adequacy!$A7,'Data(perSeason,perCrop)'!$O:$O,1,'Data(perSeason,perCrop)'!$C:$C,Adequacy!AD$2,'Data(perSeason,perCrop)'!$R:$R,"IRRIGATED")</f>
        <v>0</v>
      </c>
      <c r="AE7" s="59">
        <f>SUMIFS('Data(perSeason,perCrop)'!$A:$A,'Data(perSeason,perCrop)'!$S:$S,Adequacy!$A7,'Data(perSeason,perCrop)'!$O:$O,1,'Data(perSeason,perCrop)'!$C:$C,Adequacy!AE$2,'Data(perSeason,perCrop)'!$R:$R,"IRRIGATED")</f>
        <v>0</v>
      </c>
      <c r="AF7" s="59">
        <f>SUMIFS('Data(perSeason,perCrop)'!$A:$A,'Data(perSeason,perCrop)'!$S:$S,Adequacy!$A7,'Data(perSeason,perCrop)'!$O:$O,1,'Data(perSeason,perCrop)'!$C:$C,Adequacy!AF$2,'Data(perSeason,perCrop)'!$R:$R,"IRRIGATED")</f>
        <v>0</v>
      </c>
    </row>
    <row r="8" spans="1:32" ht="18.75" x14ac:dyDescent="0.3">
      <c r="A8" s="42">
        <v>2022</v>
      </c>
      <c r="B8" s="59">
        <f>SUMIFS('Data(perSeason,perCrop)'!$A:$A,'Data(perSeason,perCrop)'!$S:$S,Adequacy!$A8,'Data(perSeason,perCrop)'!$O:$O,1,'Data(perSeason,perCrop)'!$C:$C,Adequacy!B$2,'Data(perSeason,perCrop)'!$R:$R,"IRRIGATED")</f>
        <v>0</v>
      </c>
      <c r="C8" s="59">
        <f>SUMIFS('Data(perSeason,perCrop)'!$A:$A,'Data(perSeason,perCrop)'!$S:$S,Adequacy!$A8,'Data(perSeason,perCrop)'!$O:$O,1,'Data(perSeason,perCrop)'!$C:$C,Adequacy!C$2,'Data(perSeason,perCrop)'!$R:$R,"IRRIGATED")</f>
        <v>4004.6214826463402</v>
      </c>
      <c r="D8" s="59">
        <f>SUMIFS('Data(perSeason,perCrop)'!$A:$A,'Data(perSeason,perCrop)'!$S:$S,Adequacy!$A8,'Data(perSeason,perCrop)'!$O:$O,1,'Data(perSeason,perCrop)'!$C:$C,Adequacy!D$2,'Data(perSeason,perCrop)'!$R:$R,"IRRIGATED")</f>
        <v>0</v>
      </c>
      <c r="E8" s="59">
        <f>SUMIFS('Data(perSeason,perCrop)'!$A:$A,'Data(perSeason,perCrop)'!$S:$S,Adequacy!$A8,'Data(perSeason,perCrop)'!$O:$O,1,'Data(perSeason,perCrop)'!$C:$C,Adequacy!E$2,'Data(perSeason,perCrop)'!$R:$R,"IRRIGATED")</f>
        <v>0</v>
      </c>
      <c r="F8" s="59">
        <f>SUMIFS('Data(perSeason,perCrop)'!$A:$A,'Data(perSeason,perCrop)'!$S:$S,Adequacy!$A8,'Data(perSeason,perCrop)'!$O:$O,1,'Data(perSeason,perCrop)'!$C:$C,Adequacy!F$2,'Data(perSeason,perCrop)'!$R:$R,"IRRIGATED")</f>
        <v>0</v>
      </c>
      <c r="G8" s="59">
        <f>SUMIFS('Data(perSeason,perCrop)'!$A:$A,'Data(perSeason,perCrop)'!$S:$S,Adequacy!$A8,'Data(perSeason,perCrop)'!$O:$O,1,'Data(perSeason,perCrop)'!$C:$C,Adequacy!G$2,'Data(perSeason,perCrop)'!$R:$R,"IRRIGATED")</f>
        <v>0</v>
      </c>
      <c r="H8" s="59">
        <f>SUMIFS('Data(perSeason,perCrop)'!$A:$A,'Data(perSeason,perCrop)'!$S:$S,Adequacy!$A8,'Data(perSeason,perCrop)'!$O:$O,1,'Data(perSeason,perCrop)'!$C:$C,Adequacy!H$2,'Data(perSeason,perCrop)'!$R:$R,"IRRIGATED")</f>
        <v>0</v>
      </c>
      <c r="I8" s="59">
        <f>SUMIFS('Data(perSeason,perCrop)'!$A:$A,'Data(perSeason,perCrop)'!$S:$S,Adequacy!$A8,'Data(perSeason,perCrop)'!$O:$O,1,'Data(perSeason,perCrop)'!$C:$C,Adequacy!I$2,'Data(perSeason,perCrop)'!$R:$R,"IRRIGATED")</f>
        <v>0</v>
      </c>
      <c r="J8" s="59">
        <f>SUMIFS('Data(perSeason,perCrop)'!$A:$A,'Data(perSeason,perCrop)'!$S:$S,Adequacy!$A8,'Data(perSeason,perCrop)'!$O:$O,1,'Data(perSeason,perCrop)'!$C:$C,Adequacy!J$2,'Data(perSeason,perCrop)'!$R:$R,"IRRIGATED")</f>
        <v>0</v>
      </c>
      <c r="K8" s="59">
        <f>SUMIFS('Data(perSeason,perCrop)'!$A:$A,'Data(perSeason,perCrop)'!$S:$S,Adequacy!$A8,'Data(perSeason,perCrop)'!$O:$O,1,'Data(perSeason,perCrop)'!$C:$C,Adequacy!K$2,'Data(perSeason,perCrop)'!$R:$R,"IRRIGATED")</f>
        <v>0</v>
      </c>
      <c r="L8" s="59">
        <f>SUMIFS('Data(perSeason,perCrop)'!$A:$A,'Data(perSeason,perCrop)'!$S:$S,Adequacy!$A8,'Data(perSeason,perCrop)'!$O:$O,1,'Data(perSeason,perCrop)'!$C:$C,Adequacy!L$2,'Data(perSeason,perCrop)'!$R:$R,"IRRIGATED")</f>
        <v>0</v>
      </c>
      <c r="M8" s="59">
        <f>SUMIFS('Data(perSeason,perCrop)'!$A:$A,'Data(perSeason,perCrop)'!$S:$S,Adequacy!$A8,'Data(perSeason,perCrop)'!$O:$O,1,'Data(perSeason,perCrop)'!$C:$C,Adequacy!M$2,'Data(perSeason,perCrop)'!$R:$R,"IRRIGATED")</f>
        <v>0</v>
      </c>
      <c r="N8" s="59">
        <f>SUMIFS('Data(perSeason,perCrop)'!$A:$A,'Data(perSeason,perCrop)'!$S:$S,Adequacy!$A8,'Data(perSeason,perCrop)'!$O:$O,1,'Data(perSeason,perCrop)'!$C:$C,Adequacy!N$2,'Data(perSeason,perCrop)'!$R:$R,"IRRIGATED")</f>
        <v>0</v>
      </c>
      <c r="O8" s="59">
        <f>SUMIFS('Data(perSeason,perCrop)'!$A:$A,'Data(perSeason,perCrop)'!$S:$S,Adequacy!$A8,'Data(perSeason,perCrop)'!$O:$O,1,'Data(perSeason,perCrop)'!$C:$C,Adequacy!O$2,'Data(perSeason,perCrop)'!$R:$R,"IRRIGATED")</f>
        <v>20.909661400376802</v>
      </c>
      <c r="P8" s="59">
        <f>SUMIFS('Data(perSeason,perCrop)'!$A:$A,'Data(perSeason,perCrop)'!$S:$S,Adequacy!$A8,'Data(perSeason,perCrop)'!$O:$O,1,'Data(perSeason,perCrop)'!$C:$C,Adequacy!P$2,'Data(perSeason,perCrop)'!$R:$R,"IRRIGATED")</f>
        <v>224.788807397954</v>
      </c>
      <c r="Q8" s="59">
        <f>SUMIFS('Data(perSeason,perCrop)'!$A:$A,'Data(perSeason,perCrop)'!$S:$S,Adequacy!$A8,'Data(perSeason,perCrop)'!$O:$O,1,'Data(perSeason,perCrop)'!$C:$C,Adequacy!Q$2,'Data(perSeason,perCrop)'!$R:$R,"IRRIGATED")</f>
        <v>0</v>
      </c>
      <c r="R8" s="59">
        <f>SUMIFS('Data(perSeason,perCrop)'!$A:$A,'Data(perSeason,perCrop)'!$S:$S,Adequacy!$A8,'Data(perSeason,perCrop)'!$O:$O,1,'Data(perSeason,perCrop)'!$C:$C,Adequacy!R$2,'Data(perSeason,perCrop)'!$R:$R,"IRRIGATED")</f>
        <v>594.24039549012696</v>
      </c>
      <c r="S8" s="59">
        <f>SUMIFS('Data(perSeason,perCrop)'!$A:$A,'Data(perSeason,perCrop)'!$S:$S,Adequacy!$A8,'Data(perSeason,perCrop)'!$O:$O,1,'Data(perSeason,perCrop)'!$C:$C,Adequacy!S$2,'Data(perSeason,perCrop)'!$R:$R,"IRRIGATED")</f>
        <v>0</v>
      </c>
      <c r="T8" s="59">
        <f>SUMIFS('Data(perSeason,perCrop)'!$A:$A,'Data(perSeason,perCrop)'!$S:$S,Adequacy!$A8,'Data(perSeason,perCrop)'!$O:$O,1,'Data(perSeason,perCrop)'!$C:$C,Adequacy!T$2,'Data(perSeason,perCrop)'!$R:$R,"IRRIGATED")</f>
        <v>0</v>
      </c>
      <c r="U8" s="59">
        <f>SUMIFS('Data(perSeason,perCrop)'!$A:$A,'Data(perSeason,perCrop)'!$S:$S,Adequacy!$A8,'Data(perSeason,perCrop)'!$O:$O,1,'Data(perSeason,perCrop)'!$C:$C,Adequacy!U$2,'Data(perSeason,perCrop)'!$R:$R,"IRRIGATED")</f>
        <v>1096.9115895187001</v>
      </c>
      <c r="V8" s="59">
        <f>SUMIFS('Data(perSeason,perCrop)'!$A:$A,'Data(perSeason,perCrop)'!$S:$S,Adequacy!$A8,'Data(perSeason,perCrop)'!$O:$O,1,'Data(perSeason,perCrop)'!$C:$C,Adequacy!V$2,'Data(perSeason,perCrop)'!$R:$R,"IRRIGATED")</f>
        <v>0</v>
      </c>
      <c r="W8" s="59">
        <f>SUMIFS('Data(perSeason,perCrop)'!$A:$A,'Data(perSeason,perCrop)'!$S:$S,Adequacy!$A8,'Data(perSeason,perCrop)'!$O:$O,1,'Data(perSeason,perCrop)'!$C:$C,Adequacy!W$2,'Data(perSeason,perCrop)'!$R:$R,"IRRIGATED")</f>
        <v>0</v>
      </c>
      <c r="X8" s="59">
        <f>SUMIFS('Data(perSeason,perCrop)'!$A:$A,'Data(perSeason,perCrop)'!$S:$S,Adequacy!$A8,'Data(perSeason,perCrop)'!$O:$O,1,'Data(perSeason,perCrop)'!$C:$C,Adequacy!X$2,'Data(perSeason,perCrop)'!$R:$R,"IRRIGATED")</f>
        <v>0</v>
      </c>
      <c r="Y8" s="59">
        <f>SUMIFS('Data(perSeason,perCrop)'!$A:$A,'Data(perSeason,perCrop)'!$S:$S,Adequacy!$A8,'Data(perSeason,perCrop)'!$O:$O,1,'Data(perSeason,perCrop)'!$C:$C,Adequacy!Y$2,'Data(perSeason,perCrop)'!$R:$R,"IRRIGATED")</f>
        <v>0</v>
      </c>
      <c r="Z8" s="59">
        <f>SUMIFS('Data(perSeason,perCrop)'!$A:$A,'Data(perSeason,perCrop)'!$S:$S,Adequacy!$A8,'Data(perSeason,perCrop)'!$O:$O,1,'Data(perSeason,perCrop)'!$C:$C,Adequacy!Z$2,'Data(perSeason,perCrop)'!$R:$R,"IRRIGATED")</f>
        <v>0</v>
      </c>
      <c r="AA8" s="59">
        <f>SUMIFS('Data(perSeason,perCrop)'!$A:$A,'Data(perSeason,perCrop)'!$S:$S,Adequacy!$A8,'Data(perSeason,perCrop)'!$O:$O,1,'Data(perSeason,perCrop)'!$C:$C,Adequacy!AA$2,'Data(perSeason,perCrop)'!$R:$R,"IRRIGATED")</f>
        <v>0</v>
      </c>
      <c r="AB8" s="59">
        <f>SUMIFS('Data(perSeason,perCrop)'!$A:$A,'Data(perSeason,perCrop)'!$S:$S,Adequacy!$A8,'Data(perSeason,perCrop)'!$O:$O,1,'Data(perSeason,perCrop)'!$C:$C,Adequacy!AB$2,'Data(perSeason,perCrop)'!$R:$R,"IRRIGATED")</f>
        <v>0</v>
      </c>
      <c r="AC8" s="59">
        <f>SUMIFS('Data(perSeason,perCrop)'!$A:$A,'Data(perSeason,perCrop)'!$S:$S,Adequacy!$A8,'Data(perSeason,perCrop)'!$O:$O,1,'Data(perSeason,perCrop)'!$C:$C,Adequacy!AC$2,'Data(perSeason,perCrop)'!$R:$R,"IRRIGATED")</f>
        <v>0</v>
      </c>
      <c r="AD8" s="59">
        <f>SUMIFS('Data(perSeason,perCrop)'!$A:$A,'Data(perSeason,perCrop)'!$S:$S,Adequacy!$A8,'Data(perSeason,perCrop)'!$O:$O,1,'Data(perSeason,perCrop)'!$C:$C,Adequacy!AD$2,'Data(perSeason,perCrop)'!$R:$R,"IRRIGATED")</f>
        <v>0</v>
      </c>
      <c r="AE8" s="59">
        <f>SUMIFS('Data(perSeason,perCrop)'!$A:$A,'Data(perSeason,perCrop)'!$S:$S,Adequacy!$A8,'Data(perSeason,perCrop)'!$O:$O,1,'Data(perSeason,perCrop)'!$C:$C,Adequacy!AE$2,'Data(perSeason,perCrop)'!$R:$R,"IRRIGATED")</f>
        <v>0</v>
      </c>
      <c r="AF8" s="59">
        <f>SUMIFS('Data(perSeason,perCrop)'!$A:$A,'Data(perSeason,perCrop)'!$S:$S,Adequacy!$A8,'Data(perSeason,perCrop)'!$O:$O,1,'Data(perSeason,perCrop)'!$C:$C,Adequacy!AF$2,'Data(perSeason,perCrop)'!$R:$R,"IRRIGATED")</f>
        <v>0</v>
      </c>
    </row>
    <row r="9" spans="1:32" ht="18.75" x14ac:dyDescent="0.3">
      <c r="A9" s="47" t="s">
        <v>184</v>
      </c>
      <c r="B9" s="48">
        <f>AVERAGE(B4:B8)</f>
        <v>0</v>
      </c>
      <c r="C9" s="48">
        <f t="shared" ref="C9:AF9" si="0">AVERAGE(C4:C8)</f>
        <v>3245.7037788096559</v>
      </c>
      <c r="D9" s="48">
        <f t="shared" si="0"/>
        <v>0</v>
      </c>
      <c r="E9" s="48">
        <f t="shared" si="0"/>
        <v>0</v>
      </c>
      <c r="F9" s="48">
        <f t="shared" si="0"/>
        <v>0</v>
      </c>
      <c r="G9" s="48">
        <f t="shared" si="0"/>
        <v>0</v>
      </c>
      <c r="H9" s="48">
        <f t="shared" si="0"/>
        <v>0</v>
      </c>
      <c r="I9" s="48">
        <f t="shared" si="0"/>
        <v>0</v>
      </c>
      <c r="J9" s="48">
        <f t="shared" si="0"/>
        <v>0</v>
      </c>
      <c r="K9" s="48">
        <f t="shared" si="0"/>
        <v>0</v>
      </c>
      <c r="L9" s="48">
        <f t="shared" si="0"/>
        <v>0</v>
      </c>
      <c r="M9" s="48">
        <f t="shared" si="0"/>
        <v>0</v>
      </c>
      <c r="N9" s="48">
        <f t="shared" si="0"/>
        <v>0</v>
      </c>
      <c r="O9" s="48">
        <f t="shared" si="0"/>
        <v>101.03027267360402</v>
      </c>
      <c r="P9" s="48">
        <f t="shared" si="0"/>
        <v>299.28095101223562</v>
      </c>
      <c r="Q9" s="48">
        <f t="shared" si="0"/>
        <v>0</v>
      </c>
      <c r="R9" s="48">
        <f t="shared" si="0"/>
        <v>701.32175925361412</v>
      </c>
      <c r="S9" s="48">
        <f t="shared" si="0"/>
        <v>0</v>
      </c>
      <c r="T9" s="48">
        <f t="shared" si="0"/>
        <v>0</v>
      </c>
      <c r="U9" s="48">
        <f t="shared" si="0"/>
        <v>1364.4860050213974</v>
      </c>
      <c r="V9" s="48">
        <f t="shared" si="0"/>
        <v>0</v>
      </c>
      <c r="W9" s="48">
        <f t="shared" si="0"/>
        <v>0</v>
      </c>
      <c r="X9" s="48">
        <f t="shared" si="0"/>
        <v>0</v>
      </c>
      <c r="Y9" s="48">
        <f t="shared" si="0"/>
        <v>0</v>
      </c>
      <c r="Z9" s="48">
        <f t="shared" si="0"/>
        <v>0</v>
      </c>
      <c r="AA9" s="48">
        <f t="shared" si="0"/>
        <v>0</v>
      </c>
      <c r="AB9" s="48">
        <f t="shared" si="0"/>
        <v>0</v>
      </c>
      <c r="AC9" s="48">
        <f t="shared" si="0"/>
        <v>0</v>
      </c>
      <c r="AD9" s="48">
        <f t="shared" si="0"/>
        <v>0</v>
      </c>
      <c r="AE9" s="48">
        <f t="shared" si="0"/>
        <v>0</v>
      </c>
      <c r="AF9" s="48">
        <f t="shared" si="0"/>
        <v>0</v>
      </c>
    </row>
    <row r="10" spans="1:32" ht="18.75" x14ac:dyDescent="0.3">
      <c r="A10" s="47" t="s">
        <v>185</v>
      </c>
      <c r="B10" s="48">
        <f>B9/SUM($B9:$AF9)</f>
        <v>0</v>
      </c>
      <c r="C10" s="52">
        <f>C9/SUM($B9:$Q9)</f>
        <v>0.89020582103698176</v>
      </c>
      <c r="D10" s="48">
        <f t="shared" ref="D10:AF10" si="1">D9/SUM($B9:$Q9)</f>
        <v>0</v>
      </c>
      <c r="E10" s="48">
        <f t="shared" si="1"/>
        <v>0</v>
      </c>
      <c r="F10" s="48">
        <f t="shared" si="1"/>
        <v>0</v>
      </c>
      <c r="G10" s="48">
        <f t="shared" si="1"/>
        <v>0</v>
      </c>
      <c r="H10" s="48">
        <f t="shared" si="1"/>
        <v>0</v>
      </c>
      <c r="I10" s="48">
        <f t="shared" si="1"/>
        <v>0</v>
      </c>
      <c r="J10" s="48">
        <f t="shared" si="1"/>
        <v>0</v>
      </c>
      <c r="K10" s="48">
        <f t="shared" si="1"/>
        <v>0</v>
      </c>
      <c r="L10" s="48">
        <f t="shared" si="1"/>
        <v>0</v>
      </c>
      <c r="M10" s="48">
        <f t="shared" si="1"/>
        <v>0</v>
      </c>
      <c r="N10" s="48">
        <f t="shared" si="1"/>
        <v>0</v>
      </c>
      <c r="O10" s="52">
        <f t="shared" si="1"/>
        <v>2.7709779747053808E-2</v>
      </c>
      <c r="P10" s="52">
        <f t="shared" si="1"/>
        <v>8.2084399215964374E-2</v>
      </c>
      <c r="Q10" s="48">
        <f t="shared" si="1"/>
        <v>0</v>
      </c>
      <c r="R10" s="61">
        <f t="shared" si="1"/>
        <v>0.19235295487637824</v>
      </c>
      <c r="S10" s="48">
        <f t="shared" si="1"/>
        <v>0</v>
      </c>
      <c r="T10" s="48">
        <f t="shared" si="1"/>
        <v>0</v>
      </c>
      <c r="U10" s="52">
        <f t="shared" si="1"/>
        <v>0.37424037040096714</v>
      </c>
      <c r="V10" s="48">
        <f t="shared" si="1"/>
        <v>0</v>
      </c>
      <c r="W10" s="48">
        <f t="shared" si="1"/>
        <v>0</v>
      </c>
      <c r="X10" s="48">
        <f t="shared" si="1"/>
        <v>0</v>
      </c>
      <c r="Y10" s="48">
        <f t="shared" si="1"/>
        <v>0</v>
      </c>
      <c r="Z10" s="48">
        <f t="shared" si="1"/>
        <v>0</v>
      </c>
      <c r="AA10" s="48">
        <f t="shared" si="1"/>
        <v>0</v>
      </c>
      <c r="AB10" s="48">
        <f t="shared" si="1"/>
        <v>0</v>
      </c>
      <c r="AC10" s="48">
        <f t="shared" si="1"/>
        <v>0</v>
      </c>
      <c r="AD10" s="48">
        <f t="shared" si="1"/>
        <v>0</v>
      </c>
      <c r="AE10" s="48">
        <f t="shared" si="1"/>
        <v>0</v>
      </c>
      <c r="AF10" s="48">
        <f t="shared" si="1"/>
        <v>0</v>
      </c>
    </row>
    <row r="12" spans="1:32" ht="15.75" customHeight="1" x14ac:dyDescent="0.25"/>
    <row r="13" spans="1:32" ht="18.75" x14ac:dyDescent="0.3">
      <c r="A13" s="42" t="s">
        <v>186</v>
      </c>
      <c r="B13" s="42">
        <v>1</v>
      </c>
      <c r="C13" s="42">
        <v>2</v>
      </c>
      <c r="D13" s="42">
        <v>3</v>
      </c>
      <c r="E13" s="42">
        <v>4</v>
      </c>
      <c r="F13" s="42">
        <v>5</v>
      </c>
      <c r="G13" s="42">
        <v>6</v>
      </c>
      <c r="H13" s="42">
        <v>7</v>
      </c>
      <c r="I13" s="42">
        <v>8</v>
      </c>
      <c r="J13" s="42">
        <v>9</v>
      </c>
      <c r="K13" s="42">
        <v>10</v>
      </c>
      <c r="L13" s="42">
        <v>11</v>
      </c>
      <c r="M13" s="42">
        <v>12</v>
      </c>
      <c r="N13" s="42">
        <v>13</v>
      </c>
      <c r="O13" s="42">
        <v>14</v>
      </c>
      <c r="P13" s="42">
        <v>15</v>
      </c>
      <c r="Q13" s="42">
        <v>16</v>
      </c>
      <c r="R13" s="42">
        <v>17</v>
      </c>
      <c r="S13" s="42">
        <v>18</v>
      </c>
      <c r="T13" s="42">
        <v>19</v>
      </c>
      <c r="U13" s="42">
        <v>20</v>
      </c>
      <c r="V13" s="42">
        <v>21</v>
      </c>
      <c r="W13" s="42">
        <v>22</v>
      </c>
      <c r="X13" s="42">
        <v>23</v>
      </c>
      <c r="Y13" s="42">
        <v>24</v>
      </c>
      <c r="Z13" s="42">
        <v>25</v>
      </c>
      <c r="AA13" s="42">
        <v>40</v>
      </c>
      <c r="AB13" s="42">
        <v>41</v>
      </c>
      <c r="AC13" s="42">
        <v>42</v>
      </c>
      <c r="AD13" s="42">
        <v>43</v>
      </c>
      <c r="AE13" s="42">
        <v>44</v>
      </c>
      <c r="AF13" s="42">
        <v>45</v>
      </c>
    </row>
    <row r="14" spans="1:32" ht="18.75" x14ac:dyDescent="0.3">
      <c r="A14" s="42">
        <v>2018</v>
      </c>
      <c r="B14" s="62" t="str">
        <f>IF(B4&gt;0,1-AVERAGEIFS('Data(perSeason,perCrop)'!$E:$E,'Data(perSeason,perCrop)'!$S:$S,Adequacy!$A14,'Data(perSeason,perCrop)'!$O:$O,1,'Data(perSeason,perCrop)'!$C:$C,Adequacy!B$2,'Data(perSeason,perCrop)'!$R:$R,"IRRIGATED")/AVERAGEIFS('Data(perSeason,perCrop)'!$F:$F,'Data(perSeason,perCrop)'!$S:$S,Adequacy!$A14,'Data(perSeason,perCrop)'!$O:$O,1,'Data(perSeason,perCrop)'!$C:$C,Adequacy!B$2,'Data(perSeason,perCrop)'!$R:$R,"IRRIGATED"),"")</f>
        <v/>
      </c>
      <c r="C14" s="62">
        <f>IF(C4&gt;0,1-AVERAGEIFS('Data(perSeason,perCrop)'!$E:$E,'Data(perSeason,perCrop)'!$S:$S,Adequacy!$A14,'Data(perSeason,perCrop)'!$O:$O,1,'Data(perSeason,perCrop)'!$C:$C,Adequacy!C$2,'Data(perSeason,perCrop)'!$R:$R,"IRRIGATED")/AVERAGEIFS('Data(perSeason,perCrop)'!$F:$F,'Data(perSeason,perCrop)'!$S:$S,Adequacy!$A14,'Data(perSeason,perCrop)'!$O:$O,1,'Data(perSeason,perCrop)'!$C:$C,Adequacy!C$2,'Data(perSeason,perCrop)'!$R:$R,"IRRIGATED"),"")</f>
        <v>0.16473988439306353</v>
      </c>
      <c r="D14" s="62" t="str">
        <f>IF(D4&gt;0,1-AVERAGEIFS('Data(perSeason,perCrop)'!$E:$E,'Data(perSeason,perCrop)'!$S:$S,Adequacy!$A14,'Data(perSeason,perCrop)'!$O:$O,1,'Data(perSeason,perCrop)'!$C:$C,Adequacy!D$2,'Data(perSeason,perCrop)'!$R:$R,"IRRIGATED")/AVERAGEIFS('Data(perSeason,perCrop)'!$F:$F,'Data(perSeason,perCrop)'!$S:$S,Adequacy!$A14,'Data(perSeason,perCrop)'!$O:$O,1,'Data(perSeason,perCrop)'!$C:$C,Adequacy!D$2,'Data(perSeason,perCrop)'!$R:$R,"IRRIGATED"),"")</f>
        <v/>
      </c>
      <c r="E14" s="62" t="str">
        <f>IF(E4&gt;0,1-AVERAGEIFS('Data(perSeason,perCrop)'!$E:$E,'Data(perSeason,perCrop)'!$S:$S,Adequacy!$A14,'Data(perSeason,perCrop)'!$O:$O,1,'Data(perSeason,perCrop)'!$C:$C,Adequacy!E$2,'Data(perSeason,perCrop)'!$R:$R,"IRRIGATED")/AVERAGEIFS('Data(perSeason,perCrop)'!$F:$F,'Data(perSeason,perCrop)'!$S:$S,Adequacy!$A14,'Data(perSeason,perCrop)'!$O:$O,1,'Data(perSeason,perCrop)'!$C:$C,Adequacy!E$2,'Data(perSeason,perCrop)'!$R:$R,"IRRIGATED"),"")</f>
        <v/>
      </c>
      <c r="F14" s="62" t="str">
        <f>IF(F4&gt;0,1-AVERAGEIFS('Data(perSeason,perCrop)'!$E:$E,'Data(perSeason,perCrop)'!$S:$S,Adequacy!$A14,'Data(perSeason,perCrop)'!$O:$O,1,'Data(perSeason,perCrop)'!$C:$C,Adequacy!F$2,'Data(perSeason,perCrop)'!$R:$R,"IRRIGATED")/AVERAGEIFS('Data(perSeason,perCrop)'!$F:$F,'Data(perSeason,perCrop)'!$S:$S,Adequacy!$A14,'Data(perSeason,perCrop)'!$O:$O,1,'Data(perSeason,perCrop)'!$C:$C,Adequacy!F$2,'Data(perSeason,perCrop)'!$R:$R,"IRRIGATED"),"")</f>
        <v/>
      </c>
      <c r="G14" s="62" t="str">
        <f>IF(G4&gt;0,1-AVERAGEIFS('Data(perSeason,perCrop)'!$E:$E,'Data(perSeason,perCrop)'!$S:$S,Adequacy!$A14,'Data(perSeason,perCrop)'!$O:$O,1,'Data(perSeason,perCrop)'!$C:$C,Adequacy!G$2,'Data(perSeason,perCrop)'!$R:$R,"IRRIGATED")/AVERAGEIFS('Data(perSeason,perCrop)'!$F:$F,'Data(perSeason,perCrop)'!$S:$S,Adequacy!$A14,'Data(perSeason,perCrop)'!$O:$O,1,'Data(perSeason,perCrop)'!$C:$C,Adequacy!G$2,'Data(perSeason,perCrop)'!$R:$R,"IRRIGATED"),"")</f>
        <v/>
      </c>
      <c r="H14" s="62" t="str">
        <f>IF(H4&gt;0,1-AVERAGEIFS('Data(perSeason,perCrop)'!$E:$E,'Data(perSeason,perCrop)'!$S:$S,Adequacy!$A14,'Data(perSeason,perCrop)'!$O:$O,1,'Data(perSeason,perCrop)'!$C:$C,Adequacy!H$2,'Data(perSeason,perCrop)'!$R:$R,"IRRIGATED")/AVERAGEIFS('Data(perSeason,perCrop)'!$F:$F,'Data(perSeason,perCrop)'!$S:$S,Adequacy!$A14,'Data(perSeason,perCrop)'!$O:$O,1,'Data(perSeason,perCrop)'!$C:$C,Adequacy!H$2,'Data(perSeason,perCrop)'!$R:$R,"IRRIGATED"),"")</f>
        <v/>
      </c>
      <c r="I14" s="62" t="str">
        <f>IF(I4&gt;0,1-AVERAGEIFS('Data(perSeason,perCrop)'!$E:$E,'Data(perSeason,perCrop)'!$S:$S,Adequacy!$A14,'Data(perSeason,perCrop)'!$O:$O,1,'Data(perSeason,perCrop)'!$C:$C,Adequacy!I$2,'Data(perSeason,perCrop)'!$R:$R,"IRRIGATED")/AVERAGEIFS('Data(perSeason,perCrop)'!$F:$F,'Data(perSeason,perCrop)'!$S:$S,Adequacy!$A14,'Data(perSeason,perCrop)'!$O:$O,1,'Data(perSeason,perCrop)'!$C:$C,Adequacy!I$2,'Data(perSeason,perCrop)'!$R:$R,"IRRIGATED"),"")</f>
        <v/>
      </c>
      <c r="J14" s="62" t="str">
        <f>IF(J4&gt;0,1-AVERAGEIFS('Data(perSeason,perCrop)'!$E:$E,'Data(perSeason,perCrop)'!$S:$S,Adequacy!$A14,'Data(perSeason,perCrop)'!$O:$O,1,'Data(perSeason,perCrop)'!$C:$C,Adequacy!J$2,'Data(perSeason,perCrop)'!$R:$R,"IRRIGATED")/AVERAGEIFS('Data(perSeason,perCrop)'!$F:$F,'Data(perSeason,perCrop)'!$S:$S,Adequacy!$A14,'Data(perSeason,perCrop)'!$O:$O,1,'Data(perSeason,perCrop)'!$C:$C,Adequacy!J$2,'Data(perSeason,perCrop)'!$R:$R,"IRRIGATED"),"")</f>
        <v/>
      </c>
      <c r="K14" s="62" t="str">
        <f>IF(K4&gt;0,1-AVERAGEIFS('Data(perSeason,perCrop)'!$E:$E,'Data(perSeason,perCrop)'!$S:$S,Adequacy!$A14,'Data(perSeason,perCrop)'!$O:$O,1,'Data(perSeason,perCrop)'!$C:$C,Adequacy!K$2,'Data(perSeason,perCrop)'!$R:$R,"IRRIGATED")/AVERAGEIFS('Data(perSeason,perCrop)'!$F:$F,'Data(perSeason,perCrop)'!$S:$S,Adequacy!$A14,'Data(perSeason,perCrop)'!$O:$O,1,'Data(perSeason,perCrop)'!$C:$C,Adequacy!K$2,'Data(perSeason,perCrop)'!$R:$R,"IRRIGATED"),"")</f>
        <v/>
      </c>
      <c r="L14" s="62" t="str">
        <f>IF(L4&gt;0,1-AVERAGEIFS('Data(perSeason,perCrop)'!$E:$E,'Data(perSeason,perCrop)'!$S:$S,Adequacy!$A14,'Data(perSeason,perCrop)'!$O:$O,1,'Data(perSeason,perCrop)'!$C:$C,Adequacy!L$2,'Data(perSeason,perCrop)'!$R:$R,"IRRIGATED")/AVERAGEIFS('Data(perSeason,perCrop)'!$F:$F,'Data(perSeason,perCrop)'!$S:$S,Adequacy!$A14,'Data(perSeason,perCrop)'!$O:$O,1,'Data(perSeason,perCrop)'!$C:$C,Adequacy!L$2,'Data(perSeason,perCrop)'!$R:$R,"IRRIGATED"),"")</f>
        <v/>
      </c>
      <c r="M14" s="62" t="str">
        <f>IF(M4&gt;0,1-AVERAGEIFS('Data(perSeason,perCrop)'!$E:$E,'Data(perSeason,perCrop)'!$S:$S,Adequacy!$A14,'Data(perSeason,perCrop)'!$O:$O,1,'Data(perSeason,perCrop)'!$C:$C,Adequacy!M$2,'Data(perSeason,perCrop)'!$R:$R,"IRRIGATED")/AVERAGEIFS('Data(perSeason,perCrop)'!$F:$F,'Data(perSeason,perCrop)'!$S:$S,Adequacy!$A14,'Data(perSeason,perCrop)'!$O:$O,1,'Data(perSeason,perCrop)'!$C:$C,Adequacy!M$2,'Data(perSeason,perCrop)'!$R:$R,"IRRIGATED"),"")</f>
        <v/>
      </c>
      <c r="N14" s="62" t="str">
        <f>IF(N4&gt;0,1-AVERAGEIFS('Data(perSeason,perCrop)'!$E:$E,'Data(perSeason,perCrop)'!$S:$S,Adequacy!$A14,'Data(perSeason,perCrop)'!$O:$O,1,'Data(perSeason,perCrop)'!$C:$C,Adequacy!N$2,'Data(perSeason,perCrop)'!$R:$R,"IRRIGATED")/AVERAGEIFS('Data(perSeason,perCrop)'!$F:$F,'Data(perSeason,perCrop)'!$S:$S,Adequacy!$A14,'Data(perSeason,perCrop)'!$O:$O,1,'Data(perSeason,perCrop)'!$C:$C,Adequacy!N$2,'Data(perSeason,perCrop)'!$R:$R,"IRRIGATED"),"")</f>
        <v/>
      </c>
      <c r="O14" s="62">
        <f>IF(O4&gt;0,1-AVERAGEIFS('Data(perSeason,perCrop)'!$E:$E,'Data(perSeason,perCrop)'!$S:$S,Adequacy!$A14,'Data(perSeason,perCrop)'!$O:$O,1,'Data(perSeason,perCrop)'!$C:$C,Adequacy!O$2,'Data(perSeason,perCrop)'!$R:$R,"IRRIGATED")/AVERAGEIFS('Data(perSeason,perCrop)'!$F:$F,'Data(perSeason,perCrop)'!$S:$S,Adequacy!$A14,'Data(perSeason,perCrop)'!$O:$O,1,'Data(perSeason,perCrop)'!$C:$C,Adequacy!O$2,'Data(perSeason,perCrop)'!$R:$R,"IRRIGATED"),"")</f>
        <v>9.5238095238095233E-2</v>
      </c>
      <c r="P14" s="62">
        <f>IF(P4&gt;0,1-AVERAGEIFS('Data(perSeason,perCrop)'!$E:$E,'Data(perSeason,perCrop)'!$S:$S,Adequacy!$A14,'Data(perSeason,perCrop)'!$O:$O,1,'Data(perSeason,perCrop)'!$C:$C,Adequacy!P$2,'Data(perSeason,perCrop)'!$R:$R,"IRRIGATED")/AVERAGEIFS('Data(perSeason,perCrop)'!$F:$F,'Data(perSeason,perCrop)'!$S:$S,Adequacy!$A14,'Data(perSeason,perCrop)'!$O:$O,1,'Data(perSeason,perCrop)'!$C:$C,Adequacy!P$2,'Data(perSeason,perCrop)'!$R:$R,"IRRIGATED"),"")</f>
        <v>8.2802547770700619E-2</v>
      </c>
      <c r="Q14" s="62" t="str">
        <f>IF(Q4&gt;0,1-AVERAGEIFS('Data(perSeason,perCrop)'!$E:$E,'Data(perSeason,perCrop)'!$S:$S,Adequacy!$A14,'Data(perSeason,perCrop)'!$O:$O,1,'Data(perSeason,perCrop)'!$C:$C,Adequacy!Q$2,'Data(perSeason,perCrop)'!$R:$R,"IRRIGATED")/AVERAGEIFS('Data(perSeason,perCrop)'!$F:$F,'Data(perSeason,perCrop)'!$S:$S,Adequacy!$A14,'Data(perSeason,perCrop)'!$O:$O,1,'Data(perSeason,perCrop)'!$C:$C,Adequacy!Q$2,'Data(perSeason,perCrop)'!$R:$R,"IRRIGATED"),"")</f>
        <v/>
      </c>
      <c r="R14" s="62">
        <f>IF(R4&gt;0,1-AVERAGEIFS('Data(perSeason,perCrop)'!$E:$E,'Data(perSeason,perCrop)'!$S:$S,Adequacy!$A14,'Data(perSeason,perCrop)'!$O:$O,1,'Data(perSeason,perCrop)'!$C:$C,Adequacy!R$2,'Data(perSeason,perCrop)'!$R:$R,"IRRIGATED")/AVERAGEIFS('Data(perSeason,perCrop)'!$F:$F,'Data(perSeason,perCrop)'!$S:$S,Adequacy!$A14,'Data(perSeason,perCrop)'!$O:$O,1,'Data(perSeason,perCrop)'!$C:$C,Adequacy!R$2,'Data(perSeason,perCrop)'!$R:$R,"IRRIGATED"),"")</f>
        <v>0.16569767441860461</v>
      </c>
      <c r="S14" s="62" t="str">
        <f>IF(S4&gt;0,1-AVERAGEIFS('Data(perSeason,perCrop)'!$E:$E,'Data(perSeason,perCrop)'!$S:$S,Adequacy!$A14,'Data(perSeason,perCrop)'!$O:$O,1,'Data(perSeason,perCrop)'!$C:$C,Adequacy!S$2,'Data(perSeason,perCrop)'!$R:$R,"IRRIGATED")/AVERAGEIFS('Data(perSeason,perCrop)'!$F:$F,'Data(perSeason,perCrop)'!$S:$S,Adequacy!$A14,'Data(perSeason,perCrop)'!$O:$O,1,'Data(perSeason,perCrop)'!$C:$C,Adequacy!S$2,'Data(perSeason,perCrop)'!$R:$R,"IRRIGATED"),"")</f>
        <v/>
      </c>
      <c r="T14" s="62" t="str">
        <f>IF(T4&gt;0,1-AVERAGEIFS('Data(perSeason,perCrop)'!$E:$E,'Data(perSeason,perCrop)'!$S:$S,Adequacy!$A14,'Data(perSeason,perCrop)'!$O:$O,1,'Data(perSeason,perCrop)'!$C:$C,Adequacy!T$2,'Data(perSeason,perCrop)'!$R:$R,"IRRIGATED")/AVERAGEIFS('Data(perSeason,perCrop)'!$F:$F,'Data(perSeason,perCrop)'!$S:$S,Adequacy!$A14,'Data(perSeason,perCrop)'!$O:$O,1,'Data(perSeason,perCrop)'!$C:$C,Adequacy!T$2,'Data(perSeason,perCrop)'!$R:$R,"IRRIGATED"),"")</f>
        <v/>
      </c>
      <c r="U14" s="62">
        <f>IF(U4&gt;0,1-AVERAGEIFS('Data(perSeason,perCrop)'!$E:$E,'Data(perSeason,perCrop)'!$S:$S,Adequacy!$A14,'Data(perSeason,perCrop)'!$O:$O,1,'Data(perSeason,perCrop)'!$C:$C,Adequacy!U$2,'Data(perSeason,perCrop)'!$R:$R,"IRRIGATED")/AVERAGEIFS('Data(perSeason,perCrop)'!$F:$F,'Data(perSeason,perCrop)'!$S:$S,Adequacy!$A14,'Data(perSeason,perCrop)'!$O:$O,1,'Data(perSeason,perCrop)'!$C:$C,Adequacy!U$2,'Data(perSeason,perCrop)'!$R:$R,"IRRIGATED"),"")</f>
        <v>0.15642458100558654</v>
      </c>
      <c r="V14" s="62" t="str">
        <f>IF(V4&gt;0,1-AVERAGEIFS('Data(perSeason,perCrop)'!$E:$E,'Data(perSeason,perCrop)'!$S:$S,Adequacy!$A14,'Data(perSeason,perCrop)'!$O:$O,1,'Data(perSeason,perCrop)'!$C:$C,Adequacy!V$2,'Data(perSeason,perCrop)'!$R:$R,"IRRIGATED")/AVERAGEIFS('Data(perSeason,perCrop)'!$F:$F,'Data(perSeason,perCrop)'!$S:$S,Adequacy!$A14,'Data(perSeason,perCrop)'!$O:$O,1,'Data(perSeason,perCrop)'!$C:$C,Adequacy!V$2,'Data(perSeason,perCrop)'!$R:$R,"IRRIGATED"),"")</f>
        <v/>
      </c>
      <c r="W14" s="62" t="str">
        <f>IF(W4&gt;0,1-AVERAGEIFS('Data(perSeason,perCrop)'!$E:$E,'Data(perSeason,perCrop)'!$S:$S,Adequacy!$A14,'Data(perSeason,perCrop)'!$O:$O,1,'Data(perSeason,perCrop)'!$C:$C,Adequacy!W$2,'Data(perSeason,perCrop)'!$R:$R,"IRRIGATED")/AVERAGEIFS('Data(perSeason,perCrop)'!$F:$F,'Data(perSeason,perCrop)'!$S:$S,Adequacy!$A14,'Data(perSeason,perCrop)'!$O:$O,1,'Data(perSeason,perCrop)'!$C:$C,Adequacy!W$2,'Data(perSeason,perCrop)'!$R:$R,"IRRIGATED"),"")</f>
        <v/>
      </c>
      <c r="X14" s="62" t="str">
        <f>IF(X4&gt;0,1-AVERAGEIFS('Data(perSeason,perCrop)'!$E:$E,'Data(perSeason,perCrop)'!$S:$S,Adequacy!$A14,'Data(perSeason,perCrop)'!$O:$O,1,'Data(perSeason,perCrop)'!$C:$C,Adequacy!X$2,'Data(perSeason,perCrop)'!$R:$R,"IRRIGATED")/AVERAGEIFS('Data(perSeason,perCrop)'!$F:$F,'Data(perSeason,perCrop)'!$S:$S,Adequacy!$A14,'Data(perSeason,perCrop)'!$O:$O,1,'Data(perSeason,perCrop)'!$C:$C,Adequacy!X$2,'Data(perSeason,perCrop)'!$R:$R,"IRRIGATED"),"")</f>
        <v/>
      </c>
      <c r="Y14" s="62" t="str">
        <f>IF(Y4&gt;0,1-AVERAGEIFS('Data(perSeason,perCrop)'!$E:$E,'Data(perSeason,perCrop)'!$S:$S,Adequacy!$A14,'Data(perSeason,perCrop)'!$O:$O,1,'Data(perSeason,perCrop)'!$C:$C,Adequacy!Y$2,'Data(perSeason,perCrop)'!$R:$R,"IRRIGATED")/AVERAGEIFS('Data(perSeason,perCrop)'!$F:$F,'Data(perSeason,perCrop)'!$S:$S,Adequacy!$A14,'Data(perSeason,perCrop)'!$O:$O,1,'Data(perSeason,perCrop)'!$C:$C,Adequacy!Y$2,'Data(perSeason,perCrop)'!$R:$R,"IRRIGATED"),"")</f>
        <v/>
      </c>
      <c r="Z14" s="62" t="str">
        <f>IF(Z4&gt;0,1-AVERAGEIFS('Data(perSeason,perCrop)'!$E:$E,'Data(perSeason,perCrop)'!$S:$S,Adequacy!$A14,'Data(perSeason,perCrop)'!$O:$O,1,'Data(perSeason,perCrop)'!$C:$C,Adequacy!Z$2,'Data(perSeason,perCrop)'!$R:$R,"IRRIGATED")/AVERAGEIFS('Data(perSeason,perCrop)'!$F:$F,'Data(perSeason,perCrop)'!$S:$S,Adequacy!$A14,'Data(perSeason,perCrop)'!$O:$O,1,'Data(perSeason,perCrop)'!$C:$C,Adequacy!Z$2,'Data(perSeason,perCrop)'!$R:$R,"IRRIGATED"),"")</f>
        <v/>
      </c>
      <c r="AA14" s="62" t="str">
        <f>IF(AA4&gt;0,1-AVERAGEIFS('Data(perSeason,perCrop)'!$E:$E,'Data(perSeason,perCrop)'!$S:$S,Adequacy!$A14,'Data(perSeason,perCrop)'!$O:$O,1,'Data(perSeason,perCrop)'!$C:$C,Adequacy!AA$2,'Data(perSeason,perCrop)'!$R:$R,"IRRIGATED")/AVERAGEIFS('Data(perSeason,perCrop)'!$F:$F,'Data(perSeason,perCrop)'!$S:$S,Adequacy!$A14,'Data(perSeason,perCrop)'!$O:$O,1,'Data(perSeason,perCrop)'!$C:$C,Adequacy!AA$2,'Data(perSeason,perCrop)'!$R:$R,"IRRIGATED"),"")</f>
        <v/>
      </c>
      <c r="AB14" s="62" t="str">
        <f>IF(AB4&gt;0,1-AVERAGEIFS('Data(perSeason,perCrop)'!$E:$E,'Data(perSeason,perCrop)'!$S:$S,Adequacy!$A14,'Data(perSeason,perCrop)'!$O:$O,1,'Data(perSeason,perCrop)'!$C:$C,Adequacy!AB$2,'Data(perSeason,perCrop)'!$R:$R,"IRRIGATED")/AVERAGEIFS('Data(perSeason,perCrop)'!$F:$F,'Data(perSeason,perCrop)'!$S:$S,Adequacy!$A14,'Data(perSeason,perCrop)'!$O:$O,1,'Data(perSeason,perCrop)'!$C:$C,Adequacy!AB$2,'Data(perSeason,perCrop)'!$R:$R,"IRRIGATED"),"")</f>
        <v/>
      </c>
      <c r="AC14" s="62" t="str">
        <f>IF(AC4&gt;0,1-AVERAGEIFS('Data(perSeason,perCrop)'!$E:$E,'Data(perSeason,perCrop)'!$S:$S,Adequacy!$A14,'Data(perSeason,perCrop)'!$O:$O,1,'Data(perSeason,perCrop)'!$C:$C,Adequacy!AC$2,'Data(perSeason,perCrop)'!$R:$R,"IRRIGATED")/AVERAGEIFS('Data(perSeason,perCrop)'!$F:$F,'Data(perSeason,perCrop)'!$S:$S,Adequacy!$A14,'Data(perSeason,perCrop)'!$O:$O,1,'Data(perSeason,perCrop)'!$C:$C,Adequacy!AC$2,'Data(perSeason,perCrop)'!$R:$R,"IRRIGATED"),"")</f>
        <v/>
      </c>
      <c r="AD14" s="62" t="str">
        <f>IF(AD4&gt;0,1-AVERAGEIFS('Data(perSeason,perCrop)'!$E:$E,'Data(perSeason,perCrop)'!$S:$S,Adequacy!$A14,'Data(perSeason,perCrop)'!$O:$O,1,'Data(perSeason,perCrop)'!$C:$C,Adequacy!AD$2,'Data(perSeason,perCrop)'!$R:$R,"IRRIGATED")/AVERAGEIFS('Data(perSeason,perCrop)'!$F:$F,'Data(perSeason,perCrop)'!$S:$S,Adequacy!$A14,'Data(perSeason,perCrop)'!$O:$O,1,'Data(perSeason,perCrop)'!$C:$C,Adequacy!AD$2,'Data(perSeason,perCrop)'!$R:$R,"IRRIGATED"),"")</f>
        <v/>
      </c>
      <c r="AE14" s="62" t="str">
        <f>IF(AE4&gt;0,1-AVERAGEIFS('Data(perSeason,perCrop)'!$E:$E,'Data(perSeason,perCrop)'!$S:$S,Adequacy!$A14,'Data(perSeason,perCrop)'!$O:$O,1,'Data(perSeason,perCrop)'!$C:$C,Adequacy!AE$2,'Data(perSeason,perCrop)'!$R:$R,"IRRIGATED")/AVERAGEIFS('Data(perSeason,perCrop)'!$F:$F,'Data(perSeason,perCrop)'!$S:$S,Adequacy!$A14,'Data(perSeason,perCrop)'!$O:$O,1,'Data(perSeason,perCrop)'!$C:$C,Adequacy!AE$2,'Data(perSeason,perCrop)'!$R:$R,"IRRIGATED"),"")</f>
        <v/>
      </c>
      <c r="AF14" s="62" t="str">
        <f>IF(AF4&gt;0,1-AVERAGEIFS('Data(perSeason,perCrop)'!$E:$E,'Data(perSeason,perCrop)'!$S:$S,Adequacy!$A14,'Data(perSeason,perCrop)'!$O:$O,1,'Data(perSeason,perCrop)'!$C:$C,Adequacy!AF$2,'Data(perSeason,perCrop)'!$R:$R,"IRRIGATED")/AVERAGEIFS('Data(perSeason,perCrop)'!$F:$F,'Data(perSeason,perCrop)'!$S:$S,Adequacy!$A14,'Data(perSeason,perCrop)'!$O:$O,1,'Data(perSeason,perCrop)'!$C:$C,Adequacy!AF$2,'Data(perSeason,perCrop)'!$R:$R,"IRRIGATED"),"")</f>
        <v/>
      </c>
    </row>
    <row r="15" spans="1:32" ht="18.75" x14ac:dyDescent="0.3">
      <c r="A15" s="42">
        <v>2019</v>
      </c>
      <c r="B15" s="62" t="str">
        <f>IF(B5&gt;0,1-AVERAGEIFS('Data(perSeason,perCrop)'!$E:$E,'Data(perSeason,perCrop)'!$S:$S,Adequacy!$A15,'Data(perSeason,perCrop)'!$O:$O,1,'Data(perSeason,perCrop)'!$C:$C,Adequacy!B$2,'Data(perSeason,perCrop)'!$R:$R,"IRRIGATED")/AVERAGEIFS('Data(perSeason,perCrop)'!$F:$F,'Data(perSeason,perCrop)'!$S:$S,Adequacy!$A15,'Data(perSeason,perCrop)'!$O:$O,1,'Data(perSeason,perCrop)'!$C:$C,Adequacy!B$2,'Data(perSeason,perCrop)'!$R:$R,"IRRIGATED"),"")</f>
        <v/>
      </c>
      <c r="C15" s="62">
        <f>IF(C5&gt;0,1-AVERAGEIFS('Data(perSeason,perCrop)'!$E:$E,'Data(perSeason,perCrop)'!$S:$S,Adequacy!$A15,'Data(perSeason,perCrop)'!$O:$O,1,'Data(perSeason,perCrop)'!$C:$C,Adequacy!C$2,'Data(perSeason,perCrop)'!$R:$R,"IRRIGATED")/AVERAGEIFS('Data(perSeason,perCrop)'!$F:$F,'Data(perSeason,perCrop)'!$S:$S,Adequacy!$A15,'Data(perSeason,perCrop)'!$O:$O,1,'Data(perSeason,perCrop)'!$C:$C,Adequacy!C$2,'Data(perSeason,perCrop)'!$R:$R,"IRRIGATED"),"")</f>
        <v>0.25157232704402521</v>
      </c>
      <c r="D15" s="62" t="str">
        <f>IF(D5&gt;0,1-AVERAGEIFS('Data(perSeason,perCrop)'!$E:$E,'Data(perSeason,perCrop)'!$S:$S,Adequacy!$A15,'Data(perSeason,perCrop)'!$O:$O,1,'Data(perSeason,perCrop)'!$C:$C,Adequacy!D$2,'Data(perSeason,perCrop)'!$R:$R,"IRRIGATED")/AVERAGEIFS('Data(perSeason,perCrop)'!$F:$F,'Data(perSeason,perCrop)'!$S:$S,Adequacy!$A15,'Data(perSeason,perCrop)'!$O:$O,1,'Data(perSeason,perCrop)'!$C:$C,Adequacy!D$2,'Data(perSeason,perCrop)'!$R:$R,"IRRIGATED"),"")</f>
        <v/>
      </c>
      <c r="E15" s="62" t="str">
        <f>IF(E5&gt;0,1-AVERAGEIFS('Data(perSeason,perCrop)'!$E:$E,'Data(perSeason,perCrop)'!$S:$S,Adequacy!$A15,'Data(perSeason,perCrop)'!$O:$O,1,'Data(perSeason,perCrop)'!$C:$C,Adequacy!E$2,'Data(perSeason,perCrop)'!$R:$R,"IRRIGATED")/AVERAGEIFS('Data(perSeason,perCrop)'!$F:$F,'Data(perSeason,perCrop)'!$S:$S,Adequacy!$A15,'Data(perSeason,perCrop)'!$O:$O,1,'Data(perSeason,perCrop)'!$C:$C,Adequacy!E$2,'Data(perSeason,perCrop)'!$R:$R,"IRRIGATED"),"")</f>
        <v/>
      </c>
      <c r="F15" s="62" t="str">
        <f>IF(F5&gt;0,1-AVERAGEIFS('Data(perSeason,perCrop)'!$E:$E,'Data(perSeason,perCrop)'!$S:$S,Adequacy!$A15,'Data(perSeason,perCrop)'!$O:$O,1,'Data(perSeason,perCrop)'!$C:$C,Adequacy!F$2,'Data(perSeason,perCrop)'!$R:$R,"IRRIGATED")/AVERAGEIFS('Data(perSeason,perCrop)'!$F:$F,'Data(perSeason,perCrop)'!$S:$S,Adequacy!$A15,'Data(perSeason,perCrop)'!$O:$O,1,'Data(perSeason,perCrop)'!$C:$C,Adequacy!F$2,'Data(perSeason,perCrop)'!$R:$R,"IRRIGATED"),"")</f>
        <v/>
      </c>
      <c r="G15" s="62" t="str">
        <f>IF(G5&gt;0,1-AVERAGEIFS('Data(perSeason,perCrop)'!$E:$E,'Data(perSeason,perCrop)'!$S:$S,Adequacy!$A15,'Data(perSeason,perCrop)'!$O:$O,1,'Data(perSeason,perCrop)'!$C:$C,Adequacy!G$2,'Data(perSeason,perCrop)'!$R:$R,"IRRIGATED")/AVERAGEIFS('Data(perSeason,perCrop)'!$F:$F,'Data(perSeason,perCrop)'!$S:$S,Adequacy!$A15,'Data(perSeason,perCrop)'!$O:$O,1,'Data(perSeason,perCrop)'!$C:$C,Adequacy!G$2,'Data(perSeason,perCrop)'!$R:$R,"IRRIGATED"),"")</f>
        <v/>
      </c>
      <c r="H15" s="62" t="str">
        <f>IF(H5&gt;0,1-AVERAGEIFS('Data(perSeason,perCrop)'!$E:$E,'Data(perSeason,perCrop)'!$S:$S,Adequacy!$A15,'Data(perSeason,perCrop)'!$O:$O,1,'Data(perSeason,perCrop)'!$C:$C,Adequacy!H$2,'Data(perSeason,perCrop)'!$R:$R,"IRRIGATED")/AVERAGEIFS('Data(perSeason,perCrop)'!$F:$F,'Data(perSeason,perCrop)'!$S:$S,Adequacy!$A15,'Data(perSeason,perCrop)'!$O:$O,1,'Data(perSeason,perCrop)'!$C:$C,Adequacy!H$2,'Data(perSeason,perCrop)'!$R:$R,"IRRIGATED"),"")</f>
        <v/>
      </c>
      <c r="I15" s="62" t="str">
        <f>IF(I5&gt;0,1-AVERAGEIFS('Data(perSeason,perCrop)'!$E:$E,'Data(perSeason,perCrop)'!$S:$S,Adequacy!$A15,'Data(perSeason,perCrop)'!$O:$O,1,'Data(perSeason,perCrop)'!$C:$C,Adequacy!I$2,'Data(perSeason,perCrop)'!$R:$R,"IRRIGATED")/AVERAGEIFS('Data(perSeason,perCrop)'!$F:$F,'Data(perSeason,perCrop)'!$S:$S,Adequacy!$A15,'Data(perSeason,perCrop)'!$O:$O,1,'Data(perSeason,perCrop)'!$C:$C,Adequacy!I$2,'Data(perSeason,perCrop)'!$R:$R,"IRRIGATED"),"")</f>
        <v/>
      </c>
      <c r="J15" s="62" t="str">
        <f>IF(J5&gt;0,1-AVERAGEIFS('Data(perSeason,perCrop)'!$E:$E,'Data(perSeason,perCrop)'!$S:$S,Adequacy!$A15,'Data(perSeason,perCrop)'!$O:$O,1,'Data(perSeason,perCrop)'!$C:$C,Adequacy!J$2,'Data(perSeason,perCrop)'!$R:$R,"IRRIGATED")/AVERAGEIFS('Data(perSeason,perCrop)'!$F:$F,'Data(perSeason,perCrop)'!$S:$S,Adequacy!$A15,'Data(perSeason,perCrop)'!$O:$O,1,'Data(perSeason,perCrop)'!$C:$C,Adequacy!J$2,'Data(perSeason,perCrop)'!$R:$R,"IRRIGATED"),"")</f>
        <v/>
      </c>
      <c r="K15" s="62" t="str">
        <f>IF(K5&gt;0,1-AVERAGEIFS('Data(perSeason,perCrop)'!$E:$E,'Data(perSeason,perCrop)'!$S:$S,Adequacy!$A15,'Data(perSeason,perCrop)'!$O:$O,1,'Data(perSeason,perCrop)'!$C:$C,Adequacy!K$2,'Data(perSeason,perCrop)'!$R:$R,"IRRIGATED")/AVERAGEIFS('Data(perSeason,perCrop)'!$F:$F,'Data(perSeason,perCrop)'!$S:$S,Adequacy!$A15,'Data(perSeason,perCrop)'!$O:$O,1,'Data(perSeason,perCrop)'!$C:$C,Adequacy!K$2,'Data(perSeason,perCrop)'!$R:$R,"IRRIGATED"),"")</f>
        <v/>
      </c>
      <c r="L15" s="62" t="str">
        <f>IF(L5&gt;0,1-AVERAGEIFS('Data(perSeason,perCrop)'!$E:$E,'Data(perSeason,perCrop)'!$S:$S,Adequacy!$A15,'Data(perSeason,perCrop)'!$O:$O,1,'Data(perSeason,perCrop)'!$C:$C,Adequacy!L$2,'Data(perSeason,perCrop)'!$R:$R,"IRRIGATED")/AVERAGEIFS('Data(perSeason,perCrop)'!$F:$F,'Data(perSeason,perCrop)'!$S:$S,Adequacy!$A15,'Data(perSeason,perCrop)'!$O:$O,1,'Data(perSeason,perCrop)'!$C:$C,Adequacy!L$2,'Data(perSeason,perCrop)'!$R:$R,"IRRIGATED"),"")</f>
        <v/>
      </c>
      <c r="M15" s="62" t="str">
        <f>IF(M5&gt;0,1-AVERAGEIFS('Data(perSeason,perCrop)'!$E:$E,'Data(perSeason,perCrop)'!$S:$S,Adequacy!$A15,'Data(perSeason,perCrop)'!$O:$O,1,'Data(perSeason,perCrop)'!$C:$C,Adequacy!M$2,'Data(perSeason,perCrop)'!$R:$R,"IRRIGATED")/AVERAGEIFS('Data(perSeason,perCrop)'!$F:$F,'Data(perSeason,perCrop)'!$S:$S,Adequacy!$A15,'Data(perSeason,perCrop)'!$O:$O,1,'Data(perSeason,perCrop)'!$C:$C,Adequacy!M$2,'Data(perSeason,perCrop)'!$R:$R,"IRRIGATED"),"")</f>
        <v/>
      </c>
      <c r="N15" s="62" t="str">
        <f>IF(N5&gt;0,1-AVERAGEIFS('Data(perSeason,perCrop)'!$E:$E,'Data(perSeason,perCrop)'!$S:$S,Adequacy!$A15,'Data(perSeason,perCrop)'!$O:$O,1,'Data(perSeason,perCrop)'!$C:$C,Adequacy!N$2,'Data(perSeason,perCrop)'!$R:$R,"IRRIGATED")/AVERAGEIFS('Data(perSeason,perCrop)'!$F:$F,'Data(perSeason,perCrop)'!$S:$S,Adequacy!$A15,'Data(perSeason,perCrop)'!$O:$O,1,'Data(perSeason,perCrop)'!$C:$C,Adequacy!N$2,'Data(perSeason,perCrop)'!$R:$R,"IRRIGATED"),"")</f>
        <v/>
      </c>
      <c r="O15" s="62">
        <f>IF(O5&gt;0,1-AVERAGEIFS('Data(perSeason,perCrop)'!$E:$E,'Data(perSeason,perCrop)'!$S:$S,Adequacy!$A15,'Data(perSeason,perCrop)'!$O:$O,1,'Data(perSeason,perCrop)'!$C:$C,Adequacy!O$2,'Data(perSeason,perCrop)'!$R:$R,"IRRIGATED")/AVERAGEIFS('Data(perSeason,perCrop)'!$F:$F,'Data(perSeason,perCrop)'!$S:$S,Adequacy!$A15,'Data(perSeason,perCrop)'!$O:$O,1,'Data(perSeason,perCrop)'!$C:$C,Adequacy!O$2,'Data(perSeason,perCrop)'!$R:$R,"IRRIGATED"),"")</f>
        <v>0.17616580310880825</v>
      </c>
      <c r="P15" s="62">
        <f>IF(P5&gt;0,1-AVERAGEIFS('Data(perSeason,perCrop)'!$E:$E,'Data(perSeason,perCrop)'!$S:$S,Adequacy!$A15,'Data(perSeason,perCrop)'!$O:$O,1,'Data(perSeason,perCrop)'!$C:$C,Adequacy!P$2,'Data(perSeason,perCrop)'!$R:$R,"IRRIGATED")/AVERAGEIFS('Data(perSeason,perCrop)'!$F:$F,'Data(perSeason,perCrop)'!$S:$S,Adequacy!$A15,'Data(perSeason,perCrop)'!$O:$O,1,'Data(perSeason,perCrop)'!$C:$C,Adequacy!P$2,'Data(perSeason,perCrop)'!$R:$R,"IRRIGATED"),"")</f>
        <v>0.19366197183098588</v>
      </c>
      <c r="Q15" s="62" t="str">
        <f>IF(Q5&gt;0,1-AVERAGEIFS('Data(perSeason,perCrop)'!$E:$E,'Data(perSeason,perCrop)'!$S:$S,Adequacy!$A15,'Data(perSeason,perCrop)'!$O:$O,1,'Data(perSeason,perCrop)'!$C:$C,Adequacy!Q$2,'Data(perSeason,perCrop)'!$R:$R,"IRRIGATED")/AVERAGEIFS('Data(perSeason,perCrop)'!$F:$F,'Data(perSeason,perCrop)'!$S:$S,Adequacy!$A15,'Data(perSeason,perCrop)'!$O:$O,1,'Data(perSeason,perCrop)'!$C:$C,Adequacy!Q$2,'Data(perSeason,perCrop)'!$R:$R,"IRRIGATED"),"")</f>
        <v/>
      </c>
      <c r="R15" s="62">
        <f>IF(R5&gt;0,1-AVERAGEIFS('Data(perSeason,perCrop)'!$E:$E,'Data(perSeason,perCrop)'!$S:$S,Adequacy!$A15,'Data(perSeason,perCrop)'!$O:$O,1,'Data(perSeason,perCrop)'!$C:$C,Adequacy!R$2,'Data(perSeason,perCrop)'!$R:$R,"IRRIGATED")/AVERAGEIFS('Data(perSeason,perCrop)'!$F:$F,'Data(perSeason,perCrop)'!$S:$S,Adequacy!$A15,'Data(perSeason,perCrop)'!$O:$O,1,'Data(perSeason,perCrop)'!$C:$C,Adequacy!R$2,'Data(perSeason,perCrop)'!$R:$R,"IRRIGATED"),"")</f>
        <v>0.20608108108108103</v>
      </c>
      <c r="S15" s="62" t="str">
        <f>IF(S5&gt;0,1-AVERAGEIFS('Data(perSeason,perCrop)'!$E:$E,'Data(perSeason,perCrop)'!$S:$S,Adequacy!$A15,'Data(perSeason,perCrop)'!$O:$O,1,'Data(perSeason,perCrop)'!$C:$C,Adequacy!S$2,'Data(perSeason,perCrop)'!$R:$R,"IRRIGATED")/AVERAGEIFS('Data(perSeason,perCrop)'!$F:$F,'Data(perSeason,perCrop)'!$S:$S,Adequacy!$A15,'Data(perSeason,perCrop)'!$O:$O,1,'Data(perSeason,perCrop)'!$C:$C,Adequacy!S$2,'Data(perSeason,perCrop)'!$R:$R,"IRRIGATED"),"")</f>
        <v/>
      </c>
      <c r="T15" s="62" t="str">
        <f>IF(T5&gt;0,1-AVERAGEIFS('Data(perSeason,perCrop)'!$E:$E,'Data(perSeason,perCrop)'!$S:$S,Adequacy!$A15,'Data(perSeason,perCrop)'!$O:$O,1,'Data(perSeason,perCrop)'!$C:$C,Adequacy!T$2,'Data(perSeason,perCrop)'!$R:$R,"IRRIGATED")/AVERAGEIFS('Data(perSeason,perCrop)'!$F:$F,'Data(perSeason,perCrop)'!$S:$S,Adequacy!$A15,'Data(perSeason,perCrop)'!$O:$O,1,'Data(perSeason,perCrop)'!$C:$C,Adequacy!T$2,'Data(perSeason,perCrop)'!$R:$R,"IRRIGATED"),"")</f>
        <v/>
      </c>
      <c r="U15" s="62">
        <f>IF(U5&gt;0,1-AVERAGEIFS('Data(perSeason,perCrop)'!$E:$E,'Data(perSeason,perCrop)'!$S:$S,Adequacy!$A15,'Data(perSeason,perCrop)'!$O:$O,1,'Data(perSeason,perCrop)'!$C:$C,Adequacy!U$2,'Data(perSeason,perCrop)'!$R:$R,"IRRIGATED")/AVERAGEIFS('Data(perSeason,perCrop)'!$F:$F,'Data(perSeason,perCrop)'!$S:$S,Adequacy!$A15,'Data(perSeason,perCrop)'!$O:$O,1,'Data(perSeason,perCrop)'!$C:$C,Adequacy!U$2,'Data(perSeason,perCrop)'!$R:$R,"IRRIGATED"),"")</f>
        <v>0.25</v>
      </c>
      <c r="V15" s="62" t="str">
        <f>IF(V5&gt;0,1-AVERAGEIFS('Data(perSeason,perCrop)'!$E:$E,'Data(perSeason,perCrop)'!$S:$S,Adequacy!$A15,'Data(perSeason,perCrop)'!$O:$O,1,'Data(perSeason,perCrop)'!$C:$C,Adequacy!V$2,'Data(perSeason,perCrop)'!$R:$R,"IRRIGATED")/AVERAGEIFS('Data(perSeason,perCrop)'!$F:$F,'Data(perSeason,perCrop)'!$S:$S,Adequacy!$A15,'Data(perSeason,perCrop)'!$O:$O,1,'Data(perSeason,perCrop)'!$C:$C,Adequacy!V$2,'Data(perSeason,perCrop)'!$R:$R,"IRRIGATED"),"")</f>
        <v/>
      </c>
      <c r="W15" s="62" t="str">
        <f>IF(W5&gt;0,1-AVERAGEIFS('Data(perSeason,perCrop)'!$E:$E,'Data(perSeason,perCrop)'!$S:$S,Adequacy!$A15,'Data(perSeason,perCrop)'!$O:$O,1,'Data(perSeason,perCrop)'!$C:$C,Adequacy!W$2,'Data(perSeason,perCrop)'!$R:$R,"IRRIGATED")/AVERAGEIFS('Data(perSeason,perCrop)'!$F:$F,'Data(perSeason,perCrop)'!$S:$S,Adequacy!$A15,'Data(perSeason,perCrop)'!$O:$O,1,'Data(perSeason,perCrop)'!$C:$C,Adequacy!W$2,'Data(perSeason,perCrop)'!$R:$R,"IRRIGATED"),"")</f>
        <v/>
      </c>
      <c r="X15" s="62" t="str">
        <f>IF(X5&gt;0,1-AVERAGEIFS('Data(perSeason,perCrop)'!$E:$E,'Data(perSeason,perCrop)'!$S:$S,Adequacy!$A15,'Data(perSeason,perCrop)'!$O:$O,1,'Data(perSeason,perCrop)'!$C:$C,Adequacy!X$2,'Data(perSeason,perCrop)'!$R:$R,"IRRIGATED")/AVERAGEIFS('Data(perSeason,perCrop)'!$F:$F,'Data(perSeason,perCrop)'!$S:$S,Adequacy!$A15,'Data(perSeason,perCrop)'!$O:$O,1,'Data(perSeason,perCrop)'!$C:$C,Adequacy!X$2,'Data(perSeason,perCrop)'!$R:$R,"IRRIGATED"),"")</f>
        <v/>
      </c>
      <c r="Y15" s="62" t="str">
        <f>IF(Y5&gt;0,1-AVERAGEIFS('Data(perSeason,perCrop)'!$E:$E,'Data(perSeason,perCrop)'!$S:$S,Adequacy!$A15,'Data(perSeason,perCrop)'!$O:$O,1,'Data(perSeason,perCrop)'!$C:$C,Adequacy!Y$2,'Data(perSeason,perCrop)'!$R:$R,"IRRIGATED")/AVERAGEIFS('Data(perSeason,perCrop)'!$F:$F,'Data(perSeason,perCrop)'!$S:$S,Adequacy!$A15,'Data(perSeason,perCrop)'!$O:$O,1,'Data(perSeason,perCrop)'!$C:$C,Adequacy!Y$2,'Data(perSeason,perCrop)'!$R:$R,"IRRIGATED"),"")</f>
        <v/>
      </c>
      <c r="Z15" s="62" t="str">
        <f>IF(Z5&gt;0,1-AVERAGEIFS('Data(perSeason,perCrop)'!$E:$E,'Data(perSeason,perCrop)'!$S:$S,Adequacy!$A15,'Data(perSeason,perCrop)'!$O:$O,1,'Data(perSeason,perCrop)'!$C:$C,Adequacy!Z$2,'Data(perSeason,perCrop)'!$R:$R,"IRRIGATED")/AVERAGEIFS('Data(perSeason,perCrop)'!$F:$F,'Data(perSeason,perCrop)'!$S:$S,Adequacy!$A15,'Data(perSeason,perCrop)'!$O:$O,1,'Data(perSeason,perCrop)'!$C:$C,Adequacy!Z$2,'Data(perSeason,perCrop)'!$R:$R,"IRRIGATED"),"")</f>
        <v/>
      </c>
      <c r="AA15" s="62" t="str">
        <f>IF(AA5&gt;0,1-AVERAGEIFS('Data(perSeason,perCrop)'!$E:$E,'Data(perSeason,perCrop)'!$S:$S,Adequacy!$A15,'Data(perSeason,perCrop)'!$O:$O,1,'Data(perSeason,perCrop)'!$C:$C,Adequacy!AA$2,'Data(perSeason,perCrop)'!$R:$R,"IRRIGATED")/AVERAGEIFS('Data(perSeason,perCrop)'!$F:$F,'Data(perSeason,perCrop)'!$S:$S,Adequacy!$A15,'Data(perSeason,perCrop)'!$O:$O,1,'Data(perSeason,perCrop)'!$C:$C,Adequacy!AA$2,'Data(perSeason,perCrop)'!$R:$R,"IRRIGATED"),"")</f>
        <v/>
      </c>
      <c r="AB15" s="62" t="str">
        <f>IF(AB5&gt;0,1-AVERAGEIFS('Data(perSeason,perCrop)'!$E:$E,'Data(perSeason,perCrop)'!$S:$S,Adequacy!$A15,'Data(perSeason,perCrop)'!$O:$O,1,'Data(perSeason,perCrop)'!$C:$C,Adequacy!AB$2,'Data(perSeason,perCrop)'!$R:$R,"IRRIGATED")/AVERAGEIFS('Data(perSeason,perCrop)'!$F:$F,'Data(perSeason,perCrop)'!$S:$S,Adequacy!$A15,'Data(perSeason,perCrop)'!$O:$O,1,'Data(perSeason,perCrop)'!$C:$C,Adequacy!AB$2,'Data(perSeason,perCrop)'!$R:$R,"IRRIGATED"),"")</f>
        <v/>
      </c>
      <c r="AC15" s="62" t="str">
        <f>IF(AC5&gt;0,1-AVERAGEIFS('Data(perSeason,perCrop)'!$E:$E,'Data(perSeason,perCrop)'!$S:$S,Adequacy!$A15,'Data(perSeason,perCrop)'!$O:$O,1,'Data(perSeason,perCrop)'!$C:$C,Adequacy!AC$2,'Data(perSeason,perCrop)'!$R:$R,"IRRIGATED")/AVERAGEIFS('Data(perSeason,perCrop)'!$F:$F,'Data(perSeason,perCrop)'!$S:$S,Adequacy!$A15,'Data(perSeason,perCrop)'!$O:$O,1,'Data(perSeason,perCrop)'!$C:$C,Adequacy!AC$2,'Data(perSeason,perCrop)'!$R:$R,"IRRIGATED"),"")</f>
        <v/>
      </c>
      <c r="AD15" s="62" t="str">
        <f>IF(AD5&gt;0,1-AVERAGEIFS('Data(perSeason,perCrop)'!$E:$E,'Data(perSeason,perCrop)'!$S:$S,Adequacy!$A15,'Data(perSeason,perCrop)'!$O:$O,1,'Data(perSeason,perCrop)'!$C:$C,Adequacy!AD$2,'Data(perSeason,perCrop)'!$R:$R,"IRRIGATED")/AVERAGEIFS('Data(perSeason,perCrop)'!$F:$F,'Data(perSeason,perCrop)'!$S:$S,Adequacy!$A15,'Data(perSeason,perCrop)'!$O:$O,1,'Data(perSeason,perCrop)'!$C:$C,Adequacy!AD$2,'Data(perSeason,perCrop)'!$R:$R,"IRRIGATED"),"")</f>
        <v/>
      </c>
      <c r="AE15" s="62" t="str">
        <f>IF(AE5&gt;0,1-AVERAGEIFS('Data(perSeason,perCrop)'!$E:$E,'Data(perSeason,perCrop)'!$S:$S,Adequacy!$A15,'Data(perSeason,perCrop)'!$O:$O,1,'Data(perSeason,perCrop)'!$C:$C,Adequacy!AE$2,'Data(perSeason,perCrop)'!$R:$R,"IRRIGATED")/AVERAGEIFS('Data(perSeason,perCrop)'!$F:$F,'Data(perSeason,perCrop)'!$S:$S,Adequacy!$A15,'Data(perSeason,perCrop)'!$O:$O,1,'Data(perSeason,perCrop)'!$C:$C,Adequacy!AE$2,'Data(perSeason,perCrop)'!$R:$R,"IRRIGATED"),"")</f>
        <v/>
      </c>
      <c r="AF15" s="62" t="str">
        <f>IF(AF5&gt;0,1-AVERAGEIFS('Data(perSeason,perCrop)'!$E:$E,'Data(perSeason,perCrop)'!$S:$S,Adequacy!$A15,'Data(perSeason,perCrop)'!$O:$O,1,'Data(perSeason,perCrop)'!$C:$C,Adequacy!AF$2,'Data(perSeason,perCrop)'!$R:$R,"IRRIGATED")/AVERAGEIFS('Data(perSeason,perCrop)'!$F:$F,'Data(perSeason,perCrop)'!$S:$S,Adequacy!$A15,'Data(perSeason,perCrop)'!$O:$O,1,'Data(perSeason,perCrop)'!$C:$C,Adequacy!AF$2,'Data(perSeason,perCrop)'!$R:$R,"IRRIGATED"),"")</f>
        <v/>
      </c>
    </row>
    <row r="16" spans="1:32" ht="18.75" x14ac:dyDescent="0.3">
      <c r="A16" s="42">
        <v>2020</v>
      </c>
      <c r="B16" s="62" t="str">
        <f>IF(B6&gt;0,1-AVERAGEIFS('Data(perSeason,perCrop)'!$E:$E,'Data(perSeason,perCrop)'!$S:$S,Adequacy!$A16,'Data(perSeason,perCrop)'!$O:$O,1,'Data(perSeason,perCrop)'!$C:$C,Adequacy!B$2,'Data(perSeason,perCrop)'!$R:$R,"IRRIGATED")/AVERAGEIFS('Data(perSeason,perCrop)'!$F:$F,'Data(perSeason,perCrop)'!$S:$S,Adequacy!$A16,'Data(perSeason,perCrop)'!$O:$O,1,'Data(perSeason,perCrop)'!$C:$C,Adequacy!B$2,'Data(perSeason,perCrop)'!$R:$R,"IRRIGATED"),"")</f>
        <v/>
      </c>
      <c r="C16" s="62">
        <f>IF(C6&gt;0,1-AVERAGEIFS('Data(perSeason,perCrop)'!$E:$E,'Data(perSeason,perCrop)'!$S:$S,Adequacy!$A16,'Data(perSeason,perCrop)'!$O:$O,1,'Data(perSeason,perCrop)'!$C:$C,Adequacy!C$2,'Data(perSeason,perCrop)'!$R:$R,"IRRIGATED")/AVERAGEIFS('Data(perSeason,perCrop)'!$F:$F,'Data(perSeason,perCrop)'!$S:$S,Adequacy!$A16,'Data(perSeason,perCrop)'!$O:$O,1,'Data(perSeason,perCrop)'!$C:$C,Adequacy!C$2,'Data(perSeason,perCrop)'!$R:$R,"IRRIGATED"),"")</f>
        <v>0.21739130434782605</v>
      </c>
      <c r="D16" s="62" t="str">
        <f>IF(D6&gt;0,1-AVERAGEIFS('Data(perSeason,perCrop)'!$E:$E,'Data(perSeason,perCrop)'!$S:$S,Adequacy!$A16,'Data(perSeason,perCrop)'!$O:$O,1,'Data(perSeason,perCrop)'!$C:$C,Adequacy!D$2,'Data(perSeason,perCrop)'!$R:$R,"IRRIGATED")/AVERAGEIFS('Data(perSeason,perCrop)'!$F:$F,'Data(perSeason,perCrop)'!$S:$S,Adequacy!$A16,'Data(perSeason,perCrop)'!$O:$O,1,'Data(perSeason,perCrop)'!$C:$C,Adequacy!D$2,'Data(perSeason,perCrop)'!$R:$R,"IRRIGATED"),"")</f>
        <v/>
      </c>
      <c r="E16" s="62" t="str">
        <f>IF(E6&gt;0,1-AVERAGEIFS('Data(perSeason,perCrop)'!$E:$E,'Data(perSeason,perCrop)'!$S:$S,Adequacy!$A16,'Data(perSeason,perCrop)'!$O:$O,1,'Data(perSeason,perCrop)'!$C:$C,Adequacy!E$2,'Data(perSeason,perCrop)'!$R:$R,"IRRIGATED")/AVERAGEIFS('Data(perSeason,perCrop)'!$F:$F,'Data(perSeason,perCrop)'!$S:$S,Adequacy!$A16,'Data(perSeason,perCrop)'!$O:$O,1,'Data(perSeason,perCrop)'!$C:$C,Adequacy!E$2,'Data(perSeason,perCrop)'!$R:$R,"IRRIGATED"),"")</f>
        <v/>
      </c>
      <c r="F16" s="62" t="str">
        <f>IF(F6&gt;0,1-AVERAGEIFS('Data(perSeason,perCrop)'!$E:$E,'Data(perSeason,perCrop)'!$S:$S,Adequacy!$A16,'Data(perSeason,perCrop)'!$O:$O,1,'Data(perSeason,perCrop)'!$C:$C,Adequacy!F$2,'Data(perSeason,perCrop)'!$R:$R,"IRRIGATED")/AVERAGEIFS('Data(perSeason,perCrop)'!$F:$F,'Data(perSeason,perCrop)'!$S:$S,Adequacy!$A16,'Data(perSeason,perCrop)'!$O:$O,1,'Data(perSeason,perCrop)'!$C:$C,Adequacy!F$2,'Data(perSeason,perCrop)'!$R:$R,"IRRIGATED"),"")</f>
        <v/>
      </c>
      <c r="G16" s="62" t="str">
        <f>IF(G6&gt;0,1-AVERAGEIFS('Data(perSeason,perCrop)'!$E:$E,'Data(perSeason,perCrop)'!$S:$S,Adequacy!$A16,'Data(perSeason,perCrop)'!$O:$O,1,'Data(perSeason,perCrop)'!$C:$C,Adequacy!G$2,'Data(perSeason,perCrop)'!$R:$R,"IRRIGATED")/AVERAGEIFS('Data(perSeason,perCrop)'!$F:$F,'Data(perSeason,perCrop)'!$S:$S,Adequacy!$A16,'Data(perSeason,perCrop)'!$O:$O,1,'Data(perSeason,perCrop)'!$C:$C,Adequacy!G$2,'Data(perSeason,perCrop)'!$R:$R,"IRRIGATED"),"")</f>
        <v/>
      </c>
      <c r="H16" s="62" t="str">
        <f>IF(H6&gt;0,1-AVERAGEIFS('Data(perSeason,perCrop)'!$E:$E,'Data(perSeason,perCrop)'!$S:$S,Adequacy!$A16,'Data(perSeason,perCrop)'!$O:$O,1,'Data(perSeason,perCrop)'!$C:$C,Adequacy!H$2,'Data(perSeason,perCrop)'!$R:$R,"IRRIGATED")/AVERAGEIFS('Data(perSeason,perCrop)'!$F:$F,'Data(perSeason,perCrop)'!$S:$S,Adequacy!$A16,'Data(perSeason,perCrop)'!$O:$O,1,'Data(perSeason,perCrop)'!$C:$C,Adequacy!H$2,'Data(perSeason,perCrop)'!$R:$R,"IRRIGATED"),"")</f>
        <v/>
      </c>
      <c r="I16" s="62" t="str">
        <f>IF(I6&gt;0,1-AVERAGEIFS('Data(perSeason,perCrop)'!$E:$E,'Data(perSeason,perCrop)'!$S:$S,Adequacy!$A16,'Data(perSeason,perCrop)'!$O:$O,1,'Data(perSeason,perCrop)'!$C:$C,Adequacy!I$2,'Data(perSeason,perCrop)'!$R:$R,"IRRIGATED")/AVERAGEIFS('Data(perSeason,perCrop)'!$F:$F,'Data(perSeason,perCrop)'!$S:$S,Adequacy!$A16,'Data(perSeason,perCrop)'!$O:$O,1,'Data(perSeason,perCrop)'!$C:$C,Adequacy!I$2,'Data(perSeason,perCrop)'!$R:$R,"IRRIGATED"),"")</f>
        <v/>
      </c>
      <c r="J16" s="62" t="str">
        <f>IF(J6&gt;0,1-AVERAGEIFS('Data(perSeason,perCrop)'!$E:$E,'Data(perSeason,perCrop)'!$S:$S,Adequacy!$A16,'Data(perSeason,perCrop)'!$O:$O,1,'Data(perSeason,perCrop)'!$C:$C,Adequacy!J$2,'Data(perSeason,perCrop)'!$R:$R,"IRRIGATED")/AVERAGEIFS('Data(perSeason,perCrop)'!$F:$F,'Data(perSeason,perCrop)'!$S:$S,Adequacy!$A16,'Data(perSeason,perCrop)'!$O:$O,1,'Data(perSeason,perCrop)'!$C:$C,Adequacy!J$2,'Data(perSeason,perCrop)'!$R:$R,"IRRIGATED"),"")</f>
        <v/>
      </c>
      <c r="K16" s="62" t="str">
        <f>IF(K6&gt;0,1-AVERAGEIFS('Data(perSeason,perCrop)'!$E:$E,'Data(perSeason,perCrop)'!$S:$S,Adequacy!$A16,'Data(perSeason,perCrop)'!$O:$O,1,'Data(perSeason,perCrop)'!$C:$C,Adequacy!K$2,'Data(perSeason,perCrop)'!$R:$R,"IRRIGATED")/AVERAGEIFS('Data(perSeason,perCrop)'!$F:$F,'Data(perSeason,perCrop)'!$S:$S,Adequacy!$A16,'Data(perSeason,perCrop)'!$O:$O,1,'Data(perSeason,perCrop)'!$C:$C,Adequacy!K$2,'Data(perSeason,perCrop)'!$R:$R,"IRRIGATED"),"")</f>
        <v/>
      </c>
      <c r="L16" s="62" t="str">
        <f>IF(L6&gt;0,1-AVERAGEIFS('Data(perSeason,perCrop)'!$E:$E,'Data(perSeason,perCrop)'!$S:$S,Adequacy!$A16,'Data(perSeason,perCrop)'!$O:$O,1,'Data(perSeason,perCrop)'!$C:$C,Adequacy!L$2,'Data(perSeason,perCrop)'!$R:$R,"IRRIGATED")/AVERAGEIFS('Data(perSeason,perCrop)'!$F:$F,'Data(perSeason,perCrop)'!$S:$S,Adequacy!$A16,'Data(perSeason,perCrop)'!$O:$O,1,'Data(perSeason,perCrop)'!$C:$C,Adequacy!L$2,'Data(perSeason,perCrop)'!$R:$R,"IRRIGATED"),"")</f>
        <v/>
      </c>
      <c r="M16" s="62" t="str">
        <f>IF(M6&gt;0,1-AVERAGEIFS('Data(perSeason,perCrop)'!$E:$E,'Data(perSeason,perCrop)'!$S:$S,Adequacy!$A16,'Data(perSeason,perCrop)'!$O:$O,1,'Data(perSeason,perCrop)'!$C:$C,Adequacy!M$2,'Data(perSeason,perCrop)'!$R:$R,"IRRIGATED")/AVERAGEIFS('Data(perSeason,perCrop)'!$F:$F,'Data(perSeason,perCrop)'!$S:$S,Adequacy!$A16,'Data(perSeason,perCrop)'!$O:$O,1,'Data(perSeason,perCrop)'!$C:$C,Adequacy!M$2,'Data(perSeason,perCrop)'!$R:$R,"IRRIGATED"),"")</f>
        <v/>
      </c>
      <c r="N16" s="62" t="str">
        <f>IF(N6&gt;0,1-AVERAGEIFS('Data(perSeason,perCrop)'!$E:$E,'Data(perSeason,perCrop)'!$S:$S,Adequacy!$A16,'Data(perSeason,perCrop)'!$O:$O,1,'Data(perSeason,perCrop)'!$C:$C,Adequacy!N$2,'Data(perSeason,perCrop)'!$R:$R,"IRRIGATED")/AVERAGEIFS('Data(perSeason,perCrop)'!$F:$F,'Data(perSeason,perCrop)'!$S:$S,Adequacy!$A16,'Data(perSeason,perCrop)'!$O:$O,1,'Data(perSeason,perCrop)'!$C:$C,Adequacy!N$2,'Data(perSeason,perCrop)'!$R:$R,"IRRIGATED"),"")</f>
        <v/>
      </c>
      <c r="O16" s="62">
        <f>IF(O6&gt;0,1-AVERAGEIFS('Data(perSeason,perCrop)'!$E:$E,'Data(perSeason,perCrop)'!$S:$S,Adequacy!$A16,'Data(perSeason,perCrop)'!$O:$O,1,'Data(perSeason,perCrop)'!$C:$C,Adequacy!O$2,'Data(perSeason,perCrop)'!$R:$R,"IRRIGATED")/AVERAGEIFS('Data(perSeason,perCrop)'!$F:$F,'Data(perSeason,perCrop)'!$S:$S,Adequacy!$A16,'Data(perSeason,perCrop)'!$O:$O,1,'Data(perSeason,perCrop)'!$C:$C,Adequacy!O$2,'Data(perSeason,perCrop)'!$R:$R,"IRRIGATED"),"")</f>
        <v>6.6666666666666652E-2</v>
      </c>
      <c r="P16" s="62">
        <f>IF(P6&gt;0,1-AVERAGEIFS('Data(perSeason,perCrop)'!$E:$E,'Data(perSeason,perCrop)'!$S:$S,Adequacy!$A16,'Data(perSeason,perCrop)'!$O:$O,1,'Data(perSeason,perCrop)'!$C:$C,Adequacy!P$2,'Data(perSeason,perCrop)'!$R:$R,"IRRIGATED")/AVERAGEIFS('Data(perSeason,perCrop)'!$F:$F,'Data(perSeason,perCrop)'!$S:$S,Adequacy!$A16,'Data(perSeason,perCrop)'!$O:$O,1,'Data(perSeason,perCrop)'!$C:$C,Adequacy!P$2,'Data(perSeason,perCrop)'!$R:$R,"IRRIGATED"),"")</f>
        <v>8.6705202312138741E-2</v>
      </c>
      <c r="Q16" s="62" t="str">
        <f>IF(Q6&gt;0,1-AVERAGEIFS('Data(perSeason,perCrop)'!$E:$E,'Data(perSeason,perCrop)'!$S:$S,Adequacy!$A16,'Data(perSeason,perCrop)'!$O:$O,1,'Data(perSeason,perCrop)'!$C:$C,Adequacy!Q$2,'Data(perSeason,perCrop)'!$R:$R,"IRRIGATED")/AVERAGEIFS('Data(perSeason,perCrop)'!$F:$F,'Data(perSeason,perCrop)'!$S:$S,Adequacy!$A16,'Data(perSeason,perCrop)'!$O:$O,1,'Data(perSeason,perCrop)'!$C:$C,Adequacy!Q$2,'Data(perSeason,perCrop)'!$R:$R,"IRRIGATED"),"")</f>
        <v/>
      </c>
      <c r="R16" s="62">
        <f>IF(R6&gt;0,1-AVERAGEIFS('Data(perSeason,perCrop)'!$E:$E,'Data(perSeason,perCrop)'!$S:$S,Adequacy!$A16,'Data(perSeason,perCrop)'!$O:$O,1,'Data(perSeason,perCrop)'!$C:$C,Adequacy!R$2,'Data(perSeason,perCrop)'!$R:$R,"IRRIGATED")/AVERAGEIFS('Data(perSeason,perCrop)'!$F:$F,'Data(perSeason,perCrop)'!$S:$S,Adequacy!$A16,'Data(perSeason,perCrop)'!$O:$O,1,'Data(perSeason,perCrop)'!$C:$C,Adequacy!R$2,'Data(perSeason,perCrop)'!$R:$R,"IRRIGATED"),"")</f>
        <v>0.1640625</v>
      </c>
      <c r="S16" s="62" t="str">
        <f>IF(S6&gt;0,1-AVERAGEIFS('Data(perSeason,perCrop)'!$E:$E,'Data(perSeason,perCrop)'!$S:$S,Adequacy!$A16,'Data(perSeason,perCrop)'!$O:$O,1,'Data(perSeason,perCrop)'!$C:$C,Adequacy!S$2,'Data(perSeason,perCrop)'!$R:$R,"IRRIGATED")/AVERAGEIFS('Data(perSeason,perCrop)'!$F:$F,'Data(perSeason,perCrop)'!$S:$S,Adequacy!$A16,'Data(perSeason,perCrop)'!$O:$O,1,'Data(perSeason,perCrop)'!$C:$C,Adequacy!S$2,'Data(perSeason,perCrop)'!$R:$R,"IRRIGATED"),"")</f>
        <v/>
      </c>
      <c r="T16" s="62" t="str">
        <f>IF(T6&gt;0,1-AVERAGEIFS('Data(perSeason,perCrop)'!$E:$E,'Data(perSeason,perCrop)'!$S:$S,Adequacy!$A16,'Data(perSeason,perCrop)'!$O:$O,1,'Data(perSeason,perCrop)'!$C:$C,Adequacy!T$2,'Data(perSeason,perCrop)'!$R:$R,"IRRIGATED")/AVERAGEIFS('Data(perSeason,perCrop)'!$F:$F,'Data(perSeason,perCrop)'!$S:$S,Adequacy!$A16,'Data(perSeason,perCrop)'!$O:$O,1,'Data(perSeason,perCrop)'!$C:$C,Adequacy!T$2,'Data(perSeason,perCrop)'!$R:$R,"IRRIGATED"),"")</f>
        <v/>
      </c>
      <c r="U16" s="62">
        <f>IF(U6&gt;0,1-AVERAGEIFS('Data(perSeason,perCrop)'!$E:$E,'Data(perSeason,perCrop)'!$S:$S,Adequacy!$A16,'Data(perSeason,perCrop)'!$O:$O,1,'Data(perSeason,perCrop)'!$C:$C,Adequacy!U$2,'Data(perSeason,perCrop)'!$R:$R,"IRRIGATED")/AVERAGEIFS('Data(perSeason,perCrop)'!$F:$F,'Data(perSeason,perCrop)'!$S:$S,Adequacy!$A16,'Data(perSeason,perCrop)'!$O:$O,1,'Data(perSeason,perCrop)'!$C:$C,Adequacy!U$2,'Data(perSeason,perCrop)'!$R:$R,"IRRIGATED"),"")</f>
        <v>0.15968586387434558</v>
      </c>
      <c r="V16" s="62" t="str">
        <f>IF(V6&gt;0,1-AVERAGEIFS('Data(perSeason,perCrop)'!$E:$E,'Data(perSeason,perCrop)'!$S:$S,Adequacy!$A16,'Data(perSeason,perCrop)'!$O:$O,1,'Data(perSeason,perCrop)'!$C:$C,Adequacy!V$2,'Data(perSeason,perCrop)'!$R:$R,"IRRIGATED")/AVERAGEIFS('Data(perSeason,perCrop)'!$F:$F,'Data(perSeason,perCrop)'!$S:$S,Adequacy!$A16,'Data(perSeason,perCrop)'!$O:$O,1,'Data(perSeason,perCrop)'!$C:$C,Adequacy!V$2,'Data(perSeason,perCrop)'!$R:$R,"IRRIGATED"),"")</f>
        <v/>
      </c>
      <c r="W16" s="62" t="str">
        <f>IF(W6&gt;0,1-AVERAGEIFS('Data(perSeason,perCrop)'!$E:$E,'Data(perSeason,perCrop)'!$S:$S,Adequacy!$A16,'Data(perSeason,perCrop)'!$O:$O,1,'Data(perSeason,perCrop)'!$C:$C,Adequacy!W$2,'Data(perSeason,perCrop)'!$R:$R,"IRRIGATED")/AVERAGEIFS('Data(perSeason,perCrop)'!$F:$F,'Data(perSeason,perCrop)'!$S:$S,Adequacy!$A16,'Data(perSeason,perCrop)'!$O:$O,1,'Data(perSeason,perCrop)'!$C:$C,Adequacy!W$2,'Data(perSeason,perCrop)'!$R:$R,"IRRIGATED"),"")</f>
        <v/>
      </c>
      <c r="X16" s="62" t="str">
        <f>IF(X6&gt;0,1-AVERAGEIFS('Data(perSeason,perCrop)'!$E:$E,'Data(perSeason,perCrop)'!$S:$S,Adequacy!$A16,'Data(perSeason,perCrop)'!$O:$O,1,'Data(perSeason,perCrop)'!$C:$C,Adequacy!X$2,'Data(perSeason,perCrop)'!$R:$R,"IRRIGATED")/AVERAGEIFS('Data(perSeason,perCrop)'!$F:$F,'Data(perSeason,perCrop)'!$S:$S,Adequacy!$A16,'Data(perSeason,perCrop)'!$O:$O,1,'Data(perSeason,perCrop)'!$C:$C,Adequacy!X$2,'Data(perSeason,perCrop)'!$R:$R,"IRRIGATED"),"")</f>
        <v/>
      </c>
      <c r="Y16" s="62" t="str">
        <f>IF(Y6&gt;0,1-AVERAGEIFS('Data(perSeason,perCrop)'!$E:$E,'Data(perSeason,perCrop)'!$S:$S,Adequacy!$A16,'Data(perSeason,perCrop)'!$O:$O,1,'Data(perSeason,perCrop)'!$C:$C,Adequacy!Y$2,'Data(perSeason,perCrop)'!$R:$R,"IRRIGATED")/AVERAGEIFS('Data(perSeason,perCrop)'!$F:$F,'Data(perSeason,perCrop)'!$S:$S,Adequacy!$A16,'Data(perSeason,perCrop)'!$O:$O,1,'Data(perSeason,perCrop)'!$C:$C,Adequacy!Y$2,'Data(perSeason,perCrop)'!$R:$R,"IRRIGATED"),"")</f>
        <v/>
      </c>
      <c r="Z16" s="62" t="str">
        <f>IF(Z6&gt;0,1-AVERAGEIFS('Data(perSeason,perCrop)'!$E:$E,'Data(perSeason,perCrop)'!$S:$S,Adequacy!$A16,'Data(perSeason,perCrop)'!$O:$O,1,'Data(perSeason,perCrop)'!$C:$C,Adequacy!Z$2,'Data(perSeason,perCrop)'!$R:$R,"IRRIGATED")/AVERAGEIFS('Data(perSeason,perCrop)'!$F:$F,'Data(perSeason,perCrop)'!$S:$S,Adequacy!$A16,'Data(perSeason,perCrop)'!$O:$O,1,'Data(perSeason,perCrop)'!$C:$C,Adequacy!Z$2,'Data(perSeason,perCrop)'!$R:$R,"IRRIGATED"),"")</f>
        <v/>
      </c>
      <c r="AA16" s="62" t="str">
        <f>IF(AA6&gt;0,1-AVERAGEIFS('Data(perSeason,perCrop)'!$E:$E,'Data(perSeason,perCrop)'!$S:$S,Adequacy!$A16,'Data(perSeason,perCrop)'!$O:$O,1,'Data(perSeason,perCrop)'!$C:$C,Adequacy!AA$2,'Data(perSeason,perCrop)'!$R:$R,"IRRIGATED")/AVERAGEIFS('Data(perSeason,perCrop)'!$F:$F,'Data(perSeason,perCrop)'!$S:$S,Adequacy!$A16,'Data(perSeason,perCrop)'!$O:$O,1,'Data(perSeason,perCrop)'!$C:$C,Adequacy!AA$2,'Data(perSeason,perCrop)'!$R:$R,"IRRIGATED"),"")</f>
        <v/>
      </c>
      <c r="AB16" s="62" t="str">
        <f>IF(AB6&gt;0,1-AVERAGEIFS('Data(perSeason,perCrop)'!$E:$E,'Data(perSeason,perCrop)'!$S:$S,Adequacy!$A16,'Data(perSeason,perCrop)'!$O:$O,1,'Data(perSeason,perCrop)'!$C:$C,Adequacy!AB$2,'Data(perSeason,perCrop)'!$R:$R,"IRRIGATED")/AVERAGEIFS('Data(perSeason,perCrop)'!$F:$F,'Data(perSeason,perCrop)'!$S:$S,Adequacy!$A16,'Data(perSeason,perCrop)'!$O:$O,1,'Data(perSeason,perCrop)'!$C:$C,Adequacy!AB$2,'Data(perSeason,perCrop)'!$R:$R,"IRRIGATED"),"")</f>
        <v/>
      </c>
      <c r="AC16" s="62" t="str">
        <f>IF(AC6&gt;0,1-AVERAGEIFS('Data(perSeason,perCrop)'!$E:$E,'Data(perSeason,perCrop)'!$S:$S,Adequacy!$A16,'Data(perSeason,perCrop)'!$O:$O,1,'Data(perSeason,perCrop)'!$C:$C,Adequacy!AC$2,'Data(perSeason,perCrop)'!$R:$R,"IRRIGATED")/AVERAGEIFS('Data(perSeason,perCrop)'!$F:$F,'Data(perSeason,perCrop)'!$S:$S,Adequacy!$A16,'Data(perSeason,perCrop)'!$O:$O,1,'Data(perSeason,perCrop)'!$C:$C,Adequacy!AC$2,'Data(perSeason,perCrop)'!$R:$R,"IRRIGATED"),"")</f>
        <v/>
      </c>
      <c r="AD16" s="62" t="str">
        <f>IF(AD6&gt;0,1-AVERAGEIFS('Data(perSeason,perCrop)'!$E:$E,'Data(perSeason,perCrop)'!$S:$S,Adequacy!$A16,'Data(perSeason,perCrop)'!$O:$O,1,'Data(perSeason,perCrop)'!$C:$C,Adequacy!AD$2,'Data(perSeason,perCrop)'!$R:$R,"IRRIGATED")/AVERAGEIFS('Data(perSeason,perCrop)'!$F:$F,'Data(perSeason,perCrop)'!$S:$S,Adequacy!$A16,'Data(perSeason,perCrop)'!$O:$O,1,'Data(perSeason,perCrop)'!$C:$C,Adequacy!AD$2,'Data(perSeason,perCrop)'!$R:$R,"IRRIGATED"),"")</f>
        <v/>
      </c>
      <c r="AE16" s="62" t="str">
        <f>IF(AE6&gt;0,1-AVERAGEIFS('Data(perSeason,perCrop)'!$E:$E,'Data(perSeason,perCrop)'!$S:$S,Adequacy!$A16,'Data(perSeason,perCrop)'!$O:$O,1,'Data(perSeason,perCrop)'!$C:$C,Adequacy!AE$2,'Data(perSeason,perCrop)'!$R:$R,"IRRIGATED")/AVERAGEIFS('Data(perSeason,perCrop)'!$F:$F,'Data(perSeason,perCrop)'!$S:$S,Adequacy!$A16,'Data(perSeason,perCrop)'!$O:$O,1,'Data(perSeason,perCrop)'!$C:$C,Adequacy!AE$2,'Data(perSeason,perCrop)'!$R:$R,"IRRIGATED"),"")</f>
        <v/>
      </c>
      <c r="AF16" s="62" t="str">
        <f>IF(AF6&gt;0,1-AVERAGEIFS('Data(perSeason,perCrop)'!$E:$E,'Data(perSeason,perCrop)'!$S:$S,Adequacy!$A16,'Data(perSeason,perCrop)'!$O:$O,1,'Data(perSeason,perCrop)'!$C:$C,Adequacy!AF$2,'Data(perSeason,perCrop)'!$R:$R,"IRRIGATED")/AVERAGEIFS('Data(perSeason,perCrop)'!$F:$F,'Data(perSeason,perCrop)'!$S:$S,Adequacy!$A16,'Data(perSeason,perCrop)'!$O:$O,1,'Data(perSeason,perCrop)'!$C:$C,Adequacy!AF$2,'Data(perSeason,perCrop)'!$R:$R,"IRRIGATED"),"")</f>
        <v/>
      </c>
    </row>
    <row r="17" spans="1:32" ht="18.75" x14ac:dyDescent="0.3">
      <c r="A17" s="42">
        <v>2021</v>
      </c>
      <c r="B17" s="62" t="str">
        <f>IF(B7&gt;0,1-AVERAGEIFS('Data(perSeason,perCrop)'!$E:$E,'Data(perSeason,perCrop)'!$S:$S,Adequacy!$A17,'Data(perSeason,perCrop)'!$O:$O,1,'Data(perSeason,perCrop)'!$C:$C,Adequacy!B$2,'Data(perSeason,perCrop)'!$R:$R,"IRRIGATED")/AVERAGEIFS('Data(perSeason,perCrop)'!$F:$F,'Data(perSeason,perCrop)'!$S:$S,Adequacy!$A17,'Data(perSeason,perCrop)'!$O:$O,1,'Data(perSeason,perCrop)'!$C:$C,Adequacy!B$2,'Data(perSeason,perCrop)'!$R:$R,"IRRIGATED"),"")</f>
        <v/>
      </c>
      <c r="C17" s="62">
        <f>IF(C7&gt;0,1-AVERAGEIFS('Data(perSeason,perCrop)'!$E:$E,'Data(perSeason,perCrop)'!$S:$S,Adequacy!$A17,'Data(perSeason,perCrop)'!$O:$O,1,'Data(perSeason,perCrop)'!$C:$C,Adequacy!C$2,'Data(perSeason,perCrop)'!$R:$R,"IRRIGATED")/AVERAGEIFS('Data(perSeason,perCrop)'!$F:$F,'Data(perSeason,perCrop)'!$S:$S,Adequacy!$A17,'Data(perSeason,perCrop)'!$O:$O,1,'Data(perSeason,perCrop)'!$C:$C,Adequacy!C$2,'Data(perSeason,perCrop)'!$R:$R,"IRRIGATED"),"")</f>
        <v>0.23943661971830987</v>
      </c>
      <c r="D17" s="62" t="str">
        <f>IF(D7&gt;0,1-AVERAGEIFS('Data(perSeason,perCrop)'!$E:$E,'Data(perSeason,perCrop)'!$S:$S,Adequacy!$A17,'Data(perSeason,perCrop)'!$O:$O,1,'Data(perSeason,perCrop)'!$C:$C,Adequacy!D$2,'Data(perSeason,perCrop)'!$R:$R,"IRRIGATED")/AVERAGEIFS('Data(perSeason,perCrop)'!$F:$F,'Data(perSeason,perCrop)'!$S:$S,Adequacy!$A17,'Data(perSeason,perCrop)'!$O:$O,1,'Data(perSeason,perCrop)'!$C:$C,Adequacy!D$2,'Data(perSeason,perCrop)'!$R:$R,"IRRIGATED"),"")</f>
        <v/>
      </c>
      <c r="E17" s="62" t="str">
        <f>IF(E7&gt;0,1-AVERAGEIFS('Data(perSeason,perCrop)'!$E:$E,'Data(perSeason,perCrop)'!$S:$S,Adequacy!$A17,'Data(perSeason,perCrop)'!$O:$O,1,'Data(perSeason,perCrop)'!$C:$C,Adequacy!E$2,'Data(perSeason,perCrop)'!$R:$R,"IRRIGATED")/AVERAGEIFS('Data(perSeason,perCrop)'!$F:$F,'Data(perSeason,perCrop)'!$S:$S,Adequacy!$A17,'Data(perSeason,perCrop)'!$O:$O,1,'Data(perSeason,perCrop)'!$C:$C,Adequacy!E$2,'Data(perSeason,perCrop)'!$R:$R,"IRRIGATED"),"")</f>
        <v/>
      </c>
      <c r="F17" s="62" t="str">
        <f>IF(F7&gt;0,1-AVERAGEIFS('Data(perSeason,perCrop)'!$E:$E,'Data(perSeason,perCrop)'!$S:$S,Adequacy!$A17,'Data(perSeason,perCrop)'!$O:$O,1,'Data(perSeason,perCrop)'!$C:$C,Adequacy!F$2,'Data(perSeason,perCrop)'!$R:$R,"IRRIGATED")/AVERAGEIFS('Data(perSeason,perCrop)'!$F:$F,'Data(perSeason,perCrop)'!$S:$S,Adequacy!$A17,'Data(perSeason,perCrop)'!$O:$O,1,'Data(perSeason,perCrop)'!$C:$C,Adequacy!F$2,'Data(perSeason,perCrop)'!$R:$R,"IRRIGATED"),"")</f>
        <v/>
      </c>
      <c r="G17" s="62" t="str">
        <f>IF(G7&gt;0,1-AVERAGEIFS('Data(perSeason,perCrop)'!$E:$E,'Data(perSeason,perCrop)'!$S:$S,Adequacy!$A17,'Data(perSeason,perCrop)'!$O:$O,1,'Data(perSeason,perCrop)'!$C:$C,Adequacy!G$2,'Data(perSeason,perCrop)'!$R:$R,"IRRIGATED")/AVERAGEIFS('Data(perSeason,perCrop)'!$F:$F,'Data(perSeason,perCrop)'!$S:$S,Adequacy!$A17,'Data(perSeason,perCrop)'!$O:$O,1,'Data(perSeason,perCrop)'!$C:$C,Adequacy!G$2,'Data(perSeason,perCrop)'!$R:$R,"IRRIGATED"),"")</f>
        <v/>
      </c>
      <c r="H17" s="62" t="str">
        <f>IF(H7&gt;0,1-AVERAGEIFS('Data(perSeason,perCrop)'!$E:$E,'Data(perSeason,perCrop)'!$S:$S,Adequacy!$A17,'Data(perSeason,perCrop)'!$O:$O,1,'Data(perSeason,perCrop)'!$C:$C,Adequacy!H$2,'Data(perSeason,perCrop)'!$R:$R,"IRRIGATED")/AVERAGEIFS('Data(perSeason,perCrop)'!$F:$F,'Data(perSeason,perCrop)'!$S:$S,Adequacy!$A17,'Data(perSeason,perCrop)'!$O:$O,1,'Data(perSeason,perCrop)'!$C:$C,Adequacy!H$2,'Data(perSeason,perCrop)'!$R:$R,"IRRIGATED"),"")</f>
        <v/>
      </c>
      <c r="I17" s="62" t="str">
        <f>IF(I7&gt;0,1-AVERAGEIFS('Data(perSeason,perCrop)'!$E:$E,'Data(perSeason,perCrop)'!$S:$S,Adequacy!$A17,'Data(perSeason,perCrop)'!$O:$O,1,'Data(perSeason,perCrop)'!$C:$C,Adequacy!I$2,'Data(perSeason,perCrop)'!$R:$R,"IRRIGATED")/AVERAGEIFS('Data(perSeason,perCrop)'!$F:$F,'Data(perSeason,perCrop)'!$S:$S,Adequacy!$A17,'Data(perSeason,perCrop)'!$O:$O,1,'Data(perSeason,perCrop)'!$C:$C,Adequacy!I$2,'Data(perSeason,perCrop)'!$R:$R,"IRRIGATED"),"")</f>
        <v/>
      </c>
      <c r="J17" s="62" t="str">
        <f>IF(J7&gt;0,1-AVERAGEIFS('Data(perSeason,perCrop)'!$E:$E,'Data(perSeason,perCrop)'!$S:$S,Adequacy!$A17,'Data(perSeason,perCrop)'!$O:$O,1,'Data(perSeason,perCrop)'!$C:$C,Adequacy!J$2,'Data(perSeason,perCrop)'!$R:$R,"IRRIGATED")/AVERAGEIFS('Data(perSeason,perCrop)'!$F:$F,'Data(perSeason,perCrop)'!$S:$S,Adequacy!$A17,'Data(perSeason,perCrop)'!$O:$O,1,'Data(perSeason,perCrop)'!$C:$C,Adequacy!J$2,'Data(perSeason,perCrop)'!$R:$R,"IRRIGATED"),"")</f>
        <v/>
      </c>
      <c r="K17" s="62" t="str">
        <f>IF(K7&gt;0,1-AVERAGEIFS('Data(perSeason,perCrop)'!$E:$E,'Data(perSeason,perCrop)'!$S:$S,Adequacy!$A17,'Data(perSeason,perCrop)'!$O:$O,1,'Data(perSeason,perCrop)'!$C:$C,Adequacy!K$2,'Data(perSeason,perCrop)'!$R:$R,"IRRIGATED")/AVERAGEIFS('Data(perSeason,perCrop)'!$F:$F,'Data(perSeason,perCrop)'!$S:$S,Adequacy!$A17,'Data(perSeason,perCrop)'!$O:$O,1,'Data(perSeason,perCrop)'!$C:$C,Adequacy!K$2,'Data(perSeason,perCrop)'!$R:$R,"IRRIGATED"),"")</f>
        <v/>
      </c>
      <c r="L17" s="62" t="str">
        <f>IF(L7&gt;0,1-AVERAGEIFS('Data(perSeason,perCrop)'!$E:$E,'Data(perSeason,perCrop)'!$S:$S,Adequacy!$A17,'Data(perSeason,perCrop)'!$O:$O,1,'Data(perSeason,perCrop)'!$C:$C,Adequacy!L$2,'Data(perSeason,perCrop)'!$R:$R,"IRRIGATED")/AVERAGEIFS('Data(perSeason,perCrop)'!$F:$F,'Data(perSeason,perCrop)'!$S:$S,Adequacy!$A17,'Data(perSeason,perCrop)'!$O:$O,1,'Data(perSeason,perCrop)'!$C:$C,Adequacy!L$2,'Data(perSeason,perCrop)'!$R:$R,"IRRIGATED"),"")</f>
        <v/>
      </c>
      <c r="M17" s="62" t="str">
        <f>IF(M7&gt;0,1-AVERAGEIFS('Data(perSeason,perCrop)'!$E:$E,'Data(perSeason,perCrop)'!$S:$S,Adequacy!$A17,'Data(perSeason,perCrop)'!$O:$O,1,'Data(perSeason,perCrop)'!$C:$C,Adequacy!M$2,'Data(perSeason,perCrop)'!$R:$R,"IRRIGATED")/AVERAGEIFS('Data(perSeason,perCrop)'!$F:$F,'Data(perSeason,perCrop)'!$S:$S,Adequacy!$A17,'Data(perSeason,perCrop)'!$O:$O,1,'Data(perSeason,perCrop)'!$C:$C,Adequacy!M$2,'Data(perSeason,perCrop)'!$R:$R,"IRRIGATED"),"")</f>
        <v/>
      </c>
      <c r="N17" s="62" t="str">
        <f>IF(N7&gt;0,1-AVERAGEIFS('Data(perSeason,perCrop)'!$E:$E,'Data(perSeason,perCrop)'!$S:$S,Adequacy!$A17,'Data(perSeason,perCrop)'!$O:$O,1,'Data(perSeason,perCrop)'!$C:$C,Adequacy!N$2,'Data(perSeason,perCrop)'!$R:$R,"IRRIGATED")/AVERAGEIFS('Data(perSeason,perCrop)'!$F:$F,'Data(perSeason,perCrop)'!$S:$S,Adequacy!$A17,'Data(perSeason,perCrop)'!$O:$O,1,'Data(perSeason,perCrop)'!$C:$C,Adequacy!N$2,'Data(perSeason,perCrop)'!$R:$R,"IRRIGATED"),"")</f>
        <v/>
      </c>
      <c r="O17" s="62">
        <f>IF(O7&gt;0,1-AVERAGEIFS('Data(perSeason,perCrop)'!$E:$E,'Data(perSeason,perCrop)'!$S:$S,Adequacy!$A17,'Data(perSeason,perCrop)'!$O:$O,1,'Data(perSeason,perCrop)'!$C:$C,Adequacy!O$2,'Data(perSeason,perCrop)'!$R:$R,"IRRIGATED")/AVERAGEIFS('Data(perSeason,perCrop)'!$F:$F,'Data(perSeason,perCrop)'!$S:$S,Adequacy!$A17,'Data(perSeason,perCrop)'!$O:$O,1,'Data(perSeason,perCrop)'!$C:$C,Adequacy!O$2,'Data(perSeason,perCrop)'!$R:$R,"IRRIGATED"),"")</f>
        <v>0.13313609467455623</v>
      </c>
      <c r="P17" s="62">
        <f>IF(P7&gt;0,1-AVERAGEIFS('Data(perSeason,perCrop)'!$E:$E,'Data(perSeason,perCrop)'!$S:$S,Adequacy!$A17,'Data(perSeason,perCrop)'!$O:$O,1,'Data(perSeason,perCrop)'!$C:$C,Adequacy!P$2,'Data(perSeason,perCrop)'!$R:$R,"IRRIGATED")/AVERAGEIFS('Data(perSeason,perCrop)'!$F:$F,'Data(perSeason,perCrop)'!$S:$S,Adequacy!$A17,'Data(perSeason,perCrop)'!$O:$O,1,'Data(perSeason,perCrop)'!$C:$C,Adequacy!P$2,'Data(perSeason,perCrop)'!$R:$R,"IRRIGATED"),"")</f>
        <v>0.11313868613138689</v>
      </c>
      <c r="Q17" s="62" t="str">
        <f>IF(Q7&gt;0,1-AVERAGEIFS('Data(perSeason,perCrop)'!$E:$E,'Data(perSeason,perCrop)'!$S:$S,Adequacy!$A17,'Data(perSeason,perCrop)'!$O:$O,1,'Data(perSeason,perCrop)'!$C:$C,Adequacy!Q$2,'Data(perSeason,perCrop)'!$R:$R,"IRRIGATED")/AVERAGEIFS('Data(perSeason,perCrop)'!$F:$F,'Data(perSeason,perCrop)'!$S:$S,Adequacy!$A17,'Data(perSeason,perCrop)'!$O:$O,1,'Data(perSeason,perCrop)'!$C:$C,Adequacy!Q$2,'Data(perSeason,perCrop)'!$R:$R,"IRRIGATED"),"")</f>
        <v/>
      </c>
      <c r="R17" s="62">
        <f>IF(R7&gt;0,1-AVERAGEIFS('Data(perSeason,perCrop)'!$E:$E,'Data(perSeason,perCrop)'!$S:$S,Adequacy!$A17,'Data(perSeason,perCrop)'!$O:$O,1,'Data(perSeason,perCrop)'!$C:$C,Adequacy!R$2,'Data(perSeason,perCrop)'!$R:$R,"IRRIGATED")/AVERAGEIFS('Data(perSeason,perCrop)'!$F:$F,'Data(perSeason,perCrop)'!$S:$S,Adequacy!$A17,'Data(perSeason,perCrop)'!$O:$O,1,'Data(perSeason,perCrop)'!$C:$C,Adequacy!R$2,'Data(perSeason,perCrop)'!$R:$R,"IRRIGATED"),"")</f>
        <v>0.23611111111111116</v>
      </c>
      <c r="S17" s="62" t="str">
        <f>IF(S7&gt;0,1-AVERAGEIFS('Data(perSeason,perCrop)'!$E:$E,'Data(perSeason,perCrop)'!$S:$S,Adequacy!$A17,'Data(perSeason,perCrop)'!$O:$O,1,'Data(perSeason,perCrop)'!$C:$C,Adequacy!S$2,'Data(perSeason,perCrop)'!$R:$R,"IRRIGATED")/AVERAGEIFS('Data(perSeason,perCrop)'!$F:$F,'Data(perSeason,perCrop)'!$S:$S,Adequacy!$A17,'Data(perSeason,perCrop)'!$O:$O,1,'Data(perSeason,perCrop)'!$C:$C,Adequacy!S$2,'Data(perSeason,perCrop)'!$R:$R,"IRRIGATED"),"")</f>
        <v/>
      </c>
      <c r="T17" s="62" t="str">
        <f>IF(T7&gt;0,1-AVERAGEIFS('Data(perSeason,perCrop)'!$E:$E,'Data(perSeason,perCrop)'!$S:$S,Adequacy!$A17,'Data(perSeason,perCrop)'!$O:$O,1,'Data(perSeason,perCrop)'!$C:$C,Adequacy!T$2,'Data(perSeason,perCrop)'!$R:$R,"IRRIGATED")/AVERAGEIFS('Data(perSeason,perCrop)'!$F:$F,'Data(perSeason,perCrop)'!$S:$S,Adequacy!$A17,'Data(perSeason,perCrop)'!$O:$O,1,'Data(perSeason,perCrop)'!$C:$C,Adequacy!T$2,'Data(perSeason,perCrop)'!$R:$R,"IRRIGATED"),"")</f>
        <v/>
      </c>
      <c r="U17" s="62">
        <f>IF(U7&gt;0,1-AVERAGEIFS('Data(perSeason,perCrop)'!$E:$E,'Data(perSeason,perCrop)'!$S:$S,Adequacy!$A17,'Data(perSeason,perCrop)'!$O:$O,1,'Data(perSeason,perCrop)'!$C:$C,Adequacy!U$2,'Data(perSeason,perCrop)'!$R:$R,"IRRIGATED")/AVERAGEIFS('Data(perSeason,perCrop)'!$F:$F,'Data(perSeason,perCrop)'!$S:$S,Adequacy!$A17,'Data(perSeason,perCrop)'!$O:$O,1,'Data(perSeason,perCrop)'!$C:$C,Adequacy!U$2,'Data(perSeason,perCrop)'!$R:$R,"IRRIGATED"),"")</f>
        <v>0.20886075949367089</v>
      </c>
      <c r="V17" s="62" t="str">
        <f>IF(V7&gt;0,1-AVERAGEIFS('Data(perSeason,perCrop)'!$E:$E,'Data(perSeason,perCrop)'!$S:$S,Adequacy!$A17,'Data(perSeason,perCrop)'!$O:$O,1,'Data(perSeason,perCrop)'!$C:$C,Adequacy!V$2,'Data(perSeason,perCrop)'!$R:$R,"IRRIGATED")/AVERAGEIFS('Data(perSeason,perCrop)'!$F:$F,'Data(perSeason,perCrop)'!$S:$S,Adequacy!$A17,'Data(perSeason,perCrop)'!$O:$O,1,'Data(perSeason,perCrop)'!$C:$C,Adequacy!V$2,'Data(perSeason,perCrop)'!$R:$R,"IRRIGATED"),"")</f>
        <v/>
      </c>
      <c r="W17" s="62" t="str">
        <f>IF(W7&gt;0,1-AVERAGEIFS('Data(perSeason,perCrop)'!$E:$E,'Data(perSeason,perCrop)'!$S:$S,Adequacy!$A17,'Data(perSeason,perCrop)'!$O:$O,1,'Data(perSeason,perCrop)'!$C:$C,Adequacy!W$2,'Data(perSeason,perCrop)'!$R:$R,"IRRIGATED")/AVERAGEIFS('Data(perSeason,perCrop)'!$F:$F,'Data(perSeason,perCrop)'!$S:$S,Adequacy!$A17,'Data(perSeason,perCrop)'!$O:$O,1,'Data(perSeason,perCrop)'!$C:$C,Adequacy!W$2,'Data(perSeason,perCrop)'!$R:$R,"IRRIGATED"),"")</f>
        <v/>
      </c>
      <c r="X17" s="62" t="str">
        <f>IF(X7&gt;0,1-AVERAGEIFS('Data(perSeason,perCrop)'!$E:$E,'Data(perSeason,perCrop)'!$S:$S,Adequacy!$A17,'Data(perSeason,perCrop)'!$O:$O,1,'Data(perSeason,perCrop)'!$C:$C,Adequacy!X$2,'Data(perSeason,perCrop)'!$R:$R,"IRRIGATED")/AVERAGEIFS('Data(perSeason,perCrop)'!$F:$F,'Data(perSeason,perCrop)'!$S:$S,Adequacy!$A17,'Data(perSeason,perCrop)'!$O:$O,1,'Data(perSeason,perCrop)'!$C:$C,Adequacy!X$2,'Data(perSeason,perCrop)'!$R:$R,"IRRIGATED"),"")</f>
        <v/>
      </c>
      <c r="Y17" s="62" t="str">
        <f>IF(Y7&gt;0,1-AVERAGEIFS('Data(perSeason,perCrop)'!$E:$E,'Data(perSeason,perCrop)'!$S:$S,Adequacy!$A17,'Data(perSeason,perCrop)'!$O:$O,1,'Data(perSeason,perCrop)'!$C:$C,Adequacy!Y$2,'Data(perSeason,perCrop)'!$R:$R,"IRRIGATED")/AVERAGEIFS('Data(perSeason,perCrop)'!$F:$F,'Data(perSeason,perCrop)'!$S:$S,Adequacy!$A17,'Data(perSeason,perCrop)'!$O:$O,1,'Data(perSeason,perCrop)'!$C:$C,Adequacy!Y$2,'Data(perSeason,perCrop)'!$R:$R,"IRRIGATED"),"")</f>
        <v/>
      </c>
      <c r="Z17" s="62" t="str">
        <f>IF(Z7&gt;0,1-AVERAGEIFS('Data(perSeason,perCrop)'!$E:$E,'Data(perSeason,perCrop)'!$S:$S,Adequacy!$A17,'Data(perSeason,perCrop)'!$O:$O,1,'Data(perSeason,perCrop)'!$C:$C,Adequacy!Z$2,'Data(perSeason,perCrop)'!$R:$R,"IRRIGATED")/AVERAGEIFS('Data(perSeason,perCrop)'!$F:$F,'Data(perSeason,perCrop)'!$S:$S,Adequacy!$A17,'Data(perSeason,perCrop)'!$O:$O,1,'Data(perSeason,perCrop)'!$C:$C,Adequacy!Z$2,'Data(perSeason,perCrop)'!$R:$R,"IRRIGATED"),"")</f>
        <v/>
      </c>
      <c r="AA17" s="62" t="str">
        <f>IF(AA7&gt;0,1-AVERAGEIFS('Data(perSeason,perCrop)'!$E:$E,'Data(perSeason,perCrop)'!$S:$S,Adequacy!$A17,'Data(perSeason,perCrop)'!$O:$O,1,'Data(perSeason,perCrop)'!$C:$C,Adequacy!AA$2,'Data(perSeason,perCrop)'!$R:$R,"IRRIGATED")/AVERAGEIFS('Data(perSeason,perCrop)'!$F:$F,'Data(perSeason,perCrop)'!$S:$S,Adequacy!$A17,'Data(perSeason,perCrop)'!$O:$O,1,'Data(perSeason,perCrop)'!$C:$C,Adequacy!AA$2,'Data(perSeason,perCrop)'!$R:$R,"IRRIGATED"),"")</f>
        <v/>
      </c>
      <c r="AB17" s="62" t="str">
        <f>IF(AB7&gt;0,1-AVERAGEIFS('Data(perSeason,perCrop)'!$E:$E,'Data(perSeason,perCrop)'!$S:$S,Adequacy!$A17,'Data(perSeason,perCrop)'!$O:$O,1,'Data(perSeason,perCrop)'!$C:$C,Adequacy!AB$2,'Data(perSeason,perCrop)'!$R:$R,"IRRIGATED")/AVERAGEIFS('Data(perSeason,perCrop)'!$F:$F,'Data(perSeason,perCrop)'!$S:$S,Adequacy!$A17,'Data(perSeason,perCrop)'!$O:$O,1,'Data(perSeason,perCrop)'!$C:$C,Adequacy!AB$2,'Data(perSeason,perCrop)'!$R:$R,"IRRIGATED"),"")</f>
        <v/>
      </c>
      <c r="AC17" s="62" t="str">
        <f>IF(AC7&gt;0,1-AVERAGEIFS('Data(perSeason,perCrop)'!$E:$E,'Data(perSeason,perCrop)'!$S:$S,Adequacy!$A17,'Data(perSeason,perCrop)'!$O:$O,1,'Data(perSeason,perCrop)'!$C:$C,Adequacy!AC$2,'Data(perSeason,perCrop)'!$R:$R,"IRRIGATED")/AVERAGEIFS('Data(perSeason,perCrop)'!$F:$F,'Data(perSeason,perCrop)'!$S:$S,Adequacy!$A17,'Data(perSeason,perCrop)'!$O:$O,1,'Data(perSeason,perCrop)'!$C:$C,Adequacy!AC$2,'Data(perSeason,perCrop)'!$R:$R,"IRRIGATED"),"")</f>
        <v/>
      </c>
      <c r="AD17" s="62" t="str">
        <f>IF(AD7&gt;0,1-AVERAGEIFS('Data(perSeason,perCrop)'!$E:$E,'Data(perSeason,perCrop)'!$S:$S,Adequacy!$A17,'Data(perSeason,perCrop)'!$O:$O,1,'Data(perSeason,perCrop)'!$C:$C,Adequacy!AD$2,'Data(perSeason,perCrop)'!$R:$R,"IRRIGATED")/AVERAGEIFS('Data(perSeason,perCrop)'!$F:$F,'Data(perSeason,perCrop)'!$S:$S,Adequacy!$A17,'Data(perSeason,perCrop)'!$O:$O,1,'Data(perSeason,perCrop)'!$C:$C,Adequacy!AD$2,'Data(perSeason,perCrop)'!$R:$R,"IRRIGATED"),"")</f>
        <v/>
      </c>
      <c r="AE17" s="62" t="str">
        <f>IF(AE7&gt;0,1-AVERAGEIFS('Data(perSeason,perCrop)'!$E:$E,'Data(perSeason,perCrop)'!$S:$S,Adequacy!$A17,'Data(perSeason,perCrop)'!$O:$O,1,'Data(perSeason,perCrop)'!$C:$C,Adequacy!AE$2,'Data(perSeason,perCrop)'!$R:$R,"IRRIGATED")/AVERAGEIFS('Data(perSeason,perCrop)'!$F:$F,'Data(perSeason,perCrop)'!$S:$S,Adequacy!$A17,'Data(perSeason,perCrop)'!$O:$O,1,'Data(perSeason,perCrop)'!$C:$C,Adequacy!AE$2,'Data(perSeason,perCrop)'!$R:$R,"IRRIGATED"),"")</f>
        <v/>
      </c>
      <c r="AF17" s="62" t="str">
        <f>IF(AF7&gt;0,1-AVERAGEIFS('Data(perSeason,perCrop)'!$E:$E,'Data(perSeason,perCrop)'!$S:$S,Adequacy!$A17,'Data(perSeason,perCrop)'!$O:$O,1,'Data(perSeason,perCrop)'!$C:$C,Adequacy!AF$2,'Data(perSeason,perCrop)'!$R:$R,"IRRIGATED")/AVERAGEIFS('Data(perSeason,perCrop)'!$F:$F,'Data(perSeason,perCrop)'!$S:$S,Adequacy!$A17,'Data(perSeason,perCrop)'!$O:$O,1,'Data(perSeason,perCrop)'!$C:$C,Adequacy!AF$2,'Data(perSeason,perCrop)'!$R:$R,"IRRIGATED"),"")</f>
        <v/>
      </c>
    </row>
    <row r="18" spans="1:32" ht="18.75" x14ac:dyDescent="0.3">
      <c r="A18" s="42">
        <v>2022</v>
      </c>
      <c r="B18" s="62" t="str">
        <f>IF(B8&gt;0,1-AVERAGEIFS('Data(perSeason,perCrop)'!$E:$E,'Data(perSeason,perCrop)'!$S:$S,Adequacy!$A18,'Data(perSeason,perCrop)'!$O:$O,1,'Data(perSeason,perCrop)'!$C:$C,Adequacy!B$2,'Data(perSeason,perCrop)'!$R:$R,"IRRIGATED")/AVERAGEIFS('Data(perSeason,perCrop)'!$F:$F,'Data(perSeason,perCrop)'!$S:$S,Adequacy!$A18,'Data(perSeason,perCrop)'!$O:$O,1,'Data(perSeason,perCrop)'!$C:$C,Adequacy!B$2,'Data(perSeason,perCrop)'!$R:$R,"IRRIGATED"),"")</f>
        <v/>
      </c>
      <c r="C18" s="62">
        <f>IF(C8&gt;0,1-AVERAGEIFS('Data(perSeason,perCrop)'!$E:$E,'Data(perSeason,perCrop)'!$S:$S,Adequacy!$A18,'Data(perSeason,perCrop)'!$O:$O,1,'Data(perSeason,perCrop)'!$C:$C,Adequacy!C$2,'Data(perSeason,perCrop)'!$R:$R,"IRRIGATED")/AVERAGEIFS('Data(perSeason,perCrop)'!$F:$F,'Data(perSeason,perCrop)'!$S:$S,Adequacy!$A18,'Data(perSeason,perCrop)'!$O:$O,1,'Data(perSeason,perCrop)'!$C:$C,Adequacy!C$2,'Data(perSeason,perCrop)'!$R:$R,"IRRIGATED"),"")</f>
        <v>0.15878378378378377</v>
      </c>
      <c r="D18" s="62" t="str">
        <f>IF(D8&gt;0,1-AVERAGEIFS('Data(perSeason,perCrop)'!$E:$E,'Data(perSeason,perCrop)'!$S:$S,Adequacy!$A18,'Data(perSeason,perCrop)'!$O:$O,1,'Data(perSeason,perCrop)'!$C:$C,Adequacy!D$2,'Data(perSeason,perCrop)'!$R:$R,"IRRIGATED")/AVERAGEIFS('Data(perSeason,perCrop)'!$F:$F,'Data(perSeason,perCrop)'!$S:$S,Adequacy!$A18,'Data(perSeason,perCrop)'!$O:$O,1,'Data(perSeason,perCrop)'!$C:$C,Adequacy!D$2,'Data(perSeason,perCrop)'!$R:$R,"IRRIGATED"),"")</f>
        <v/>
      </c>
      <c r="E18" s="62" t="str">
        <f>IF(E8&gt;0,1-AVERAGEIFS('Data(perSeason,perCrop)'!$E:$E,'Data(perSeason,perCrop)'!$S:$S,Adequacy!$A18,'Data(perSeason,perCrop)'!$O:$O,1,'Data(perSeason,perCrop)'!$C:$C,Adequacy!E$2,'Data(perSeason,perCrop)'!$R:$R,"IRRIGATED")/AVERAGEIFS('Data(perSeason,perCrop)'!$F:$F,'Data(perSeason,perCrop)'!$S:$S,Adequacy!$A18,'Data(perSeason,perCrop)'!$O:$O,1,'Data(perSeason,perCrop)'!$C:$C,Adequacy!E$2,'Data(perSeason,perCrop)'!$R:$R,"IRRIGATED"),"")</f>
        <v/>
      </c>
      <c r="F18" s="62" t="str">
        <f>IF(F8&gt;0,1-AVERAGEIFS('Data(perSeason,perCrop)'!$E:$E,'Data(perSeason,perCrop)'!$S:$S,Adequacy!$A18,'Data(perSeason,perCrop)'!$O:$O,1,'Data(perSeason,perCrop)'!$C:$C,Adequacy!F$2,'Data(perSeason,perCrop)'!$R:$R,"IRRIGATED")/AVERAGEIFS('Data(perSeason,perCrop)'!$F:$F,'Data(perSeason,perCrop)'!$S:$S,Adequacy!$A18,'Data(perSeason,perCrop)'!$O:$O,1,'Data(perSeason,perCrop)'!$C:$C,Adequacy!F$2,'Data(perSeason,perCrop)'!$R:$R,"IRRIGATED"),"")</f>
        <v/>
      </c>
      <c r="G18" s="62" t="str">
        <f>IF(G8&gt;0,1-AVERAGEIFS('Data(perSeason,perCrop)'!$E:$E,'Data(perSeason,perCrop)'!$S:$S,Adequacy!$A18,'Data(perSeason,perCrop)'!$O:$O,1,'Data(perSeason,perCrop)'!$C:$C,Adequacy!G$2,'Data(perSeason,perCrop)'!$R:$R,"IRRIGATED")/AVERAGEIFS('Data(perSeason,perCrop)'!$F:$F,'Data(perSeason,perCrop)'!$S:$S,Adequacy!$A18,'Data(perSeason,perCrop)'!$O:$O,1,'Data(perSeason,perCrop)'!$C:$C,Adequacy!G$2,'Data(perSeason,perCrop)'!$R:$R,"IRRIGATED"),"")</f>
        <v/>
      </c>
      <c r="H18" s="62" t="str">
        <f>IF(H8&gt;0,1-AVERAGEIFS('Data(perSeason,perCrop)'!$E:$E,'Data(perSeason,perCrop)'!$S:$S,Adequacy!$A18,'Data(perSeason,perCrop)'!$O:$O,1,'Data(perSeason,perCrop)'!$C:$C,Adequacy!H$2,'Data(perSeason,perCrop)'!$R:$R,"IRRIGATED")/AVERAGEIFS('Data(perSeason,perCrop)'!$F:$F,'Data(perSeason,perCrop)'!$S:$S,Adequacy!$A18,'Data(perSeason,perCrop)'!$O:$O,1,'Data(perSeason,perCrop)'!$C:$C,Adequacy!H$2,'Data(perSeason,perCrop)'!$R:$R,"IRRIGATED"),"")</f>
        <v/>
      </c>
      <c r="I18" s="62" t="str">
        <f>IF(I8&gt;0,1-AVERAGEIFS('Data(perSeason,perCrop)'!$E:$E,'Data(perSeason,perCrop)'!$S:$S,Adequacy!$A18,'Data(perSeason,perCrop)'!$O:$O,1,'Data(perSeason,perCrop)'!$C:$C,Adequacy!I$2,'Data(perSeason,perCrop)'!$R:$R,"IRRIGATED")/AVERAGEIFS('Data(perSeason,perCrop)'!$F:$F,'Data(perSeason,perCrop)'!$S:$S,Adequacy!$A18,'Data(perSeason,perCrop)'!$O:$O,1,'Data(perSeason,perCrop)'!$C:$C,Adequacy!I$2,'Data(perSeason,perCrop)'!$R:$R,"IRRIGATED"),"")</f>
        <v/>
      </c>
      <c r="J18" s="62" t="str">
        <f>IF(J8&gt;0,1-AVERAGEIFS('Data(perSeason,perCrop)'!$E:$E,'Data(perSeason,perCrop)'!$S:$S,Adequacy!$A18,'Data(perSeason,perCrop)'!$O:$O,1,'Data(perSeason,perCrop)'!$C:$C,Adequacy!J$2,'Data(perSeason,perCrop)'!$R:$R,"IRRIGATED")/AVERAGEIFS('Data(perSeason,perCrop)'!$F:$F,'Data(perSeason,perCrop)'!$S:$S,Adequacy!$A18,'Data(perSeason,perCrop)'!$O:$O,1,'Data(perSeason,perCrop)'!$C:$C,Adequacy!J$2,'Data(perSeason,perCrop)'!$R:$R,"IRRIGATED"),"")</f>
        <v/>
      </c>
      <c r="K18" s="62" t="str">
        <f>IF(K8&gt;0,1-AVERAGEIFS('Data(perSeason,perCrop)'!$E:$E,'Data(perSeason,perCrop)'!$S:$S,Adequacy!$A18,'Data(perSeason,perCrop)'!$O:$O,1,'Data(perSeason,perCrop)'!$C:$C,Adequacy!K$2,'Data(perSeason,perCrop)'!$R:$R,"IRRIGATED")/AVERAGEIFS('Data(perSeason,perCrop)'!$F:$F,'Data(perSeason,perCrop)'!$S:$S,Adequacy!$A18,'Data(perSeason,perCrop)'!$O:$O,1,'Data(perSeason,perCrop)'!$C:$C,Adequacy!K$2,'Data(perSeason,perCrop)'!$R:$R,"IRRIGATED"),"")</f>
        <v/>
      </c>
      <c r="L18" s="62" t="str">
        <f>IF(L8&gt;0,1-AVERAGEIFS('Data(perSeason,perCrop)'!$E:$E,'Data(perSeason,perCrop)'!$S:$S,Adequacy!$A18,'Data(perSeason,perCrop)'!$O:$O,1,'Data(perSeason,perCrop)'!$C:$C,Adequacy!L$2,'Data(perSeason,perCrop)'!$R:$R,"IRRIGATED")/AVERAGEIFS('Data(perSeason,perCrop)'!$F:$F,'Data(perSeason,perCrop)'!$S:$S,Adequacy!$A18,'Data(perSeason,perCrop)'!$O:$O,1,'Data(perSeason,perCrop)'!$C:$C,Adequacy!L$2,'Data(perSeason,perCrop)'!$R:$R,"IRRIGATED"),"")</f>
        <v/>
      </c>
      <c r="M18" s="62" t="str">
        <f>IF(M8&gt;0,1-AVERAGEIFS('Data(perSeason,perCrop)'!$E:$E,'Data(perSeason,perCrop)'!$S:$S,Adequacy!$A18,'Data(perSeason,perCrop)'!$O:$O,1,'Data(perSeason,perCrop)'!$C:$C,Adequacy!M$2,'Data(perSeason,perCrop)'!$R:$R,"IRRIGATED")/AVERAGEIFS('Data(perSeason,perCrop)'!$F:$F,'Data(perSeason,perCrop)'!$S:$S,Adequacy!$A18,'Data(perSeason,perCrop)'!$O:$O,1,'Data(perSeason,perCrop)'!$C:$C,Adequacy!M$2,'Data(perSeason,perCrop)'!$R:$R,"IRRIGATED"),"")</f>
        <v/>
      </c>
      <c r="N18" s="62" t="str">
        <f>IF(N8&gt;0,1-AVERAGEIFS('Data(perSeason,perCrop)'!$E:$E,'Data(perSeason,perCrop)'!$S:$S,Adequacy!$A18,'Data(perSeason,perCrop)'!$O:$O,1,'Data(perSeason,perCrop)'!$C:$C,Adequacy!N$2,'Data(perSeason,perCrop)'!$R:$R,"IRRIGATED")/AVERAGEIFS('Data(perSeason,perCrop)'!$F:$F,'Data(perSeason,perCrop)'!$S:$S,Adequacy!$A18,'Data(perSeason,perCrop)'!$O:$O,1,'Data(perSeason,perCrop)'!$C:$C,Adequacy!N$2,'Data(perSeason,perCrop)'!$R:$R,"IRRIGATED"),"")</f>
        <v/>
      </c>
      <c r="O18" s="62">
        <f>IF(O8&gt;0,1-AVERAGEIFS('Data(perSeason,perCrop)'!$E:$E,'Data(perSeason,perCrop)'!$S:$S,Adequacy!$A18,'Data(perSeason,perCrop)'!$O:$O,1,'Data(perSeason,perCrop)'!$C:$C,Adequacy!O$2,'Data(perSeason,perCrop)'!$R:$R,"IRRIGATED")/AVERAGEIFS('Data(perSeason,perCrop)'!$F:$F,'Data(perSeason,perCrop)'!$S:$S,Adequacy!$A18,'Data(perSeason,perCrop)'!$O:$O,1,'Data(perSeason,perCrop)'!$C:$C,Adequacy!O$2,'Data(perSeason,perCrop)'!$R:$R,"IRRIGATED"),"")</f>
        <v>7.9234972677595605E-2</v>
      </c>
      <c r="P18" s="62">
        <f>IF(P8&gt;0,1-AVERAGEIFS('Data(perSeason,perCrop)'!$E:$E,'Data(perSeason,perCrop)'!$S:$S,Adequacy!$A18,'Data(perSeason,perCrop)'!$O:$O,1,'Data(perSeason,perCrop)'!$C:$C,Adequacy!P$2,'Data(perSeason,perCrop)'!$R:$R,"IRRIGATED")/AVERAGEIFS('Data(perSeason,perCrop)'!$F:$F,'Data(perSeason,perCrop)'!$S:$S,Adequacy!$A18,'Data(perSeason,perCrop)'!$O:$O,1,'Data(perSeason,perCrop)'!$C:$C,Adequacy!P$2,'Data(perSeason,perCrop)'!$R:$R,"IRRIGATED"),"")</f>
        <v>7.8947368421052655E-2</v>
      </c>
      <c r="Q18" s="62" t="str">
        <f>IF(Q8&gt;0,1-AVERAGEIFS('Data(perSeason,perCrop)'!$E:$E,'Data(perSeason,perCrop)'!$S:$S,Adequacy!$A18,'Data(perSeason,perCrop)'!$O:$O,1,'Data(perSeason,perCrop)'!$C:$C,Adequacy!Q$2,'Data(perSeason,perCrop)'!$R:$R,"IRRIGATED")/AVERAGEIFS('Data(perSeason,perCrop)'!$F:$F,'Data(perSeason,perCrop)'!$S:$S,Adequacy!$A18,'Data(perSeason,perCrop)'!$O:$O,1,'Data(perSeason,perCrop)'!$C:$C,Adequacy!Q$2,'Data(perSeason,perCrop)'!$R:$R,"IRRIGATED"),"")</f>
        <v/>
      </c>
      <c r="R18" s="62">
        <f>IF(R8&gt;0,1-AVERAGEIFS('Data(perSeason,perCrop)'!$E:$E,'Data(perSeason,perCrop)'!$S:$S,Adequacy!$A18,'Data(perSeason,perCrop)'!$O:$O,1,'Data(perSeason,perCrop)'!$C:$C,Adequacy!R$2,'Data(perSeason,perCrop)'!$R:$R,"IRRIGATED")/AVERAGEIFS('Data(perSeason,perCrop)'!$F:$F,'Data(perSeason,perCrop)'!$S:$S,Adequacy!$A18,'Data(perSeason,perCrop)'!$O:$O,1,'Data(perSeason,perCrop)'!$C:$C,Adequacy!R$2,'Data(perSeason,perCrop)'!$R:$R,"IRRIGATED"),"")</f>
        <v>0.12828947368421051</v>
      </c>
      <c r="S18" s="62" t="str">
        <f>IF(S8&gt;0,1-AVERAGEIFS('Data(perSeason,perCrop)'!$E:$E,'Data(perSeason,perCrop)'!$S:$S,Adequacy!$A18,'Data(perSeason,perCrop)'!$O:$O,1,'Data(perSeason,perCrop)'!$C:$C,Adequacy!S$2,'Data(perSeason,perCrop)'!$R:$R,"IRRIGATED")/AVERAGEIFS('Data(perSeason,perCrop)'!$F:$F,'Data(perSeason,perCrop)'!$S:$S,Adequacy!$A18,'Data(perSeason,perCrop)'!$O:$O,1,'Data(perSeason,perCrop)'!$C:$C,Adequacy!S$2,'Data(perSeason,perCrop)'!$R:$R,"IRRIGATED"),"")</f>
        <v/>
      </c>
      <c r="T18" s="62" t="str">
        <f>IF(T8&gt;0,1-AVERAGEIFS('Data(perSeason,perCrop)'!$E:$E,'Data(perSeason,perCrop)'!$S:$S,Adequacy!$A18,'Data(perSeason,perCrop)'!$O:$O,1,'Data(perSeason,perCrop)'!$C:$C,Adequacy!T$2,'Data(perSeason,perCrop)'!$R:$R,"IRRIGATED")/AVERAGEIFS('Data(perSeason,perCrop)'!$F:$F,'Data(perSeason,perCrop)'!$S:$S,Adequacy!$A18,'Data(perSeason,perCrop)'!$O:$O,1,'Data(perSeason,perCrop)'!$C:$C,Adequacy!T$2,'Data(perSeason,perCrop)'!$R:$R,"IRRIGATED"),"")</f>
        <v/>
      </c>
      <c r="U18" s="62">
        <f>IF(U8&gt;0,1-AVERAGEIFS('Data(perSeason,perCrop)'!$E:$E,'Data(perSeason,perCrop)'!$S:$S,Adequacy!$A18,'Data(perSeason,perCrop)'!$O:$O,1,'Data(perSeason,perCrop)'!$C:$C,Adequacy!U$2,'Data(perSeason,perCrop)'!$R:$R,"IRRIGATED")/AVERAGEIFS('Data(perSeason,perCrop)'!$F:$F,'Data(perSeason,perCrop)'!$S:$S,Adequacy!$A18,'Data(perSeason,perCrop)'!$O:$O,1,'Data(perSeason,perCrop)'!$C:$C,Adequacy!U$2,'Data(perSeason,perCrop)'!$R:$R,"IRRIGATED"),"")</f>
        <v>0.1595092024539877</v>
      </c>
      <c r="V18" s="62" t="str">
        <f>IF(V8&gt;0,1-AVERAGEIFS('Data(perSeason,perCrop)'!$E:$E,'Data(perSeason,perCrop)'!$S:$S,Adequacy!$A18,'Data(perSeason,perCrop)'!$O:$O,1,'Data(perSeason,perCrop)'!$C:$C,Adequacy!V$2,'Data(perSeason,perCrop)'!$R:$R,"IRRIGATED")/AVERAGEIFS('Data(perSeason,perCrop)'!$F:$F,'Data(perSeason,perCrop)'!$S:$S,Adequacy!$A18,'Data(perSeason,perCrop)'!$O:$O,1,'Data(perSeason,perCrop)'!$C:$C,Adequacy!V$2,'Data(perSeason,perCrop)'!$R:$R,"IRRIGATED"),"")</f>
        <v/>
      </c>
      <c r="W18" s="62" t="str">
        <f>IF(W8&gt;0,1-AVERAGEIFS('Data(perSeason,perCrop)'!$E:$E,'Data(perSeason,perCrop)'!$S:$S,Adequacy!$A18,'Data(perSeason,perCrop)'!$O:$O,1,'Data(perSeason,perCrop)'!$C:$C,Adequacy!W$2,'Data(perSeason,perCrop)'!$R:$R,"IRRIGATED")/AVERAGEIFS('Data(perSeason,perCrop)'!$F:$F,'Data(perSeason,perCrop)'!$S:$S,Adequacy!$A18,'Data(perSeason,perCrop)'!$O:$O,1,'Data(perSeason,perCrop)'!$C:$C,Adequacy!W$2,'Data(perSeason,perCrop)'!$R:$R,"IRRIGATED"),"")</f>
        <v/>
      </c>
      <c r="X18" s="62" t="str">
        <f>IF(X8&gt;0,1-AVERAGEIFS('Data(perSeason,perCrop)'!$E:$E,'Data(perSeason,perCrop)'!$S:$S,Adequacy!$A18,'Data(perSeason,perCrop)'!$O:$O,1,'Data(perSeason,perCrop)'!$C:$C,Adequacy!X$2,'Data(perSeason,perCrop)'!$R:$R,"IRRIGATED")/AVERAGEIFS('Data(perSeason,perCrop)'!$F:$F,'Data(perSeason,perCrop)'!$S:$S,Adequacy!$A18,'Data(perSeason,perCrop)'!$O:$O,1,'Data(perSeason,perCrop)'!$C:$C,Adequacy!X$2,'Data(perSeason,perCrop)'!$R:$R,"IRRIGATED"),"")</f>
        <v/>
      </c>
      <c r="Y18" s="62" t="str">
        <f>IF(Y8&gt;0,1-AVERAGEIFS('Data(perSeason,perCrop)'!$E:$E,'Data(perSeason,perCrop)'!$S:$S,Adequacy!$A18,'Data(perSeason,perCrop)'!$O:$O,1,'Data(perSeason,perCrop)'!$C:$C,Adequacy!Y$2,'Data(perSeason,perCrop)'!$R:$R,"IRRIGATED")/AVERAGEIFS('Data(perSeason,perCrop)'!$F:$F,'Data(perSeason,perCrop)'!$S:$S,Adequacy!$A18,'Data(perSeason,perCrop)'!$O:$O,1,'Data(perSeason,perCrop)'!$C:$C,Adequacy!Y$2,'Data(perSeason,perCrop)'!$R:$R,"IRRIGATED"),"")</f>
        <v/>
      </c>
      <c r="Z18" s="62" t="str">
        <f>IF(Z8&gt;0,1-AVERAGEIFS('Data(perSeason,perCrop)'!$E:$E,'Data(perSeason,perCrop)'!$S:$S,Adequacy!$A18,'Data(perSeason,perCrop)'!$O:$O,1,'Data(perSeason,perCrop)'!$C:$C,Adequacy!Z$2,'Data(perSeason,perCrop)'!$R:$R,"IRRIGATED")/AVERAGEIFS('Data(perSeason,perCrop)'!$F:$F,'Data(perSeason,perCrop)'!$S:$S,Adequacy!$A18,'Data(perSeason,perCrop)'!$O:$O,1,'Data(perSeason,perCrop)'!$C:$C,Adequacy!Z$2,'Data(perSeason,perCrop)'!$R:$R,"IRRIGATED"),"")</f>
        <v/>
      </c>
      <c r="AA18" s="62" t="str">
        <f>IF(AA8&gt;0,1-AVERAGEIFS('Data(perSeason,perCrop)'!$E:$E,'Data(perSeason,perCrop)'!$S:$S,Adequacy!$A18,'Data(perSeason,perCrop)'!$O:$O,1,'Data(perSeason,perCrop)'!$C:$C,Adequacy!AA$2,'Data(perSeason,perCrop)'!$R:$R,"IRRIGATED")/AVERAGEIFS('Data(perSeason,perCrop)'!$F:$F,'Data(perSeason,perCrop)'!$S:$S,Adequacy!$A18,'Data(perSeason,perCrop)'!$O:$O,1,'Data(perSeason,perCrop)'!$C:$C,Adequacy!AA$2,'Data(perSeason,perCrop)'!$R:$R,"IRRIGATED"),"")</f>
        <v/>
      </c>
      <c r="AB18" s="62" t="str">
        <f>IF(AB8&gt;0,1-AVERAGEIFS('Data(perSeason,perCrop)'!$E:$E,'Data(perSeason,perCrop)'!$S:$S,Adequacy!$A18,'Data(perSeason,perCrop)'!$O:$O,1,'Data(perSeason,perCrop)'!$C:$C,Adequacy!AB$2,'Data(perSeason,perCrop)'!$R:$R,"IRRIGATED")/AVERAGEIFS('Data(perSeason,perCrop)'!$F:$F,'Data(perSeason,perCrop)'!$S:$S,Adequacy!$A18,'Data(perSeason,perCrop)'!$O:$O,1,'Data(perSeason,perCrop)'!$C:$C,Adequacy!AB$2,'Data(perSeason,perCrop)'!$R:$R,"IRRIGATED"),"")</f>
        <v/>
      </c>
      <c r="AC18" s="62" t="str">
        <f>IF(AC8&gt;0,1-AVERAGEIFS('Data(perSeason,perCrop)'!$E:$E,'Data(perSeason,perCrop)'!$S:$S,Adequacy!$A18,'Data(perSeason,perCrop)'!$O:$O,1,'Data(perSeason,perCrop)'!$C:$C,Adequacy!AC$2,'Data(perSeason,perCrop)'!$R:$R,"IRRIGATED")/AVERAGEIFS('Data(perSeason,perCrop)'!$F:$F,'Data(perSeason,perCrop)'!$S:$S,Adequacy!$A18,'Data(perSeason,perCrop)'!$O:$O,1,'Data(perSeason,perCrop)'!$C:$C,Adequacy!AC$2,'Data(perSeason,perCrop)'!$R:$R,"IRRIGATED"),"")</f>
        <v/>
      </c>
      <c r="AD18" s="62" t="str">
        <f>IF(AD8&gt;0,1-AVERAGEIFS('Data(perSeason,perCrop)'!$E:$E,'Data(perSeason,perCrop)'!$S:$S,Adequacy!$A18,'Data(perSeason,perCrop)'!$O:$O,1,'Data(perSeason,perCrop)'!$C:$C,Adequacy!AD$2,'Data(perSeason,perCrop)'!$R:$R,"IRRIGATED")/AVERAGEIFS('Data(perSeason,perCrop)'!$F:$F,'Data(perSeason,perCrop)'!$S:$S,Adequacy!$A18,'Data(perSeason,perCrop)'!$O:$O,1,'Data(perSeason,perCrop)'!$C:$C,Adequacy!AD$2,'Data(perSeason,perCrop)'!$R:$R,"IRRIGATED"),"")</f>
        <v/>
      </c>
      <c r="AE18" s="62" t="str">
        <f>IF(AE8&gt;0,1-AVERAGEIFS('Data(perSeason,perCrop)'!$E:$E,'Data(perSeason,perCrop)'!$S:$S,Adequacy!$A18,'Data(perSeason,perCrop)'!$O:$O,1,'Data(perSeason,perCrop)'!$C:$C,Adequacy!AE$2,'Data(perSeason,perCrop)'!$R:$R,"IRRIGATED")/AVERAGEIFS('Data(perSeason,perCrop)'!$F:$F,'Data(perSeason,perCrop)'!$S:$S,Adequacy!$A18,'Data(perSeason,perCrop)'!$O:$O,1,'Data(perSeason,perCrop)'!$C:$C,Adequacy!AE$2,'Data(perSeason,perCrop)'!$R:$R,"IRRIGATED"),"")</f>
        <v/>
      </c>
      <c r="AF18" s="62" t="str">
        <f>IF(AF8&gt;0,1-AVERAGEIFS('Data(perSeason,perCrop)'!$E:$E,'Data(perSeason,perCrop)'!$S:$S,Adequacy!$A18,'Data(perSeason,perCrop)'!$O:$O,1,'Data(perSeason,perCrop)'!$C:$C,Adequacy!AF$2,'Data(perSeason,perCrop)'!$R:$R,"IRRIGATED")/AVERAGEIFS('Data(perSeason,perCrop)'!$F:$F,'Data(perSeason,perCrop)'!$S:$S,Adequacy!$A18,'Data(perSeason,perCrop)'!$O:$O,1,'Data(perSeason,perCrop)'!$C:$C,Adequacy!AF$2,'Data(perSeason,perCrop)'!$R:$R,"IRRIGATED"),"")</f>
        <v/>
      </c>
    </row>
    <row r="20" spans="1:32" ht="18.75" x14ac:dyDescent="0.3">
      <c r="A20" s="42" t="s">
        <v>187</v>
      </c>
      <c r="B20" s="42" t="s">
        <v>188</v>
      </c>
      <c r="C20" s="7"/>
      <c r="O20" s="7"/>
      <c r="P20" s="7"/>
      <c r="Q20" s="7"/>
      <c r="R20" s="7"/>
      <c r="S20" s="7"/>
      <c r="T20" s="7"/>
      <c r="U20" s="7"/>
      <c r="V20" t="s">
        <v>189</v>
      </c>
      <c r="W20" t="s">
        <v>189</v>
      </c>
      <c r="X20" t="s">
        <v>189</v>
      </c>
      <c r="Y20" t="s">
        <v>189</v>
      </c>
      <c r="Z20" t="s">
        <v>189</v>
      </c>
      <c r="AA20" t="s">
        <v>189</v>
      </c>
      <c r="AB20" t="s">
        <v>189</v>
      </c>
      <c r="AC20" t="s">
        <v>189</v>
      </c>
      <c r="AD20" t="s">
        <v>189</v>
      </c>
      <c r="AE20" t="s">
        <v>189</v>
      </c>
      <c r="AF20" t="s">
        <v>189</v>
      </c>
    </row>
    <row r="21" spans="1:32" ht="18.75" x14ac:dyDescent="0.3">
      <c r="A21" s="42">
        <v>2018</v>
      </c>
      <c r="B21" s="63">
        <f>IF(COUNTIFS('Data(perSeason,perCrop)'!$S:$S,$A21)&gt;0,SUMPRODUCT(B14:AF14,B4:AF4)/SUM(B4:AF4),"")</f>
        <v>0.15703752066370233</v>
      </c>
      <c r="C21" s="7"/>
      <c r="O21" s="7"/>
      <c r="P21" s="7"/>
      <c r="Q21" s="7"/>
      <c r="R21" s="7"/>
      <c r="S21" s="7"/>
      <c r="T21" s="7"/>
      <c r="U21" s="7"/>
      <c r="V21" t="s">
        <v>189</v>
      </c>
      <c r="W21" t="s">
        <v>189</v>
      </c>
      <c r="X21" t="s">
        <v>189</v>
      </c>
      <c r="Y21" t="s">
        <v>189</v>
      </c>
      <c r="Z21" t="s">
        <v>189</v>
      </c>
      <c r="AA21" t="s">
        <v>189</v>
      </c>
      <c r="AB21" t="s">
        <v>189</v>
      </c>
      <c r="AC21" t="s">
        <v>189</v>
      </c>
      <c r="AD21" t="s">
        <v>189</v>
      </c>
      <c r="AE21" t="s">
        <v>189</v>
      </c>
      <c r="AF21" t="s">
        <v>189</v>
      </c>
    </row>
    <row r="22" spans="1:32" ht="18.75" x14ac:dyDescent="0.3">
      <c r="A22" s="42">
        <v>2019</v>
      </c>
      <c r="B22" s="63">
        <f>IF(COUNTIFS('Data(perSeason,perCrop)'!$S:$S,$A22)&gt;0,SUMPRODUCT(B15:AF15,B5:AF5)/SUM(B5:AF5),"")</f>
        <v>0.24365025743999871</v>
      </c>
      <c r="C22" s="7"/>
      <c r="O22" s="7"/>
      <c r="P22" s="7"/>
      <c r="Q22" s="7"/>
      <c r="R22" s="7"/>
      <c r="S22" s="7"/>
      <c r="T22" s="7"/>
      <c r="U22" s="7"/>
      <c r="V22" t="s">
        <v>189</v>
      </c>
      <c r="W22" t="s">
        <v>189</v>
      </c>
      <c r="X22" t="s">
        <v>189</v>
      </c>
      <c r="Y22" t="s">
        <v>189</v>
      </c>
      <c r="Z22" t="s">
        <v>189</v>
      </c>
      <c r="AA22" t="s">
        <v>189</v>
      </c>
      <c r="AB22" t="s">
        <v>189</v>
      </c>
      <c r="AC22" t="s">
        <v>189</v>
      </c>
      <c r="AD22" t="s">
        <v>189</v>
      </c>
      <c r="AE22" t="s">
        <v>189</v>
      </c>
      <c r="AF22" t="s">
        <v>189</v>
      </c>
    </row>
    <row r="23" spans="1:32" ht="18.75" x14ac:dyDescent="0.3">
      <c r="A23" s="42">
        <v>2020</v>
      </c>
      <c r="B23" s="63">
        <f>IF(COUNTIFS('Data(perSeason,perCrop)'!$S:$S,$A23)&gt;0,SUMPRODUCT(B16:AF16,B6:AF6)/SUM(B6:AF6),"")</f>
        <v>0.17837009457175418</v>
      </c>
      <c r="C23" s="7"/>
      <c r="O23" s="7"/>
      <c r="P23" s="7"/>
      <c r="Q23" s="7"/>
      <c r="R23" s="7"/>
      <c r="S23" s="7"/>
      <c r="T23" s="7"/>
      <c r="U23" s="7"/>
      <c r="V23" t="s">
        <v>189</v>
      </c>
      <c r="W23" t="s">
        <v>189</v>
      </c>
      <c r="X23" t="s">
        <v>189</v>
      </c>
      <c r="Y23" t="s">
        <v>189</v>
      </c>
      <c r="Z23" t="s">
        <v>189</v>
      </c>
      <c r="AA23" t="s">
        <v>189</v>
      </c>
      <c r="AB23" t="s">
        <v>189</v>
      </c>
      <c r="AC23" t="s">
        <v>189</v>
      </c>
      <c r="AD23" t="s">
        <v>189</v>
      </c>
      <c r="AE23" t="s">
        <v>189</v>
      </c>
      <c r="AF23" t="s">
        <v>189</v>
      </c>
    </row>
    <row r="24" spans="1:32" ht="18.75" x14ac:dyDescent="0.3">
      <c r="A24" s="42">
        <v>2021</v>
      </c>
      <c r="B24" s="63">
        <f>IF(COUNTIFS('Data(perSeason,perCrop)'!$S:$S,$A24)&gt;0,SUMPRODUCT(B17:AF17,B7:AF7)/SUM(B7:AF7),"")</f>
        <v>0.22996328139055661</v>
      </c>
      <c r="C24" s="7"/>
      <c r="O24" s="7"/>
      <c r="P24" s="7"/>
      <c r="Q24" s="7"/>
      <c r="R24" s="7"/>
      <c r="S24" s="7"/>
      <c r="T24" s="7"/>
      <c r="U24" s="7"/>
      <c r="V24" t="s">
        <v>189</v>
      </c>
      <c r="W24" t="s">
        <v>189</v>
      </c>
      <c r="X24" t="s">
        <v>189</v>
      </c>
      <c r="Y24" t="s">
        <v>189</v>
      </c>
      <c r="Z24" t="s">
        <v>189</v>
      </c>
      <c r="AA24" t="s">
        <v>189</v>
      </c>
      <c r="AB24" t="s">
        <v>189</v>
      </c>
      <c r="AC24" t="s">
        <v>189</v>
      </c>
      <c r="AD24" t="s">
        <v>189</v>
      </c>
      <c r="AE24" t="s">
        <v>189</v>
      </c>
      <c r="AF24" t="s">
        <v>189</v>
      </c>
    </row>
    <row r="25" spans="1:32" ht="18.75" x14ac:dyDescent="0.3">
      <c r="A25" s="42">
        <v>2022</v>
      </c>
      <c r="B25" s="63">
        <f>IF(COUNTIFS('Data(perSeason,perCrop)'!$S:$S,$A25)&gt;0,SUMPRODUCT(B18:AF18,B8:AF8)/SUM(B8:AF8),"")</f>
        <v>0.15256732724850897</v>
      </c>
    </row>
    <row r="26" spans="1:32" ht="18.75" x14ac:dyDescent="0.3">
      <c r="A26" s="42" t="s">
        <v>184</v>
      </c>
      <c r="B26" s="63">
        <f>AVERAGE(B21:B25)</f>
        <v>0.19231769626290413</v>
      </c>
    </row>
    <row r="31" spans="1:32" ht="18.75" x14ac:dyDescent="0.3">
      <c r="A31" s="64" t="s">
        <v>190</v>
      </c>
      <c r="B31" s="42">
        <v>2</v>
      </c>
      <c r="C31" s="42">
        <v>2</v>
      </c>
      <c r="D31" s="42">
        <v>2</v>
      </c>
      <c r="E31" s="42">
        <v>2</v>
      </c>
      <c r="F31" s="42">
        <v>2</v>
      </c>
      <c r="G31" s="42">
        <v>2</v>
      </c>
      <c r="H31" s="42">
        <v>2</v>
      </c>
      <c r="I31" s="42">
        <v>2</v>
      </c>
      <c r="J31" s="42">
        <v>2</v>
      </c>
      <c r="K31" s="42">
        <v>2</v>
      </c>
      <c r="L31" s="42">
        <v>2</v>
      </c>
      <c r="M31" s="42">
        <v>2</v>
      </c>
      <c r="N31" s="42">
        <v>2</v>
      </c>
      <c r="O31" s="42">
        <v>2</v>
      </c>
      <c r="P31" s="42">
        <v>2</v>
      </c>
      <c r="Q31" s="42">
        <v>2</v>
      </c>
      <c r="R31" s="42">
        <v>2</v>
      </c>
      <c r="S31" s="42">
        <v>2</v>
      </c>
      <c r="T31" s="42">
        <v>2</v>
      </c>
      <c r="U31" s="42">
        <v>2</v>
      </c>
      <c r="V31" s="42">
        <v>2</v>
      </c>
      <c r="W31" s="42">
        <v>2</v>
      </c>
      <c r="X31" s="42">
        <v>2</v>
      </c>
      <c r="Y31" s="42">
        <v>2</v>
      </c>
      <c r="Z31" s="42">
        <v>2</v>
      </c>
      <c r="AA31" s="42">
        <v>2</v>
      </c>
      <c r="AB31" s="42">
        <v>2</v>
      </c>
      <c r="AC31" s="42">
        <v>2</v>
      </c>
      <c r="AD31" s="42">
        <v>2</v>
      </c>
      <c r="AE31" s="42">
        <v>2</v>
      </c>
      <c r="AF31" s="42">
        <v>2</v>
      </c>
    </row>
    <row r="32" spans="1:32" ht="18.75" x14ac:dyDescent="0.3">
      <c r="A32" s="42" t="s">
        <v>23</v>
      </c>
      <c r="B32" s="58" t="s">
        <v>47</v>
      </c>
      <c r="C32" s="58" t="s">
        <v>57</v>
      </c>
      <c r="D32" s="58" t="s">
        <v>110</v>
      </c>
      <c r="E32" s="58" t="s">
        <v>50</v>
      </c>
      <c r="F32" s="58" t="s">
        <v>58</v>
      </c>
      <c r="G32" s="58" t="s">
        <v>51</v>
      </c>
      <c r="H32" s="58" t="s">
        <v>97</v>
      </c>
      <c r="I32" s="58" t="s">
        <v>52</v>
      </c>
      <c r="J32" s="58" t="s">
        <v>59</v>
      </c>
      <c r="K32" s="58" t="s">
        <v>111</v>
      </c>
      <c r="L32" s="58" t="s">
        <v>54</v>
      </c>
      <c r="M32" s="58" t="s">
        <v>112</v>
      </c>
      <c r="N32" s="58" t="s">
        <v>48</v>
      </c>
      <c r="O32" s="58" t="s">
        <v>53</v>
      </c>
      <c r="P32" s="58" t="s">
        <v>49</v>
      </c>
      <c r="Q32" s="58" t="s">
        <v>56</v>
      </c>
      <c r="R32" s="58" t="s">
        <v>102</v>
      </c>
      <c r="S32" s="58" t="s">
        <v>103</v>
      </c>
      <c r="T32" s="58" t="s">
        <v>101</v>
      </c>
      <c r="U32" s="58" t="s">
        <v>106</v>
      </c>
      <c r="V32" s="58" t="s">
        <v>113</v>
      </c>
      <c r="W32" s="58" t="s">
        <v>114</v>
      </c>
      <c r="X32" s="58" t="s">
        <v>115</v>
      </c>
      <c r="Y32" s="58" t="s">
        <v>116</v>
      </c>
      <c r="Z32" s="58" t="s">
        <v>107</v>
      </c>
      <c r="AA32" s="58" t="s">
        <v>104</v>
      </c>
      <c r="AB32" s="58" t="s">
        <v>117</v>
      </c>
      <c r="AC32" s="58" t="s">
        <v>118</v>
      </c>
      <c r="AD32" s="58" t="s">
        <v>119</v>
      </c>
      <c r="AE32" s="58" t="s">
        <v>108</v>
      </c>
      <c r="AF32" s="58" t="s">
        <v>105</v>
      </c>
    </row>
    <row r="33" spans="1:32" ht="18.75" x14ac:dyDescent="0.3">
      <c r="A33" s="42" t="s">
        <v>183</v>
      </c>
      <c r="B33" s="42">
        <v>1</v>
      </c>
      <c r="C33" s="42">
        <v>2</v>
      </c>
      <c r="D33" s="42">
        <v>3</v>
      </c>
      <c r="E33" s="42">
        <v>4</v>
      </c>
      <c r="F33" s="42">
        <v>5</v>
      </c>
      <c r="G33" s="42">
        <v>6</v>
      </c>
      <c r="H33" s="42">
        <v>7</v>
      </c>
      <c r="I33" s="42">
        <v>8</v>
      </c>
      <c r="J33" s="42">
        <v>9</v>
      </c>
      <c r="K33" s="42">
        <v>10</v>
      </c>
      <c r="L33" s="42">
        <v>11</v>
      </c>
      <c r="M33" s="42">
        <v>12</v>
      </c>
      <c r="N33" s="42">
        <v>13</v>
      </c>
      <c r="O33" s="42">
        <v>14</v>
      </c>
      <c r="P33" s="42">
        <v>15</v>
      </c>
      <c r="Q33" s="42">
        <v>16</v>
      </c>
      <c r="R33" s="42">
        <v>17</v>
      </c>
      <c r="S33" s="42">
        <v>18</v>
      </c>
      <c r="T33" s="42">
        <v>19</v>
      </c>
      <c r="U33" s="42">
        <v>20</v>
      </c>
      <c r="V33" s="42">
        <v>21</v>
      </c>
      <c r="W33" s="42">
        <v>22</v>
      </c>
      <c r="X33" s="42">
        <v>23</v>
      </c>
      <c r="Y33" s="42">
        <v>24</v>
      </c>
      <c r="Z33" s="42">
        <v>25</v>
      </c>
      <c r="AA33" s="42">
        <v>40</v>
      </c>
      <c r="AB33" s="42">
        <v>41</v>
      </c>
      <c r="AC33" s="42">
        <v>42</v>
      </c>
      <c r="AD33" s="42">
        <v>43</v>
      </c>
      <c r="AE33" s="42">
        <v>44</v>
      </c>
      <c r="AF33" s="42">
        <v>45</v>
      </c>
    </row>
    <row r="34" spans="1:32" ht="18.75" x14ac:dyDescent="0.3">
      <c r="A34" s="42">
        <v>2018</v>
      </c>
      <c r="B34" s="60">
        <f>SUMIFS('Data(perSeason,perCrop)'!$A:$A,'Data(perSeason,perCrop)'!$S:$S,$A3,'Data(perSeason,perCrop)'!$O:$O,Adequacy!#REF!,'Data(perSeason,perCrop)'!$C:$C,Adequacy!B$2,'Data(perSeason,perCrop)'!$R:$R,"IRRIGATED")</f>
        <v>0</v>
      </c>
      <c r="C34" s="60" t="e">
        <f>SUMIFS('[3]Data(perSeason,perCrop)'!$A:$A,'[3]Data(perSeason,perCrop)'!$S:$S,[3]Indicators!$A35,'[3]Data(perSeason,perCrop)'!$O:$O,[3]Indicators!C$32,'[3]Data(perSeason,perCrop)'!$C:$C,[3]Indicators!C$33,'[3]Data(perSeason,perCrop)'!$R:$R,"IRRIGATED")</f>
        <v>#VALUE!</v>
      </c>
      <c r="D34" s="60" t="e">
        <f>SUMIFS('[3]Data(perSeason,perCrop)'!$A:$A,'[3]Data(perSeason,perCrop)'!$S:$S,[3]Indicators!$A35,'[3]Data(perSeason,perCrop)'!$O:$O,[3]Indicators!D$32,'[3]Data(perSeason,perCrop)'!$C:$C,[3]Indicators!D$33,'[3]Data(perSeason,perCrop)'!$R:$R,"IRRIGATED")</f>
        <v>#VALUE!</v>
      </c>
      <c r="E34" s="60" t="e">
        <f>SUMIFS('[3]Data(perSeason,perCrop)'!$A:$A,'[3]Data(perSeason,perCrop)'!$S:$S,[3]Indicators!$A35,'[3]Data(perSeason,perCrop)'!$O:$O,[3]Indicators!E$32,'[3]Data(perSeason,perCrop)'!$C:$C,[3]Indicators!E$33,'[3]Data(perSeason,perCrop)'!$R:$R,"IRRIGATED")</f>
        <v>#VALUE!</v>
      </c>
      <c r="F34" s="60" t="e">
        <f>SUMIFS('[3]Data(perSeason,perCrop)'!$A:$A,'[3]Data(perSeason,perCrop)'!$S:$S,[3]Indicators!$A35,'[3]Data(perSeason,perCrop)'!$O:$O,[3]Indicators!F$32,'[3]Data(perSeason,perCrop)'!$C:$C,[3]Indicators!F$33,'[3]Data(perSeason,perCrop)'!$R:$R,"IRRIGATED")</f>
        <v>#VALUE!</v>
      </c>
      <c r="G34" s="60" t="e">
        <f>SUMIFS('[3]Data(perSeason,perCrop)'!$A:$A,'[3]Data(perSeason,perCrop)'!$S:$S,[3]Indicators!$A35,'[3]Data(perSeason,perCrop)'!$O:$O,[3]Indicators!G$32,'[3]Data(perSeason,perCrop)'!$C:$C,[3]Indicators!G$33,'[3]Data(perSeason,perCrop)'!$R:$R,"IRRIGATED")</f>
        <v>#VALUE!</v>
      </c>
      <c r="H34" s="60" t="e">
        <f>SUMIFS('[3]Data(perSeason,perCrop)'!$A:$A,'[3]Data(perSeason,perCrop)'!$S:$S,[3]Indicators!$A35,'[3]Data(perSeason,perCrop)'!$O:$O,[3]Indicators!H$32,'[3]Data(perSeason,perCrop)'!$C:$C,[3]Indicators!H$33,'[3]Data(perSeason,perCrop)'!$R:$R,"IRRIGATED")</f>
        <v>#VALUE!</v>
      </c>
      <c r="I34" s="60" t="e">
        <f>SUMIFS('[3]Data(perSeason,perCrop)'!$A:$A,'[3]Data(perSeason,perCrop)'!$S:$S,[3]Indicators!$A35,'[3]Data(perSeason,perCrop)'!$O:$O,[3]Indicators!I$32,'[3]Data(perSeason,perCrop)'!$C:$C,[3]Indicators!I$33,'[3]Data(perSeason,perCrop)'!$R:$R,"IRRIGATED")</f>
        <v>#VALUE!</v>
      </c>
      <c r="J34" s="60" t="e">
        <f>SUMIFS('[3]Data(perSeason,perCrop)'!$A:$A,'[3]Data(perSeason,perCrop)'!$S:$S,[3]Indicators!$A35,'[3]Data(perSeason,perCrop)'!$O:$O,[3]Indicators!J$32,'[3]Data(perSeason,perCrop)'!$C:$C,[3]Indicators!J$33,'[3]Data(perSeason,perCrop)'!$R:$R,"IRRIGATED")</f>
        <v>#VALUE!</v>
      </c>
      <c r="K34" s="60" t="e">
        <f>SUMIFS('[3]Data(perSeason,perCrop)'!$A:$A,'[3]Data(perSeason,perCrop)'!$S:$S,[3]Indicators!$A35,'[3]Data(perSeason,perCrop)'!$O:$O,[3]Indicators!K$32,'[3]Data(perSeason,perCrop)'!$C:$C,[3]Indicators!K$33,'[3]Data(perSeason,perCrop)'!$R:$R,"IRRIGATED")</f>
        <v>#VALUE!</v>
      </c>
      <c r="L34" s="60" t="e">
        <f>SUMIFS('[3]Data(perSeason,perCrop)'!$A:$A,'[3]Data(perSeason,perCrop)'!$S:$S,[3]Indicators!$A35,'[3]Data(perSeason,perCrop)'!$O:$O,[3]Indicators!L$32,'[3]Data(perSeason,perCrop)'!$C:$C,[3]Indicators!L$33,'[3]Data(perSeason,perCrop)'!$R:$R,"IRRIGATED")</f>
        <v>#VALUE!</v>
      </c>
      <c r="M34" s="60" t="e">
        <f>SUMIFS('[3]Data(perSeason,perCrop)'!$A:$A,'[3]Data(perSeason,perCrop)'!$S:$S,[3]Indicators!$A35,'[3]Data(perSeason,perCrop)'!$O:$O,[3]Indicators!M$32,'[3]Data(perSeason,perCrop)'!$C:$C,[3]Indicators!M$33,'[3]Data(perSeason,perCrop)'!$R:$R,"IRRIGATED")</f>
        <v>#VALUE!</v>
      </c>
      <c r="N34" s="60" t="e">
        <f>SUMIFS('[3]Data(perSeason,perCrop)'!$A:$A,'[3]Data(perSeason,perCrop)'!$S:$S,[3]Indicators!$A35,'[3]Data(perSeason,perCrop)'!$O:$O,[3]Indicators!N$32,'[3]Data(perSeason,perCrop)'!$C:$C,[3]Indicators!N$33,'[3]Data(perSeason,perCrop)'!$R:$R,"IRRIGATED")</f>
        <v>#VALUE!</v>
      </c>
      <c r="O34" s="60" t="e">
        <f>SUMIFS('[3]Data(perSeason,perCrop)'!$A:$A,'[3]Data(perSeason,perCrop)'!$S:$S,[3]Indicators!$A35,'[3]Data(perSeason,perCrop)'!$O:$O,[3]Indicators!O$32,'[3]Data(perSeason,perCrop)'!$C:$C,[3]Indicators!O$33,'[3]Data(perSeason,perCrop)'!$R:$R,"IRRIGATED")</f>
        <v>#VALUE!</v>
      </c>
      <c r="P34" s="60" t="e">
        <f>SUMIFS('[3]Data(perSeason,perCrop)'!$A:$A,'[3]Data(perSeason,perCrop)'!$S:$S,[3]Indicators!$A35,'[3]Data(perSeason,perCrop)'!$O:$O,[3]Indicators!P$32,'[3]Data(perSeason,perCrop)'!$C:$C,[3]Indicators!P$33,'[3]Data(perSeason,perCrop)'!$R:$R,"IRRIGATED")</f>
        <v>#VALUE!</v>
      </c>
      <c r="Q34" s="60" t="e">
        <f>SUMIFS('[3]Data(perSeason,perCrop)'!$A:$A,'[3]Data(perSeason,perCrop)'!$S:$S,[3]Indicators!$A35,'[3]Data(perSeason,perCrop)'!$O:$O,[3]Indicators!Q$32,'[3]Data(perSeason,perCrop)'!$C:$C,[3]Indicators!Q$33,'[3]Data(perSeason,perCrop)'!$R:$R,"IRRIGATED")</f>
        <v>#VALUE!</v>
      </c>
      <c r="R34" s="60" t="e">
        <f>SUMIFS('[3]Data(perSeason,perCrop)'!$A:$A,'[3]Data(perSeason,perCrop)'!$S:$S,[3]Indicators!$A35,'[3]Data(perSeason,perCrop)'!$O:$O,[3]Indicators!R$32,'[3]Data(perSeason,perCrop)'!$C:$C,[3]Indicators!R$33,'[3]Data(perSeason,perCrop)'!$R:$R,"IRRIGATED")</f>
        <v>#VALUE!</v>
      </c>
      <c r="S34" s="60" t="e">
        <f>SUMIFS('[3]Data(perSeason,perCrop)'!$A:$A,'[3]Data(perSeason,perCrop)'!$S:$S,[3]Indicators!$A35,'[3]Data(perSeason,perCrop)'!$O:$O,[3]Indicators!S$32,'[3]Data(perSeason,perCrop)'!$C:$C,[3]Indicators!S$33,'[3]Data(perSeason,perCrop)'!$R:$R,"IRRIGATED")</f>
        <v>#VALUE!</v>
      </c>
      <c r="T34" s="60" t="e">
        <f>SUMIFS('[3]Data(perSeason,perCrop)'!$A:$A,'[3]Data(perSeason,perCrop)'!$S:$S,[3]Indicators!$A35,'[3]Data(perSeason,perCrop)'!$O:$O,[3]Indicators!T$32,'[3]Data(perSeason,perCrop)'!$C:$C,[3]Indicators!T$33,'[3]Data(perSeason,perCrop)'!$R:$R,"IRRIGATED")</f>
        <v>#VALUE!</v>
      </c>
      <c r="U34" s="60" t="e">
        <f>SUMIFS('[3]Data(perSeason,perCrop)'!$A:$A,'[3]Data(perSeason,perCrop)'!$S:$S,[3]Indicators!$A35,'[3]Data(perSeason,perCrop)'!$O:$O,[3]Indicators!U$32,'[3]Data(perSeason,perCrop)'!$C:$C,[3]Indicators!U$33,'[3]Data(perSeason,perCrop)'!$R:$R,"IRRIGATED")</f>
        <v>#VALUE!</v>
      </c>
      <c r="V34" s="60" t="e">
        <f>SUMIFS('[3]Data(perSeason,perCrop)'!$A:$A,'[3]Data(perSeason,perCrop)'!$S:$S,[3]Indicators!$A35,'[3]Data(perSeason,perCrop)'!$O:$O,[3]Indicators!V$32,'[3]Data(perSeason,perCrop)'!$C:$C,[3]Indicators!V$33,'[3]Data(perSeason,perCrop)'!$R:$R,"IRRIGATED")</f>
        <v>#VALUE!</v>
      </c>
      <c r="W34" s="60" t="e">
        <f>SUMIFS('[3]Data(perSeason,perCrop)'!$A:$A,'[3]Data(perSeason,perCrop)'!$S:$S,[3]Indicators!$A35,'[3]Data(perSeason,perCrop)'!$O:$O,[3]Indicators!W$32,'[3]Data(perSeason,perCrop)'!$C:$C,[3]Indicators!W$33,'[3]Data(perSeason,perCrop)'!$R:$R,"IRRIGATED")</f>
        <v>#VALUE!</v>
      </c>
      <c r="X34" s="60" t="e">
        <f>SUMIFS('[3]Data(perSeason,perCrop)'!$A:$A,'[3]Data(perSeason,perCrop)'!$S:$S,[3]Indicators!$A35,'[3]Data(perSeason,perCrop)'!$O:$O,[3]Indicators!X$32,'[3]Data(perSeason,perCrop)'!$C:$C,[3]Indicators!X$33,'[3]Data(perSeason,perCrop)'!$R:$R,"IRRIGATED")</f>
        <v>#VALUE!</v>
      </c>
      <c r="Y34" s="60" t="e">
        <f>SUMIFS('[3]Data(perSeason,perCrop)'!$A:$A,'[3]Data(perSeason,perCrop)'!$S:$S,[3]Indicators!$A35,'[3]Data(perSeason,perCrop)'!$O:$O,[3]Indicators!Y$32,'[3]Data(perSeason,perCrop)'!$C:$C,[3]Indicators!Y$33,'[3]Data(perSeason,perCrop)'!$R:$R,"IRRIGATED")</f>
        <v>#VALUE!</v>
      </c>
      <c r="Z34" s="60" t="e">
        <f>SUMIFS('[3]Data(perSeason,perCrop)'!$A:$A,'[3]Data(perSeason,perCrop)'!$S:$S,[3]Indicators!$A35,'[3]Data(perSeason,perCrop)'!$O:$O,[3]Indicators!Z$32,'[3]Data(perSeason,perCrop)'!$C:$C,[3]Indicators!Z$33,'[3]Data(perSeason,perCrop)'!$R:$R,"IRRIGATED")</f>
        <v>#VALUE!</v>
      </c>
      <c r="AA34" s="60" t="e">
        <f>SUMIFS('[3]Data(perSeason,perCrop)'!$A:$A,'[3]Data(perSeason,perCrop)'!$S:$S,[3]Indicators!$A35,'[3]Data(perSeason,perCrop)'!$O:$O,[3]Indicators!AA$32,'[3]Data(perSeason,perCrop)'!$C:$C,[3]Indicators!AA$33,'[3]Data(perSeason,perCrop)'!$R:$R,"IRRIGATED")</f>
        <v>#VALUE!</v>
      </c>
      <c r="AB34" s="60" t="e">
        <f>SUMIFS('[3]Data(perSeason,perCrop)'!$A:$A,'[3]Data(perSeason,perCrop)'!$S:$S,[3]Indicators!$A35,'[3]Data(perSeason,perCrop)'!$O:$O,[3]Indicators!AB$32,'[3]Data(perSeason,perCrop)'!$C:$C,[3]Indicators!AB$33,'[3]Data(perSeason,perCrop)'!$R:$R,"IRRIGATED")</f>
        <v>#VALUE!</v>
      </c>
      <c r="AC34" s="60" t="e">
        <f>SUMIFS('[3]Data(perSeason,perCrop)'!$A:$A,'[3]Data(perSeason,perCrop)'!$S:$S,[3]Indicators!$A35,'[3]Data(perSeason,perCrop)'!$O:$O,[3]Indicators!AC$32,'[3]Data(perSeason,perCrop)'!$C:$C,[3]Indicators!AC$33,'[3]Data(perSeason,perCrop)'!$R:$R,"IRRIGATED")</f>
        <v>#VALUE!</v>
      </c>
      <c r="AD34" s="60" t="e">
        <f>SUMIFS('[3]Data(perSeason,perCrop)'!$A:$A,'[3]Data(perSeason,perCrop)'!$S:$S,[3]Indicators!$A35,'[3]Data(perSeason,perCrop)'!$O:$O,[3]Indicators!AD$32,'[3]Data(perSeason,perCrop)'!$C:$C,[3]Indicators!AD$33,'[3]Data(perSeason,perCrop)'!$R:$R,"IRRIGATED")</f>
        <v>#VALUE!</v>
      </c>
      <c r="AE34" s="60" t="e">
        <f>SUMIFS('[3]Data(perSeason,perCrop)'!$A:$A,'[3]Data(perSeason,perCrop)'!$S:$S,[3]Indicators!$A35,'[3]Data(perSeason,perCrop)'!$O:$O,[3]Indicators!AE$32,'[3]Data(perSeason,perCrop)'!$C:$C,[3]Indicators!AE$33,'[3]Data(perSeason,perCrop)'!$R:$R,"IRRIGATED")</f>
        <v>#VALUE!</v>
      </c>
      <c r="AF34" s="60" t="e">
        <f>SUMIFS('[3]Data(perSeason,perCrop)'!$A:$A,'[3]Data(perSeason,perCrop)'!$S:$S,[3]Indicators!$A35,'[3]Data(perSeason,perCrop)'!$O:$O,[3]Indicators!AF$32,'[3]Data(perSeason,perCrop)'!$C:$C,[3]Indicators!AF$33,'[3]Data(perSeason,perCrop)'!$R:$R,"IRRIGATED")</f>
        <v>#VALUE!</v>
      </c>
    </row>
    <row r="35" spans="1:32" ht="18.75" x14ac:dyDescent="0.3">
      <c r="A35" s="42">
        <v>2019</v>
      </c>
      <c r="B35" s="60" t="e">
        <f>SUMIFS('[3]Data(perSeason,perCrop)'!$A:$A,'[3]Data(perSeason,perCrop)'!$S:$S,[3]Indicators!$A36,'[3]Data(perSeason,perCrop)'!$O:$O,[3]Indicators!B$32,'[3]Data(perSeason,perCrop)'!$C:$C,[3]Indicators!B$33,'[3]Data(perSeason,perCrop)'!$R:$R,"IRRIGATED")</f>
        <v>#VALUE!</v>
      </c>
      <c r="C35" s="60" t="e">
        <f>SUMIFS('[3]Data(perSeason,perCrop)'!$A:$A,'[3]Data(perSeason,perCrop)'!$S:$S,[3]Indicators!$A36,'[3]Data(perSeason,perCrop)'!$O:$O,[3]Indicators!C$32,'[3]Data(perSeason,perCrop)'!$C:$C,[3]Indicators!C$33,'[3]Data(perSeason,perCrop)'!$R:$R,"IRRIGATED")</f>
        <v>#VALUE!</v>
      </c>
      <c r="D35" s="60" t="e">
        <f>SUMIFS('[3]Data(perSeason,perCrop)'!$A:$A,'[3]Data(perSeason,perCrop)'!$S:$S,[3]Indicators!$A36,'[3]Data(perSeason,perCrop)'!$O:$O,[3]Indicators!D$32,'[3]Data(perSeason,perCrop)'!$C:$C,[3]Indicators!D$33,'[3]Data(perSeason,perCrop)'!$R:$R,"IRRIGATED")</f>
        <v>#VALUE!</v>
      </c>
      <c r="E35" s="60" t="e">
        <f>SUMIFS('[3]Data(perSeason,perCrop)'!$A:$A,'[3]Data(perSeason,perCrop)'!$S:$S,[3]Indicators!$A36,'[3]Data(perSeason,perCrop)'!$O:$O,[3]Indicators!E$32,'[3]Data(perSeason,perCrop)'!$C:$C,[3]Indicators!E$33,'[3]Data(perSeason,perCrop)'!$R:$R,"IRRIGATED")</f>
        <v>#VALUE!</v>
      </c>
      <c r="F35" s="60" t="e">
        <f>SUMIFS('[3]Data(perSeason,perCrop)'!$A:$A,'[3]Data(perSeason,perCrop)'!$S:$S,[3]Indicators!$A36,'[3]Data(perSeason,perCrop)'!$O:$O,[3]Indicators!F$32,'[3]Data(perSeason,perCrop)'!$C:$C,[3]Indicators!F$33,'[3]Data(perSeason,perCrop)'!$R:$R,"IRRIGATED")</f>
        <v>#VALUE!</v>
      </c>
      <c r="G35" s="60" t="e">
        <f>SUMIFS('[3]Data(perSeason,perCrop)'!$A:$A,'[3]Data(perSeason,perCrop)'!$S:$S,[3]Indicators!$A36,'[3]Data(perSeason,perCrop)'!$O:$O,[3]Indicators!G$32,'[3]Data(perSeason,perCrop)'!$C:$C,[3]Indicators!G$33,'[3]Data(perSeason,perCrop)'!$R:$R,"IRRIGATED")</f>
        <v>#VALUE!</v>
      </c>
      <c r="H35" s="60" t="e">
        <f>SUMIFS('[3]Data(perSeason,perCrop)'!$A:$A,'[3]Data(perSeason,perCrop)'!$S:$S,[3]Indicators!$A36,'[3]Data(perSeason,perCrop)'!$O:$O,[3]Indicators!H$32,'[3]Data(perSeason,perCrop)'!$C:$C,[3]Indicators!H$33,'[3]Data(perSeason,perCrop)'!$R:$R,"IRRIGATED")</f>
        <v>#VALUE!</v>
      </c>
      <c r="I35" s="60" t="e">
        <f>SUMIFS('[3]Data(perSeason,perCrop)'!$A:$A,'[3]Data(perSeason,perCrop)'!$S:$S,[3]Indicators!$A36,'[3]Data(perSeason,perCrop)'!$O:$O,[3]Indicators!I$32,'[3]Data(perSeason,perCrop)'!$C:$C,[3]Indicators!I$33,'[3]Data(perSeason,perCrop)'!$R:$R,"IRRIGATED")</f>
        <v>#VALUE!</v>
      </c>
      <c r="J35" s="60" t="e">
        <f>SUMIFS('[3]Data(perSeason,perCrop)'!$A:$A,'[3]Data(perSeason,perCrop)'!$S:$S,[3]Indicators!$A36,'[3]Data(perSeason,perCrop)'!$O:$O,[3]Indicators!J$32,'[3]Data(perSeason,perCrop)'!$C:$C,[3]Indicators!J$33,'[3]Data(perSeason,perCrop)'!$R:$R,"IRRIGATED")</f>
        <v>#VALUE!</v>
      </c>
      <c r="K35" s="60" t="e">
        <f>SUMIFS('[3]Data(perSeason,perCrop)'!$A:$A,'[3]Data(perSeason,perCrop)'!$S:$S,[3]Indicators!$A36,'[3]Data(perSeason,perCrop)'!$O:$O,[3]Indicators!K$32,'[3]Data(perSeason,perCrop)'!$C:$C,[3]Indicators!K$33,'[3]Data(perSeason,perCrop)'!$R:$R,"IRRIGATED")</f>
        <v>#VALUE!</v>
      </c>
      <c r="L35" s="60" t="e">
        <f>SUMIFS('[3]Data(perSeason,perCrop)'!$A:$A,'[3]Data(perSeason,perCrop)'!$S:$S,[3]Indicators!$A36,'[3]Data(perSeason,perCrop)'!$O:$O,[3]Indicators!L$32,'[3]Data(perSeason,perCrop)'!$C:$C,[3]Indicators!L$33,'[3]Data(perSeason,perCrop)'!$R:$R,"IRRIGATED")</f>
        <v>#VALUE!</v>
      </c>
      <c r="M35" s="60" t="e">
        <f>SUMIFS('[3]Data(perSeason,perCrop)'!$A:$A,'[3]Data(perSeason,perCrop)'!$S:$S,[3]Indicators!$A36,'[3]Data(perSeason,perCrop)'!$O:$O,[3]Indicators!M$32,'[3]Data(perSeason,perCrop)'!$C:$C,[3]Indicators!M$33,'[3]Data(perSeason,perCrop)'!$R:$R,"IRRIGATED")</f>
        <v>#VALUE!</v>
      </c>
      <c r="N35" s="60" t="e">
        <f>SUMIFS('[3]Data(perSeason,perCrop)'!$A:$A,'[3]Data(perSeason,perCrop)'!$S:$S,[3]Indicators!$A36,'[3]Data(perSeason,perCrop)'!$O:$O,[3]Indicators!N$32,'[3]Data(perSeason,perCrop)'!$C:$C,[3]Indicators!N$33,'[3]Data(perSeason,perCrop)'!$R:$R,"IRRIGATED")</f>
        <v>#VALUE!</v>
      </c>
      <c r="O35" s="60" t="e">
        <f>SUMIFS('[3]Data(perSeason,perCrop)'!$A:$A,'[3]Data(perSeason,perCrop)'!$S:$S,[3]Indicators!$A36,'[3]Data(perSeason,perCrop)'!$O:$O,[3]Indicators!O$32,'[3]Data(perSeason,perCrop)'!$C:$C,[3]Indicators!O$33,'[3]Data(perSeason,perCrop)'!$R:$R,"IRRIGATED")</f>
        <v>#VALUE!</v>
      </c>
      <c r="P35" s="60" t="e">
        <f>SUMIFS('[3]Data(perSeason,perCrop)'!$A:$A,'[3]Data(perSeason,perCrop)'!$S:$S,[3]Indicators!$A36,'[3]Data(perSeason,perCrop)'!$O:$O,[3]Indicators!P$32,'[3]Data(perSeason,perCrop)'!$C:$C,[3]Indicators!P$33,'[3]Data(perSeason,perCrop)'!$R:$R,"IRRIGATED")</f>
        <v>#VALUE!</v>
      </c>
      <c r="Q35" s="60" t="e">
        <f>SUMIFS('[3]Data(perSeason,perCrop)'!$A:$A,'[3]Data(perSeason,perCrop)'!$S:$S,[3]Indicators!$A36,'[3]Data(perSeason,perCrop)'!$O:$O,[3]Indicators!Q$32,'[3]Data(perSeason,perCrop)'!$C:$C,[3]Indicators!Q$33,'[3]Data(perSeason,perCrop)'!$R:$R,"IRRIGATED")</f>
        <v>#VALUE!</v>
      </c>
      <c r="R35" s="60" t="e">
        <f>SUMIFS('[3]Data(perSeason,perCrop)'!$A:$A,'[3]Data(perSeason,perCrop)'!$S:$S,[3]Indicators!$A36,'[3]Data(perSeason,perCrop)'!$O:$O,[3]Indicators!R$32,'[3]Data(perSeason,perCrop)'!$C:$C,[3]Indicators!R$33,'[3]Data(perSeason,perCrop)'!$R:$R,"IRRIGATED")</f>
        <v>#VALUE!</v>
      </c>
      <c r="S35" s="60" t="e">
        <f>SUMIFS('[3]Data(perSeason,perCrop)'!$A:$A,'[3]Data(perSeason,perCrop)'!$S:$S,[3]Indicators!$A36,'[3]Data(perSeason,perCrop)'!$O:$O,[3]Indicators!S$32,'[3]Data(perSeason,perCrop)'!$C:$C,[3]Indicators!S$33,'[3]Data(perSeason,perCrop)'!$R:$R,"IRRIGATED")</f>
        <v>#VALUE!</v>
      </c>
      <c r="T35" s="60" t="e">
        <f>SUMIFS('[3]Data(perSeason,perCrop)'!$A:$A,'[3]Data(perSeason,perCrop)'!$S:$S,[3]Indicators!$A36,'[3]Data(perSeason,perCrop)'!$O:$O,[3]Indicators!T$32,'[3]Data(perSeason,perCrop)'!$C:$C,[3]Indicators!T$33,'[3]Data(perSeason,perCrop)'!$R:$R,"IRRIGATED")</f>
        <v>#VALUE!</v>
      </c>
      <c r="U35" s="60" t="e">
        <f>SUMIFS('[3]Data(perSeason,perCrop)'!$A:$A,'[3]Data(perSeason,perCrop)'!$S:$S,[3]Indicators!$A36,'[3]Data(perSeason,perCrop)'!$O:$O,[3]Indicators!U$32,'[3]Data(perSeason,perCrop)'!$C:$C,[3]Indicators!U$33,'[3]Data(perSeason,perCrop)'!$R:$R,"IRRIGATED")</f>
        <v>#VALUE!</v>
      </c>
      <c r="V35" s="60" t="e">
        <f>SUMIFS('[3]Data(perSeason,perCrop)'!$A:$A,'[3]Data(perSeason,perCrop)'!$S:$S,[3]Indicators!$A36,'[3]Data(perSeason,perCrop)'!$O:$O,[3]Indicators!V$32,'[3]Data(perSeason,perCrop)'!$C:$C,[3]Indicators!V$33,'[3]Data(perSeason,perCrop)'!$R:$R,"IRRIGATED")</f>
        <v>#VALUE!</v>
      </c>
      <c r="W35" s="60" t="e">
        <f>SUMIFS('[3]Data(perSeason,perCrop)'!$A:$A,'[3]Data(perSeason,perCrop)'!$S:$S,[3]Indicators!$A36,'[3]Data(perSeason,perCrop)'!$O:$O,[3]Indicators!W$32,'[3]Data(perSeason,perCrop)'!$C:$C,[3]Indicators!W$33,'[3]Data(perSeason,perCrop)'!$R:$R,"IRRIGATED")</f>
        <v>#VALUE!</v>
      </c>
      <c r="X35" s="60" t="e">
        <f>SUMIFS('[3]Data(perSeason,perCrop)'!$A:$A,'[3]Data(perSeason,perCrop)'!$S:$S,[3]Indicators!$A36,'[3]Data(perSeason,perCrop)'!$O:$O,[3]Indicators!X$32,'[3]Data(perSeason,perCrop)'!$C:$C,[3]Indicators!X$33,'[3]Data(perSeason,perCrop)'!$R:$R,"IRRIGATED")</f>
        <v>#VALUE!</v>
      </c>
      <c r="Y35" s="60" t="e">
        <f>SUMIFS('[3]Data(perSeason,perCrop)'!$A:$A,'[3]Data(perSeason,perCrop)'!$S:$S,[3]Indicators!$A36,'[3]Data(perSeason,perCrop)'!$O:$O,[3]Indicators!Y$32,'[3]Data(perSeason,perCrop)'!$C:$C,[3]Indicators!Y$33,'[3]Data(perSeason,perCrop)'!$R:$R,"IRRIGATED")</f>
        <v>#VALUE!</v>
      </c>
      <c r="Z35" s="60" t="e">
        <f>SUMIFS('[3]Data(perSeason,perCrop)'!$A:$A,'[3]Data(perSeason,perCrop)'!$S:$S,[3]Indicators!$A36,'[3]Data(perSeason,perCrop)'!$O:$O,[3]Indicators!Z$32,'[3]Data(perSeason,perCrop)'!$C:$C,[3]Indicators!Z$33,'[3]Data(perSeason,perCrop)'!$R:$R,"IRRIGATED")</f>
        <v>#VALUE!</v>
      </c>
      <c r="AA35" s="60" t="e">
        <f>SUMIFS('[3]Data(perSeason,perCrop)'!$A:$A,'[3]Data(perSeason,perCrop)'!$S:$S,[3]Indicators!$A36,'[3]Data(perSeason,perCrop)'!$O:$O,[3]Indicators!AA$32,'[3]Data(perSeason,perCrop)'!$C:$C,[3]Indicators!AA$33,'[3]Data(perSeason,perCrop)'!$R:$R,"IRRIGATED")</f>
        <v>#VALUE!</v>
      </c>
      <c r="AB35" s="60" t="e">
        <f>SUMIFS('[3]Data(perSeason,perCrop)'!$A:$A,'[3]Data(perSeason,perCrop)'!$S:$S,[3]Indicators!$A36,'[3]Data(perSeason,perCrop)'!$O:$O,[3]Indicators!AB$32,'[3]Data(perSeason,perCrop)'!$C:$C,[3]Indicators!AB$33,'[3]Data(perSeason,perCrop)'!$R:$R,"IRRIGATED")</f>
        <v>#VALUE!</v>
      </c>
      <c r="AC35" s="60" t="e">
        <f>SUMIFS('[3]Data(perSeason,perCrop)'!$A:$A,'[3]Data(perSeason,perCrop)'!$S:$S,[3]Indicators!$A36,'[3]Data(perSeason,perCrop)'!$O:$O,[3]Indicators!AC$32,'[3]Data(perSeason,perCrop)'!$C:$C,[3]Indicators!AC$33,'[3]Data(perSeason,perCrop)'!$R:$R,"IRRIGATED")</f>
        <v>#VALUE!</v>
      </c>
      <c r="AD35" s="60" t="e">
        <f>SUMIFS('[3]Data(perSeason,perCrop)'!$A:$A,'[3]Data(perSeason,perCrop)'!$S:$S,[3]Indicators!$A36,'[3]Data(perSeason,perCrop)'!$O:$O,[3]Indicators!AD$32,'[3]Data(perSeason,perCrop)'!$C:$C,[3]Indicators!AD$33,'[3]Data(perSeason,perCrop)'!$R:$R,"IRRIGATED")</f>
        <v>#VALUE!</v>
      </c>
      <c r="AE35" s="60" t="e">
        <f>SUMIFS('[3]Data(perSeason,perCrop)'!$A:$A,'[3]Data(perSeason,perCrop)'!$S:$S,[3]Indicators!$A36,'[3]Data(perSeason,perCrop)'!$O:$O,[3]Indicators!AE$32,'[3]Data(perSeason,perCrop)'!$C:$C,[3]Indicators!AE$33,'[3]Data(perSeason,perCrop)'!$R:$R,"IRRIGATED")</f>
        <v>#VALUE!</v>
      </c>
      <c r="AF35" s="60" t="e">
        <f>SUMIFS('[3]Data(perSeason,perCrop)'!$A:$A,'[3]Data(perSeason,perCrop)'!$S:$S,[3]Indicators!$A36,'[3]Data(perSeason,perCrop)'!$O:$O,[3]Indicators!AF$32,'[3]Data(perSeason,perCrop)'!$C:$C,[3]Indicators!AF$33,'[3]Data(perSeason,perCrop)'!$R:$R,"IRRIGATED")</f>
        <v>#VALUE!</v>
      </c>
    </row>
    <row r="36" spans="1:32" ht="18.75" x14ac:dyDescent="0.3">
      <c r="A36" s="42">
        <v>2020</v>
      </c>
      <c r="B36" s="60" t="e">
        <f>SUMIFS('[3]Data(perSeason,perCrop)'!$A:$A,'[3]Data(perSeason,perCrop)'!$S:$S,[3]Indicators!$A37,'[3]Data(perSeason,perCrop)'!$O:$O,[3]Indicators!B$32,'[3]Data(perSeason,perCrop)'!$C:$C,[3]Indicators!B$33,'[3]Data(perSeason,perCrop)'!$R:$R,"IRRIGATED")</f>
        <v>#VALUE!</v>
      </c>
      <c r="C36" s="60" t="e">
        <f>SUMIFS('[3]Data(perSeason,perCrop)'!$A:$A,'[3]Data(perSeason,perCrop)'!$S:$S,[3]Indicators!$A37,'[3]Data(perSeason,perCrop)'!$O:$O,[3]Indicators!C$32,'[3]Data(perSeason,perCrop)'!$C:$C,[3]Indicators!C$33,'[3]Data(perSeason,perCrop)'!$R:$R,"IRRIGATED")</f>
        <v>#VALUE!</v>
      </c>
      <c r="D36" s="60" t="e">
        <f>SUMIFS('[3]Data(perSeason,perCrop)'!$A:$A,'[3]Data(perSeason,perCrop)'!$S:$S,[3]Indicators!$A37,'[3]Data(perSeason,perCrop)'!$O:$O,[3]Indicators!D$32,'[3]Data(perSeason,perCrop)'!$C:$C,[3]Indicators!D$33,'[3]Data(perSeason,perCrop)'!$R:$R,"IRRIGATED")</f>
        <v>#VALUE!</v>
      </c>
      <c r="E36" s="60" t="e">
        <f>SUMIFS('[3]Data(perSeason,perCrop)'!$A:$A,'[3]Data(perSeason,perCrop)'!$S:$S,[3]Indicators!$A37,'[3]Data(perSeason,perCrop)'!$O:$O,[3]Indicators!E$32,'[3]Data(perSeason,perCrop)'!$C:$C,[3]Indicators!E$33,'[3]Data(perSeason,perCrop)'!$R:$R,"IRRIGATED")</f>
        <v>#VALUE!</v>
      </c>
      <c r="F36" s="60" t="e">
        <f>SUMIFS('[3]Data(perSeason,perCrop)'!$A:$A,'[3]Data(perSeason,perCrop)'!$S:$S,[3]Indicators!$A37,'[3]Data(perSeason,perCrop)'!$O:$O,[3]Indicators!F$32,'[3]Data(perSeason,perCrop)'!$C:$C,[3]Indicators!F$33,'[3]Data(perSeason,perCrop)'!$R:$R,"IRRIGATED")</f>
        <v>#VALUE!</v>
      </c>
      <c r="G36" s="60" t="e">
        <f>SUMIFS('[3]Data(perSeason,perCrop)'!$A:$A,'[3]Data(perSeason,perCrop)'!$S:$S,[3]Indicators!$A37,'[3]Data(perSeason,perCrop)'!$O:$O,[3]Indicators!G$32,'[3]Data(perSeason,perCrop)'!$C:$C,[3]Indicators!G$33,'[3]Data(perSeason,perCrop)'!$R:$R,"IRRIGATED")</f>
        <v>#VALUE!</v>
      </c>
      <c r="H36" s="60" t="e">
        <f>SUMIFS('[3]Data(perSeason,perCrop)'!$A:$A,'[3]Data(perSeason,perCrop)'!$S:$S,[3]Indicators!$A37,'[3]Data(perSeason,perCrop)'!$O:$O,[3]Indicators!H$32,'[3]Data(perSeason,perCrop)'!$C:$C,[3]Indicators!H$33,'[3]Data(perSeason,perCrop)'!$R:$R,"IRRIGATED")</f>
        <v>#VALUE!</v>
      </c>
      <c r="I36" s="60" t="e">
        <f>SUMIFS('[3]Data(perSeason,perCrop)'!$A:$A,'[3]Data(perSeason,perCrop)'!$S:$S,[3]Indicators!$A37,'[3]Data(perSeason,perCrop)'!$O:$O,[3]Indicators!I$32,'[3]Data(perSeason,perCrop)'!$C:$C,[3]Indicators!I$33,'[3]Data(perSeason,perCrop)'!$R:$R,"IRRIGATED")</f>
        <v>#VALUE!</v>
      </c>
      <c r="J36" s="60" t="e">
        <f>SUMIFS('[3]Data(perSeason,perCrop)'!$A:$A,'[3]Data(perSeason,perCrop)'!$S:$S,[3]Indicators!$A37,'[3]Data(perSeason,perCrop)'!$O:$O,[3]Indicators!J$32,'[3]Data(perSeason,perCrop)'!$C:$C,[3]Indicators!J$33,'[3]Data(perSeason,perCrop)'!$R:$R,"IRRIGATED")</f>
        <v>#VALUE!</v>
      </c>
      <c r="K36" s="60" t="e">
        <f>SUMIFS('[3]Data(perSeason,perCrop)'!$A:$A,'[3]Data(perSeason,perCrop)'!$S:$S,[3]Indicators!$A37,'[3]Data(perSeason,perCrop)'!$O:$O,[3]Indicators!K$32,'[3]Data(perSeason,perCrop)'!$C:$C,[3]Indicators!K$33,'[3]Data(perSeason,perCrop)'!$R:$R,"IRRIGATED")</f>
        <v>#VALUE!</v>
      </c>
      <c r="L36" s="60" t="e">
        <f>SUMIFS('[3]Data(perSeason,perCrop)'!$A:$A,'[3]Data(perSeason,perCrop)'!$S:$S,[3]Indicators!$A37,'[3]Data(perSeason,perCrop)'!$O:$O,[3]Indicators!L$32,'[3]Data(perSeason,perCrop)'!$C:$C,[3]Indicators!L$33,'[3]Data(perSeason,perCrop)'!$R:$R,"IRRIGATED")</f>
        <v>#VALUE!</v>
      </c>
      <c r="M36" s="60" t="e">
        <f>SUMIFS('[3]Data(perSeason,perCrop)'!$A:$A,'[3]Data(perSeason,perCrop)'!$S:$S,[3]Indicators!$A37,'[3]Data(perSeason,perCrop)'!$O:$O,[3]Indicators!M$32,'[3]Data(perSeason,perCrop)'!$C:$C,[3]Indicators!M$33,'[3]Data(perSeason,perCrop)'!$R:$R,"IRRIGATED")</f>
        <v>#VALUE!</v>
      </c>
      <c r="N36" s="60" t="e">
        <f>SUMIFS('[3]Data(perSeason,perCrop)'!$A:$A,'[3]Data(perSeason,perCrop)'!$S:$S,[3]Indicators!$A37,'[3]Data(perSeason,perCrop)'!$O:$O,[3]Indicators!N$32,'[3]Data(perSeason,perCrop)'!$C:$C,[3]Indicators!N$33,'[3]Data(perSeason,perCrop)'!$R:$R,"IRRIGATED")</f>
        <v>#VALUE!</v>
      </c>
      <c r="O36" s="60" t="e">
        <f>SUMIFS('[3]Data(perSeason,perCrop)'!$A:$A,'[3]Data(perSeason,perCrop)'!$S:$S,[3]Indicators!$A37,'[3]Data(perSeason,perCrop)'!$O:$O,[3]Indicators!O$32,'[3]Data(perSeason,perCrop)'!$C:$C,[3]Indicators!O$33,'[3]Data(perSeason,perCrop)'!$R:$R,"IRRIGATED")</f>
        <v>#VALUE!</v>
      </c>
      <c r="P36" s="60" t="e">
        <f>SUMIFS('[3]Data(perSeason,perCrop)'!$A:$A,'[3]Data(perSeason,perCrop)'!$S:$S,[3]Indicators!$A37,'[3]Data(perSeason,perCrop)'!$O:$O,[3]Indicators!P$32,'[3]Data(perSeason,perCrop)'!$C:$C,[3]Indicators!P$33,'[3]Data(perSeason,perCrop)'!$R:$R,"IRRIGATED")</f>
        <v>#VALUE!</v>
      </c>
      <c r="Q36" s="60" t="e">
        <f>SUMIFS('[3]Data(perSeason,perCrop)'!$A:$A,'[3]Data(perSeason,perCrop)'!$S:$S,[3]Indicators!$A37,'[3]Data(perSeason,perCrop)'!$O:$O,[3]Indicators!Q$32,'[3]Data(perSeason,perCrop)'!$C:$C,[3]Indicators!Q$33,'[3]Data(perSeason,perCrop)'!$R:$R,"IRRIGATED")</f>
        <v>#VALUE!</v>
      </c>
      <c r="R36" s="60" t="e">
        <f>SUMIFS('[3]Data(perSeason,perCrop)'!$A:$A,'[3]Data(perSeason,perCrop)'!$S:$S,[3]Indicators!$A37,'[3]Data(perSeason,perCrop)'!$O:$O,[3]Indicators!R$32,'[3]Data(perSeason,perCrop)'!$C:$C,[3]Indicators!R$33,'[3]Data(perSeason,perCrop)'!$R:$R,"IRRIGATED")</f>
        <v>#VALUE!</v>
      </c>
      <c r="S36" s="60" t="e">
        <f>SUMIFS('[3]Data(perSeason,perCrop)'!$A:$A,'[3]Data(perSeason,perCrop)'!$S:$S,[3]Indicators!$A37,'[3]Data(perSeason,perCrop)'!$O:$O,[3]Indicators!S$32,'[3]Data(perSeason,perCrop)'!$C:$C,[3]Indicators!S$33,'[3]Data(perSeason,perCrop)'!$R:$R,"IRRIGATED")</f>
        <v>#VALUE!</v>
      </c>
      <c r="T36" s="60" t="e">
        <f>SUMIFS('[3]Data(perSeason,perCrop)'!$A:$A,'[3]Data(perSeason,perCrop)'!$S:$S,[3]Indicators!$A37,'[3]Data(perSeason,perCrop)'!$O:$O,[3]Indicators!T$32,'[3]Data(perSeason,perCrop)'!$C:$C,[3]Indicators!T$33,'[3]Data(perSeason,perCrop)'!$R:$R,"IRRIGATED")</f>
        <v>#VALUE!</v>
      </c>
      <c r="U36" s="60" t="e">
        <f>SUMIFS('[3]Data(perSeason,perCrop)'!$A:$A,'[3]Data(perSeason,perCrop)'!$S:$S,[3]Indicators!$A37,'[3]Data(perSeason,perCrop)'!$O:$O,[3]Indicators!U$32,'[3]Data(perSeason,perCrop)'!$C:$C,[3]Indicators!U$33,'[3]Data(perSeason,perCrop)'!$R:$R,"IRRIGATED")</f>
        <v>#VALUE!</v>
      </c>
      <c r="V36" s="60" t="e">
        <f>SUMIFS('[3]Data(perSeason,perCrop)'!$A:$A,'[3]Data(perSeason,perCrop)'!$S:$S,[3]Indicators!$A37,'[3]Data(perSeason,perCrop)'!$O:$O,[3]Indicators!V$32,'[3]Data(perSeason,perCrop)'!$C:$C,[3]Indicators!V$33,'[3]Data(perSeason,perCrop)'!$R:$R,"IRRIGATED")</f>
        <v>#VALUE!</v>
      </c>
      <c r="W36" s="60" t="e">
        <f>SUMIFS('[3]Data(perSeason,perCrop)'!$A:$A,'[3]Data(perSeason,perCrop)'!$S:$S,[3]Indicators!$A37,'[3]Data(perSeason,perCrop)'!$O:$O,[3]Indicators!W$32,'[3]Data(perSeason,perCrop)'!$C:$C,[3]Indicators!W$33,'[3]Data(perSeason,perCrop)'!$R:$R,"IRRIGATED")</f>
        <v>#VALUE!</v>
      </c>
      <c r="X36" s="60" t="e">
        <f>SUMIFS('[3]Data(perSeason,perCrop)'!$A:$A,'[3]Data(perSeason,perCrop)'!$S:$S,[3]Indicators!$A37,'[3]Data(perSeason,perCrop)'!$O:$O,[3]Indicators!X$32,'[3]Data(perSeason,perCrop)'!$C:$C,[3]Indicators!X$33,'[3]Data(perSeason,perCrop)'!$R:$R,"IRRIGATED")</f>
        <v>#VALUE!</v>
      </c>
      <c r="Y36" s="60" t="e">
        <f>SUMIFS('[3]Data(perSeason,perCrop)'!$A:$A,'[3]Data(perSeason,perCrop)'!$S:$S,[3]Indicators!$A37,'[3]Data(perSeason,perCrop)'!$O:$O,[3]Indicators!Y$32,'[3]Data(perSeason,perCrop)'!$C:$C,[3]Indicators!Y$33,'[3]Data(perSeason,perCrop)'!$R:$R,"IRRIGATED")</f>
        <v>#VALUE!</v>
      </c>
      <c r="Z36" s="60" t="e">
        <f>SUMIFS('[3]Data(perSeason,perCrop)'!$A:$A,'[3]Data(perSeason,perCrop)'!$S:$S,[3]Indicators!$A37,'[3]Data(perSeason,perCrop)'!$O:$O,[3]Indicators!Z$32,'[3]Data(perSeason,perCrop)'!$C:$C,[3]Indicators!Z$33,'[3]Data(perSeason,perCrop)'!$R:$R,"IRRIGATED")</f>
        <v>#VALUE!</v>
      </c>
      <c r="AA36" s="60" t="e">
        <f>SUMIFS('[3]Data(perSeason,perCrop)'!$A:$A,'[3]Data(perSeason,perCrop)'!$S:$S,[3]Indicators!$A37,'[3]Data(perSeason,perCrop)'!$O:$O,[3]Indicators!AA$32,'[3]Data(perSeason,perCrop)'!$C:$C,[3]Indicators!AA$33,'[3]Data(perSeason,perCrop)'!$R:$R,"IRRIGATED")</f>
        <v>#VALUE!</v>
      </c>
      <c r="AB36" s="60" t="e">
        <f>SUMIFS('[3]Data(perSeason,perCrop)'!$A:$A,'[3]Data(perSeason,perCrop)'!$S:$S,[3]Indicators!$A37,'[3]Data(perSeason,perCrop)'!$O:$O,[3]Indicators!AB$32,'[3]Data(perSeason,perCrop)'!$C:$C,[3]Indicators!AB$33,'[3]Data(perSeason,perCrop)'!$R:$R,"IRRIGATED")</f>
        <v>#VALUE!</v>
      </c>
      <c r="AC36" s="60" t="e">
        <f>SUMIFS('[3]Data(perSeason,perCrop)'!$A:$A,'[3]Data(perSeason,perCrop)'!$S:$S,[3]Indicators!$A37,'[3]Data(perSeason,perCrop)'!$O:$O,[3]Indicators!AC$32,'[3]Data(perSeason,perCrop)'!$C:$C,[3]Indicators!AC$33,'[3]Data(perSeason,perCrop)'!$R:$R,"IRRIGATED")</f>
        <v>#VALUE!</v>
      </c>
      <c r="AD36" s="60" t="e">
        <f>SUMIFS('[3]Data(perSeason,perCrop)'!$A:$A,'[3]Data(perSeason,perCrop)'!$S:$S,[3]Indicators!$A37,'[3]Data(perSeason,perCrop)'!$O:$O,[3]Indicators!AD$32,'[3]Data(perSeason,perCrop)'!$C:$C,[3]Indicators!AD$33,'[3]Data(perSeason,perCrop)'!$R:$R,"IRRIGATED")</f>
        <v>#VALUE!</v>
      </c>
      <c r="AE36" s="60" t="e">
        <f>SUMIFS('[3]Data(perSeason,perCrop)'!$A:$A,'[3]Data(perSeason,perCrop)'!$S:$S,[3]Indicators!$A37,'[3]Data(perSeason,perCrop)'!$O:$O,[3]Indicators!AE$32,'[3]Data(perSeason,perCrop)'!$C:$C,[3]Indicators!AE$33,'[3]Data(perSeason,perCrop)'!$R:$R,"IRRIGATED")</f>
        <v>#VALUE!</v>
      </c>
      <c r="AF36" s="60" t="e">
        <f>SUMIFS('[3]Data(perSeason,perCrop)'!$A:$A,'[3]Data(perSeason,perCrop)'!$S:$S,[3]Indicators!$A37,'[3]Data(perSeason,perCrop)'!$O:$O,[3]Indicators!AF$32,'[3]Data(perSeason,perCrop)'!$C:$C,[3]Indicators!AF$33,'[3]Data(perSeason,perCrop)'!$R:$R,"IRRIGATED")</f>
        <v>#VALUE!</v>
      </c>
    </row>
    <row r="37" spans="1:32" ht="18.75" x14ac:dyDescent="0.3">
      <c r="A37" s="42">
        <v>2021</v>
      </c>
      <c r="B37" s="60" t="e">
        <f>SUMIFS('[3]Data(perSeason,perCrop)'!$A:$A,'[3]Data(perSeason,perCrop)'!$S:$S,[3]Indicators!$A38,'[3]Data(perSeason,perCrop)'!$O:$O,[3]Indicators!B$32,'[3]Data(perSeason,perCrop)'!$C:$C,[3]Indicators!B$33,'[3]Data(perSeason,perCrop)'!$R:$R,"IRRIGATED")</f>
        <v>#VALUE!</v>
      </c>
      <c r="C37" s="60" t="e">
        <f>SUMIFS('[3]Data(perSeason,perCrop)'!$A:$A,'[3]Data(perSeason,perCrop)'!$S:$S,[3]Indicators!$A38,'[3]Data(perSeason,perCrop)'!$O:$O,[3]Indicators!C$32,'[3]Data(perSeason,perCrop)'!$C:$C,[3]Indicators!C$33,'[3]Data(perSeason,perCrop)'!$R:$R,"IRRIGATED")</f>
        <v>#VALUE!</v>
      </c>
      <c r="D37" s="60" t="e">
        <f>SUMIFS('[3]Data(perSeason,perCrop)'!$A:$A,'[3]Data(perSeason,perCrop)'!$S:$S,[3]Indicators!$A38,'[3]Data(perSeason,perCrop)'!$O:$O,[3]Indicators!D$32,'[3]Data(perSeason,perCrop)'!$C:$C,[3]Indicators!D$33,'[3]Data(perSeason,perCrop)'!$R:$R,"IRRIGATED")</f>
        <v>#VALUE!</v>
      </c>
      <c r="E37" s="60" t="e">
        <f>SUMIFS('[3]Data(perSeason,perCrop)'!$A:$A,'[3]Data(perSeason,perCrop)'!$S:$S,[3]Indicators!$A38,'[3]Data(perSeason,perCrop)'!$O:$O,[3]Indicators!E$32,'[3]Data(perSeason,perCrop)'!$C:$C,[3]Indicators!E$33,'[3]Data(perSeason,perCrop)'!$R:$R,"IRRIGATED")</f>
        <v>#VALUE!</v>
      </c>
      <c r="F37" s="60" t="e">
        <f>SUMIFS('[3]Data(perSeason,perCrop)'!$A:$A,'[3]Data(perSeason,perCrop)'!$S:$S,[3]Indicators!$A38,'[3]Data(perSeason,perCrop)'!$O:$O,[3]Indicators!F$32,'[3]Data(perSeason,perCrop)'!$C:$C,[3]Indicators!F$33,'[3]Data(perSeason,perCrop)'!$R:$R,"IRRIGATED")</f>
        <v>#VALUE!</v>
      </c>
      <c r="G37" s="60" t="e">
        <f>SUMIFS('[3]Data(perSeason,perCrop)'!$A:$A,'[3]Data(perSeason,perCrop)'!$S:$S,[3]Indicators!$A38,'[3]Data(perSeason,perCrop)'!$O:$O,[3]Indicators!G$32,'[3]Data(perSeason,perCrop)'!$C:$C,[3]Indicators!G$33,'[3]Data(perSeason,perCrop)'!$R:$R,"IRRIGATED")</f>
        <v>#VALUE!</v>
      </c>
      <c r="H37" s="60" t="e">
        <f>SUMIFS('[3]Data(perSeason,perCrop)'!$A:$A,'[3]Data(perSeason,perCrop)'!$S:$S,[3]Indicators!$A38,'[3]Data(perSeason,perCrop)'!$O:$O,[3]Indicators!H$32,'[3]Data(perSeason,perCrop)'!$C:$C,[3]Indicators!H$33,'[3]Data(perSeason,perCrop)'!$R:$R,"IRRIGATED")</f>
        <v>#VALUE!</v>
      </c>
      <c r="I37" s="60" t="e">
        <f>SUMIFS('[3]Data(perSeason,perCrop)'!$A:$A,'[3]Data(perSeason,perCrop)'!$S:$S,[3]Indicators!$A38,'[3]Data(perSeason,perCrop)'!$O:$O,[3]Indicators!I$32,'[3]Data(perSeason,perCrop)'!$C:$C,[3]Indicators!I$33,'[3]Data(perSeason,perCrop)'!$R:$R,"IRRIGATED")</f>
        <v>#VALUE!</v>
      </c>
      <c r="J37" s="60" t="e">
        <f>SUMIFS('[3]Data(perSeason,perCrop)'!$A:$A,'[3]Data(perSeason,perCrop)'!$S:$S,[3]Indicators!$A38,'[3]Data(perSeason,perCrop)'!$O:$O,[3]Indicators!J$32,'[3]Data(perSeason,perCrop)'!$C:$C,[3]Indicators!J$33,'[3]Data(perSeason,perCrop)'!$R:$R,"IRRIGATED")</f>
        <v>#VALUE!</v>
      </c>
      <c r="K37" s="60" t="e">
        <f>SUMIFS('[3]Data(perSeason,perCrop)'!$A:$A,'[3]Data(perSeason,perCrop)'!$S:$S,[3]Indicators!$A38,'[3]Data(perSeason,perCrop)'!$O:$O,[3]Indicators!K$32,'[3]Data(perSeason,perCrop)'!$C:$C,[3]Indicators!K$33,'[3]Data(perSeason,perCrop)'!$R:$R,"IRRIGATED")</f>
        <v>#VALUE!</v>
      </c>
      <c r="L37" s="60" t="e">
        <f>SUMIFS('[3]Data(perSeason,perCrop)'!$A:$A,'[3]Data(perSeason,perCrop)'!$S:$S,[3]Indicators!$A38,'[3]Data(perSeason,perCrop)'!$O:$O,[3]Indicators!L$32,'[3]Data(perSeason,perCrop)'!$C:$C,[3]Indicators!L$33,'[3]Data(perSeason,perCrop)'!$R:$R,"IRRIGATED")</f>
        <v>#VALUE!</v>
      </c>
      <c r="M37" s="60" t="e">
        <f>SUMIFS('[3]Data(perSeason,perCrop)'!$A:$A,'[3]Data(perSeason,perCrop)'!$S:$S,[3]Indicators!$A38,'[3]Data(perSeason,perCrop)'!$O:$O,[3]Indicators!M$32,'[3]Data(perSeason,perCrop)'!$C:$C,[3]Indicators!M$33,'[3]Data(perSeason,perCrop)'!$R:$R,"IRRIGATED")</f>
        <v>#VALUE!</v>
      </c>
      <c r="N37" s="60" t="e">
        <f>SUMIFS('[3]Data(perSeason,perCrop)'!$A:$A,'[3]Data(perSeason,perCrop)'!$S:$S,[3]Indicators!$A38,'[3]Data(perSeason,perCrop)'!$O:$O,[3]Indicators!N$32,'[3]Data(perSeason,perCrop)'!$C:$C,[3]Indicators!N$33,'[3]Data(perSeason,perCrop)'!$R:$R,"IRRIGATED")</f>
        <v>#VALUE!</v>
      </c>
      <c r="O37" s="60" t="e">
        <f>SUMIFS('[3]Data(perSeason,perCrop)'!$A:$A,'[3]Data(perSeason,perCrop)'!$S:$S,[3]Indicators!$A38,'[3]Data(perSeason,perCrop)'!$O:$O,[3]Indicators!O$32,'[3]Data(perSeason,perCrop)'!$C:$C,[3]Indicators!O$33,'[3]Data(perSeason,perCrop)'!$R:$R,"IRRIGATED")</f>
        <v>#VALUE!</v>
      </c>
      <c r="P37" s="60" t="e">
        <f>SUMIFS('[3]Data(perSeason,perCrop)'!$A:$A,'[3]Data(perSeason,perCrop)'!$S:$S,[3]Indicators!$A38,'[3]Data(perSeason,perCrop)'!$O:$O,[3]Indicators!P$32,'[3]Data(perSeason,perCrop)'!$C:$C,[3]Indicators!P$33,'[3]Data(perSeason,perCrop)'!$R:$R,"IRRIGATED")</f>
        <v>#VALUE!</v>
      </c>
      <c r="Q37" s="60" t="e">
        <f>SUMIFS('[3]Data(perSeason,perCrop)'!$A:$A,'[3]Data(perSeason,perCrop)'!$S:$S,[3]Indicators!$A38,'[3]Data(perSeason,perCrop)'!$O:$O,[3]Indicators!Q$32,'[3]Data(perSeason,perCrop)'!$C:$C,[3]Indicators!Q$33,'[3]Data(perSeason,perCrop)'!$R:$R,"IRRIGATED")</f>
        <v>#VALUE!</v>
      </c>
      <c r="R37" s="60" t="e">
        <f>SUMIFS('[3]Data(perSeason,perCrop)'!$A:$A,'[3]Data(perSeason,perCrop)'!$S:$S,[3]Indicators!$A38,'[3]Data(perSeason,perCrop)'!$O:$O,[3]Indicators!R$32,'[3]Data(perSeason,perCrop)'!$C:$C,[3]Indicators!R$33,'[3]Data(perSeason,perCrop)'!$R:$R,"IRRIGATED")</f>
        <v>#VALUE!</v>
      </c>
      <c r="S37" s="60" t="e">
        <f>SUMIFS('[3]Data(perSeason,perCrop)'!$A:$A,'[3]Data(perSeason,perCrop)'!$S:$S,[3]Indicators!$A38,'[3]Data(perSeason,perCrop)'!$O:$O,[3]Indicators!S$32,'[3]Data(perSeason,perCrop)'!$C:$C,[3]Indicators!S$33,'[3]Data(perSeason,perCrop)'!$R:$R,"IRRIGATED")</f>
        <v>#VALUE!</v>
      </c>
      <c r="T37" s="60" t="e">
        <f>SUMIFS('[3]Data(perSeason,perCrop)'!$A:$A,'[3]Data(perSeason,perCrop)'!$S:$S,[3]Indicators!$A38,'[3]Data(perSeason,perCrop)'!$O:$O,[3]Indicators!T$32,'[3]Data(perSeason,perCrop)'!$C:$C,[3]Indicators!T$33,'[3]Data(perSeason,perCrop)'!$R:$R,"IRRIGATED")</f>
        <v>#VALUE!</v>
      </c>
      <c r="U37" s="60" t="e">
        <f>SUMIFS('[3]Data(perSeason,perCrop)'!$A:$A,'[3]Data(perSeason,perCrop)'!$S:$S,[3]Indicators!$A38,'[3]Data(perSeason,perCrop)'!$O:$O,[3]Indicators!U$32,'[3]Data(perSeason,perCrop)'!$C:$C,[3]Indicators!U$33,'[3]Data(perSeason,perCrop)'!$R:$R,"IRRIGATED")</f>
        <v>#VALUE!</v>
      </c>
      <c r="V37" s="60" t="e">
        <f>SUMIFS('[3]Data(perSeason,perCrop)'!$A:$A,'[3]Data(perSeason,perCrop)'!$S:$S,[3]Indicators!$A38,'[3]Data(perSeason,perCrop)'!$O:$O,[3]Indicators!V$32,'[3]Data(perSeason,perCrop)'!$C:$C,[3]Indicators!V$33,'[3]Data(perSeason,perCrop)'!$R:$R,"IRRIGATED")</f>
        <v>#VALUE!</v>
      </c>
      <c r="W37" s="60" t="e">
        <f>SUMIFS('[3]Data(perSeason,perCrop)'!$A:$A,'[3]Data(perSeason,perCrop)'!$S:$S,[3]Indicators!$A38,'[3]Data(perSeason,perCrop)'!$O:$O,[3]Indicators!W$32,'[3]Data(perSeason,perCrop)'!$C:$C,[3]Indicators!W$33,'[3]Data(perSeason,perCrop)'!$R:$R,"IRRIGATED")</f>
        <v>#VALUE!</v>
      </c>
      <c r="X37" s="60" t="e">
        <f>SUMIFS('[3]Data(perSeason,perCrop)'!$A:$A,'[3]Data(perSeason,perCrop)'!$S:$S,[3]Indicators!$A38,'[3]Data(perSeason,perCrop)'!$O:$O,[3]Indicators!X$32,'[3]Data(perSeason,perCrop)'!$C:$C,[3]Indicators!X$33,'[3]Data(perSeason,perCrop)'!$R:$R,"IRRIGATED")</f>
        <v>#VALUE!</v>
      </c>
      <c r="Y37" s="60" t="e">
        <f>SUMIFS('[3]Data(perSeason,perCrop)'!$A:$A,'[3]Data(perSeason,perCrop)'!$S:$S,[3]Indicators!$A38,'[3]Data(perSeason,perCrop)'!$O:$O,[3]Indicators!Y$32,'[3]Data(perSeason,perCrop)'!$C:$C,[3]Indicators!Y$33,'[3]Data(perSeason,perCrop)'!$R:$R,"IRRIGATED")</f>
        <v>#VALUE!</v>
      </c>
      <c r="Z37" s="60" t="e">
        <f>SUMIFS('[3]Data(perSeason,perCrop)'!$A:$A,'[3]Data(perSeason,perCrop)'!$S:$S,[3]Indicators!$A38,'[3]Data(perSeason,perCrop)'!$O:$O,[3]Indicators!Z$32,'[3]Data(perSeason,perCrop)'!$C:$C,[3]Indicators!Z$33,'[3]Data(perSeason,perCrop)'!$R:$R,"IRRIGATED")</f>
        <v>#VALUE!</v>
      </c>
      <c r="AA37" s="60" t="e">
        <f>SUMIFS('[3]Data(perSeason,perCrop)'!$A:$A,'[3]Data(perSeason,perCrop)'!$S:$S,[3]Indicators!$A38,'[3]Data(perSeason,perCrop)'!$O:$O,[3]Indicators!AA$32,'[3]Data(perSeason,perCrop)'!$C:$C,[3]Indicators!AA$33,'[3]Data(perSeason,perCrop)'!$R:$R,"IRRIGATED")</f>
        <v>#VALUE!</v>
      </c>
      <c r="AB37" s="60" t="e">
        <f>SUMIFS('[3]Data(perSeason,perCrop)'!$A:$A,'[3]Data(perSeason,perCrop)'!$S:$S,[3]Indicators!$A38,'[3]Data(perSeason,perCrop)'!$O:$O,[3]Indicators!AB$32,'[3]Data(perSeason,perCrop)'!$C:$C,[3]Indicators!AB$33,'[3]Data(perSeason,perCrop)'!$R:$R,"IRRIGATED")</f>
        <v>#VALUE!</v>
      </c>
      <c r="AC37" s="60" t="e">
        <f>SUMIFS('[3]Data(perSeason,perCrop)'!$A:$A,'[3]Data(perSeason,perCrop)'!$S:$S,[3]Indicators!$A38,'[3]Data(perSeason,perCrop)'!$O:$O,[3]Indicators!AC$32,'[3]Data(perSeason,perCrop)'!$C:$C,[3]Indicators!AC$33,'[3]Data(perSeason,perCrop)'!$R:$R,"IRRIGATED")</f>
        <v>#VALUE!</v>
      </c>
      <c r="AD37" s="60" t="e">
        <f>SUMIFS('[3]Data(perSeason,perCrop)'!$A:$A,'[3]Data(perSeason,perCrop)'!$S:$S,[3]Indicators!$A38,'[3]Data(perSeason,perCrop)'!$O:$O,[3]Indicators!AD$32,'[3]Data(perSeason,perCrop)'!$C:$C,[3]Indicators!AD$33,'[3]Data(perSeason,perCrop)'!$R:$R,"IRRIGATED")</f>
        <v>#VALUE!</v>
      </c>
      <c r="AE37" s="60" t="e">
        <f>SUMIFS('[3]Data(perSeason,perCrop)'!$A:$A,'[3]Data(perSeason,perCrop)'!$S:$S,[3]Indicators!$A38,'[3]Data(perSeason,perCrop)'!$O:$O,[3]Indicators!AE$32,'[3]Data(perSeason,perCrop)'!$C:$C,[3]Indicators!AE$33,'[3]Data(perSeason,perCrop)'!$R:$R,"IRRIGATED")</f>
        <v>#VALUE!</v>
      </c>
      <c r="AF37" s="60" t="e">
        <f>SUMIFS('[3]Data(perSeason,perCrop)'!$A:$A,'[3]Data(perSeason,perCrop)'!$S:$S,[3]Indicators!$A38,'[3]Data(perSeason,perCrop)'!$O:$O,[3]Indicators!AF$32,'[3]Data(perSeason,perCrop)'!$C:$C,[3]Indicators!AF$33,'[3]Data(perSeason,perCrop)'!$R:$R,"IRRIGATED")</f>
        <v>#VALUE!</v>
      </c>
    </row>
    <row r="38" spans="1:32" ht="18.75" x14ac:dyDescent="0.3">
      <c r="A38" s="42">
        <v>2022</v>
      </c>
      <c r="B38" s="60" t="e">
        <f>SUMIFS('[3]Data(perSeason,perCrop)'!$A:$A,'[3]Data(perSeason,perCrop)'!$S:$S,[3]Indicators!$A39,'[3]Data(perSeason,perCrop)'!$O:$O,[3]Indicators!B$32,'[3]Data(perSeason,perCrop)'!$C:$C,[3]Indicators!B$33,'[3]Data(perSeason,perCrop)'!$R:$R,"IRRIGATED")</f>
        <v>#VALUE!</v>
      </c>
      <c r="C38" s="60" t="e">
        <f>SUMIFS('[3]Data(perSeason,perCrop)'!$A:$A,'[3]Data(perSeason,perCrop)'!$S:$S,[3]Indicators!$A39,'[3]Data(perSeason,perCrop)'!$O:$O,[3]Indicators!C$32,'[3]Data(perSeason,perCrop)'!$C:$C,[3]Indicators!C$33,'[3]Data(perSeason,perCrop)'!$R:$R,"IRRIGATED")</f>
        <v>#VALUE!</v>
      </c>
      <c r="D38" s="60" t="e">
        <f>SUMIFS('[3]Data(perSeason,perCrop)'!$A:$A,'[3]Data(perSeason,perCrop)'!$S:$S,[3]Indicators!$A39,'[3]Data(perSeason,perCrop)'!$O:$O,[3]Indicators!D$32,'[3]Data(perSeason,perCrop)'!$C:$C,[3]Indicators!D$33,'[3]Data(perSeason,perCrop)'!$R:$R,"IRRIGATED")</f>
        <v>#VALUE!</v>
      </c>
      <c r="E38" s="60" t="e">
        <f>SUMIFS('[3]Data(perSeason,perCrop)'!$A:$A,'[3]Data(perSeason,perCrop)'!$S:$S,[3]Indicators!$A39,'[3]Data(perSeason,perCrop)'!$O:$O,[3]Indicators!E$32,'[3]Data(perSeason,perCrop)'!$C:$C,[3]Indicators!E$33,'[3]Data(perSeason,perCrop)'!$R:$R,"IRRIGATED")</f>
        <v>#VALUE!</v>
      </c>
      <c r="F38" s="60" t="e">
        <f>SUMIFS('[3]Data(perSeason,perCrop)'!$A:$A,'[3]Data(perSeason,perCrop)'!$S:$S,[3]Indicators!$A39,'[3]Data(perSeason,perCrop)'!$O:$O,[3]Indicators!F$32,'[3]Data(perSeason,perCrop)'!$C:$C,[3]Indicators!F$33,'[3]Data(perSeason,perCrop)'!$R:$R,"IRRIGATED")</f>
        <v>#VALUE!</v>
      </c>
      <c r="G38" s="60" t="e">
        <f>SUMIFS('[3]Data(perSeason,perCrop)'!$A:$A,'[3]Data(perSeason,perCrop)'!$S:$S,[3]Indicators!$A39,'[3]Data(perSeason,perCrop)'!$O:$O,[3]Indicators!G$32,'[3]Data(perSeason,perCrop)'!$C:$C,[3]Indicators!G$33,'[3]Data(perSeason,perCrop)'!$R:$R,"IRRIGATED")</f>
        <v>#VALUE!</v>
      </c>
      <c r="H38" s="60" t="e">
        <f>SUMIFS('[3]Data(perSeason,perCrop)'!$A:$A,'[3]Data(perSeason,perCrop)'!$S:$S,[3]Indicators!$A39,'[3]Data(perSeason,perCrop)'!$O:$O,[3]Indicators!H$32,'[3]Data(perSeason,perCrop)'!$C:$C,[3]Indicators!H$33,'[3]Data(perSeason,perCrop)'!$R:$R,"IRRIGATED")</f>
        <v>#VALUE!</v>
      </c>
      <c r="I38" s="60" t="e">
        <f>SUMIFS('[3]Data(perSeason,perCrop)'!$A:$A,'[3]Data(perSeason,perCrop)'!$S:$S,[3]Indicators!$A39,'[3]Data(perSeason,perCrop)'!$O:$O,[3]Indicators!I$32,'[3]Data(perSeason,perCrop)'!$C:$C,[3]Indicators!I$33,'[3]Data(perSeason,perCrop)'!$R:$R,"IRRIGATED")</f>
        <v>#VALUE!</v>
      </c>
      <c r="J38" s="60" t="e">
        <f>SUMIFS('[3]Data(perSeason,perCrop)'!$A:$A,'[3]Data(perSeason,perCrop)'!$S:$S,[3]Indicators!$A39,'[3]Data(perSeason,perCrop)'!$O:$O,[3]Indicators!J$32,'[3]Data(perSeason,perCrop)'!$C:$C,[3]Indicators!J$33,'[3]Data(perSeason,perCrop)'!$R:$R,"IRRIGATED")</f>
        <v>#VALUE!</v>
      </c>
      <c r="K38" s="60" t="e">
        <f>SUMIFS('[3]Data(perSeason,perCrop)'!$A:$A,'[3]Data(perSeason,perCrop)'!$S:$S,[3]Indicators!$A39,'[3]Data(perSeason,perCrop)'!$O:$O,[3]Indicators!K$32,'[3]Data(perSeason,perCrop)'!$C:$C,[3]Indicators!K$33,'[3]Data(perSeason,perCrop)'!$R:$R,"IRRIGATED")</f>
        <v>#VALUE!</v>
      </c>
      <c r="L38" s="60" t="e">
        <f>SUMIFS('[3]Data(perSeason,perCrop)'!$A:$A,'[3]Data(perSeason,perCrop)'!$S:$S,[3]Indicators!$A39,'[3]Data(perSeason,perCrop)'!$O:$O,[3]Indicators!L$32,'[3]Data(perSeason,perCrop)'!$C:$C,[3]Indicators!L$33,'[3]Data(perSeason,perCrop)'!$R:$R,"IRRIGATED")</f>
        <v>#VALUE!</v>
      </c>
      <c r="M38" s="60" t="e">
        <f>SUMIFS('[3]Data(perSeason,perCrop)'!$A:$A,'[3]Data(perSeason,perCrop)'!$S:$S,[3]Indicators!$A39,'[3]Data(perSeason,perCrop)'!$O:$O,[3]Indicators!M$32,'[3]Data(perSeason,perCrop)'!$C:$C,[3]Indicators!M$33,'[3]Data(perSeason,perCrop)'!$R:$R,"IRRIGATED")</f>
        <v>#VALUE!</v>
      </c>
      <c r="N38" s="60" t="e">
        <f>SUMIFS('[3]Data(perSeason,perCrop)'!$A:$A,'[3]Data(perSeason,perCrop)'!$S:$S,[3]Indicators!$A39,'[3]Data(perSeason,perCrop)'!$O:$O,[3]Indicators!N$32,'[3]Data(perSeason,perCrop)'!$C:$C,[3]Indicators!N$33,'[3]Data(perSeason,perCrop)'!$R:$R,"IRRIGATED")</f>
        <v>#VALUE!</v>
      </c>
      <c r="O38" s="60" t="e">
        <f>SUMIFS('[3]Data(perSeason,perCrop)'!$A:$A,'[3]Data(perSeason,perCrop)'!$S:$S,[3]Indicators!$A39,'[3]Data(perSeason,perCrop)'!$O:$O,[3]Indicators!O$32,'[3]Data(perSeason,perCrop)'!$C:$C,[3]Indicators!O$33,'[3]Data(perSeason,perCrop)'!$R:$R,"IRRIGATED")</f>
        <v>#VALUE!</v>
      </c>
      <c r="P38" s="60" t="e">
        <f>SUMIFS('[3]Data(perSeason,perCrop)'!$A:$A,'[3]Data(perSeason,perCrop)'!$S:$S,[3]Indicators!$A39,'[3]Data(perSeason,perCrop)'!$O:$O,[3]Indicators!P$32,'[3]Data(perSeason,perCrop)'!$C:$C,[3]Indicators!P$33,'[3]Data(perSeason,perCrop)'!$R:$R,"IRRIGATED")</f>
        <v>#VALUE!</v>
      </c>
      <c r="Q38" s="60" t="e">
        <f>SUMIFS('[3]Data(perSeason,perCrop)'!$A:$A,'[3]Data(perSeason,perCrop)'!$S:$S,[3]Indicators!$A39,'[3]Data(perSeason,perCrop)'!$O:$O,[3]Indicators!Q$32,'[3]Data(perSeason,perCrop)'!$C:$C,[3]Indicators!Q$33,'[3]Data(perSeason,perCrop)'!$R:$R,"IRRIGATED")</f>
        <v>#VALUE!</v>
      </c>
      <c r="R38" s="60" t="e">
        <f>SUMIFS('[3]Data(perSeason,perCrop)'!$A:$A,'[3]Data(perSeason,perCrop)'!$S:$S,[3]Indicators!$A39,'[3]Data(perSeason,perCrop)'!$O:$O,[3]Indicators!R$32,'[3]Data(perSeason,perCrop)'!$C:$C,[3]Indicators!R$33,'[3]Data(perSeason,perCrop)'!$R:$R,"IRRIGATED")</f>
        <v>#VALUE!</v>
      </c>
      <c r="S38" s="60" t="e">
        <f>SUMIFS('[3]Data(perSeason,perCrop)'!$A:$A,'[3]Data(perSeason,perCrop)'!$S:$S,[3]Indicators!$A39,'[3]Data(perSeason,perCrop)'!$O:$O,[3]Indicators!S$32,'[3]Data(perSeason,perCrop)'!$C:$C,[3]Indicators!S$33,'[3]Data(perSeason,perCrop)'!$R:$R,"IRRIGATED")</f>
        <v>#VALUE!</v>
      </c>
      <c r="T38" s="60" t="e">
        <f>SUMIFS('[3]Data(perSeason,perCrop)'!$A:$A,'[3]Data(perSeason,perCrop)'!$S:$S,[3]Indicators!$A39,'[3]Data(perSeason,perCrop)'!$O:$O,[3]Indicators!T$32,'[3]Data(perSeason,perCrop)'!$C:$C,[3]Indicators!T$33,'[3]Data(perSeason,perCrop)'!$R:$R,"IRRIGATED")</f>
        <v>#VALUE!</v>
      </c>
      <c r="U38" s="60" t="e">
        <f>SUMIFS('[3]Data(perSeason,perCrop)'!$A:$A,'[3]Data(perSeason,perCrop)'!$S:$S,[3]Indicators!$A39,'[3]Data(perSeason,perCrop)'!$O:$O,[3]Indicators!U$32,'[3]Data(perSeason,perCrop)'!$C:$C,[3]Indicators!U$33,'[3]Data(perSeason,perCrop)'!$R:$R,"IRRIGATED")</f>
        <v>#VALUE!</v>
      </c>
      <c r="V38" s="60" t="e">
        <f>SUMIFS('[3]Data(perSeason,perCrop)'!$A:$A,'[3]Data(perSeason,perCrop)'!$S:$S,[3]Indicators!$A39,'[3]Data(perSeason,perCrop)'!$O:$O,[3]Indicators!V$32,'[3]Data(perSeason,perCrop)'!$C:$C,[3]Indicators!V$33,'[3]Data(perSeason,perCrop)'!$R:$R,"IRRIGATED")</f>
        <v>#VALUE!</v>
      </c>
      <c r="W38" s="60" t="e">
        <f>SUMIFS('[3]Data(perSeason,perCrop)'!$A:$A,'[3]Data(perSeason,perCrop)'!$S:$S,[3]Indicators!$A39,'[3]Data(perSeason,perCrop)'!$O:$O,[3]Indicators!W$32,'[3]Data(perSeason,perCrop)'!$C:$C,[3]Indicators!W$33,'[3]Data(perSeason,perCrop)'!$R:$R,"IRRIGATED")</f>
        <v>#VALUE!</v>
      </c>
      <c r="X38" s="60" t="e">
        <f>SUMIFS('[3]Data(perSeason,perCrop)'!$A:$A,'[3]Data(perSeason,perCrop)'!$S:$S,[3]Indicators!$A39,'[3]Data(perSeason,perCrop)'!$O:$O,[3]Indicators!X$32,'[3]Data(perSeason,perCrop)'!$C:$C,[3]Indicators!X$33,'[3]Data(perSeason,perCrop)'!$R:$R,"IRRIGATED")</f>
        <v>#VALUE!</v>
      </c>
      <c r="Y38" s="60" t="e">
        <f>SUMIFS('[3]Data(perSeason,perCrop)'!$A:$A,'[3]Data(perSeason,perCrop)'!$S:$S,[3]Indicators!$A39,'[3]Data(perSeason,perCrop)'!$O:$O,[3]Indicators!Y$32,'[3]Data(perSeason,perCrop)'!$C:$C,[3]Indicators!Y$33,'[3]Data(perSeason,perCrop)'!$R:$R,"IRRIGATED")</f>
        <v>#VALUE!</v>
      </c>
      <c r="Z38" s="60" t="e">
        <f>SUMIFS('[3]Data(perSeason,perCrop)'!$A:$A,'[3]Data(perSeason,perCrop)'!$S:$S,[3]Indicators!$A39,'[3]Data(perSeason,perCrop)'!$O:$O,[3]Indicators!Z$32,'[3]Data(perSeason,perCrop)'!$C:$C,[3]Indicators!Z$33,'[3]Data(perSeason,perCrop)'!$R:$R,"IRRIGATED")</f>
        <v>#VALUE!</v>
      </c>
      <c r="AA38" s="60" t="e">
        <f>SUMIFS('[3]Data(perSeason,perCrop)'!$A:$A,'[3]Data(perSeason,perCrop)'!$S:$S,[3]Indicators!$A39,'[3]Data(perSeason,perCrop)'!$O:$O,[3]Indicators!AA$32,'[3]Data(perSeason,perCrop)'!$C:$C,[3]Indicators!AA$33,'[3]Data(perSeason,perCrop)'!$R:$R,"IRRIGATED")</f>
        <v>#VALUE!</v>
      </c>
      <c r="AB38" s="60" t="e">
        <f>SUMIFS('[3]Data(perSeason,perCrop)'!$A:$A,'[3]Data(perSeason,perCrop)'!$S:$S,[3]Indicators!$A39,'[3]Data(perSeason,perCrop)'!$O:$O,[3]Indicators!AB$32,'[3]Data(perSeason,perCrop)'!$C:$C,[3]Indicators!AB$33,'[3]Data(perSeason,perCrop)'!$R:$R,"IRRIGATED")</f>
        <v>#VALUE!</v>
      </c>
      <c r="AC38" s="60" t="e">
        <f>SUMIFS('[3]Data(perSeason,perCrop)'!$A:$A,'[3]Data(perSeason,perCrop)'!$S:$S,[3]Indicators!$A39,'[3]Data(perSeason,perCrop)'!$O:$O,[3]Indicators!AC$32,'[3]Data(perSeason,perCrop)'!$C:$C,[3]Indicators!AC$33,'[3]Data(perSeason,perCrop)'!$R:$R,"IRRIGATED")</f>
        <v>#VALUE!</v>
      </c>
      <c r="AD38" s="60" t="e">
        <f>SUMIFS('[3]Data(perSeason,perCrop)'!$A:$A,'[3]Data(perSeason,perCrop)'!$S:$S,[3]Indicators!$A39,'[3]Data(perSeason,perCrop)'!$O:$O,[3]Indicators!AD$32,'[3]Data(perSeason,perCrop)'!$C:$C,[3]Indicators!AD$33,'[3]Data(perSeason,perCrop)'!$R:$R,"IRRIGATED")</f>
        <v>#VALUE!</v>
      </c>
      <c r="AE38" s="60" t="e">
        <f>SUMIFS('[3]Data(perSeason,perCrop)'!$A:$A,'[3]Data(perSeason,perCrop)'!$S:$S,[3]Indicators!$A39,'[3]Data(perSeason,perCrop)'!$O:$O,[3]Indicators!AE$32,'[3]Data(perSeason,perCrop)'!$C:$C,[3]Indicators!AE$33,'[3]Data(perSeason,perCrop)'!$R:$R,"IRRIGATED")</f>
        <v>#VALUE!</v>
      </c>
      <c r="AF38" s="60" t="e">
        <f>SUMIFS('[3]Data(perSeason,perCrop)'!$A:$A,'[3]Data(perSeason,perCrop)'!$S:$S,[3]Indicators!$A39,'[3]Data(perSeason,perCrop)'!$O:$O,[3]Indicators!AF$32,'[3]Data(perSeason,perCrop)'!$C:$C,[3]Indicators!AF$33,'[3]Data(perSeason,perCrop)'!$R:$R,"IRRIGATED")</f>
        <v>#VALUE!</v>
      </c>
    </row>
    <row r="39" spans="1:32" ht="18.75" x14ac:dyDescent="0.3">
      <c r="A39" s="47" t="s">
        <v>184</v>
      </c>
      <c r="B39" s="48" t="e">
        <f>AVERAGE(B34:B38)</f>
        <v>#VALUE!</v>
      </c>
      <c r="C39" s="48" t="e">
        <f t="shared" ref="C39:AF39" si="2">AVERAGE(C34:C38)</f>
        <v>#VALUE!</v>
      </c>
      <c r="D39" s="48" t="e">
        <f t="shared" si="2"/>
        <v>#VALUE!</v>
      </c>
      <c r="E39" s="48" t="e">
        <f t="shared" si="2"/>
        <v>#VALUE!</v>
      </c>
      <c r="F39" s="48" t="e">
        <f t="shared" si="2"/>
        <v>#VALUE!</v>
      </c>
      <c r="G39" s="48" t="e">
        <f t="shared" si="2"/>
        <v>#VALUE!</v>
      </c>
      <c r="H39" s="48" t="e">
        <f t="shared" si="2"/>
        <v>#VALUE!</v>
      </c>
      <c r="I39" s="48" t="e">
        <f t="shared" si="2"/>
        <v>#VALUE!</v>
      </c>
      <c r="J39" s="48" t="e">
        <f t="shared" si="2"/>
        <v>#VALUE!</v>
      </c>
      <c r="K39" s="48" t="e">
        <f t="shared" si="2"/>
        <v>#VALUE!</v>
      </c>
      <c r="L39" s="48" t="e">
        <f t="shared" si="2"/>
        <v>#VALUE!</v>
      </c>
      <c r="M39" s="48" t="e">
        <f t="shared" si="2"/>
        <v>#VALUE!</v>
      </c>
      <c r="N39" s="48" t="e">
        <f t="shared" si="2"/>
        <v>#VALUE!</v>
      </c>
      <c r="O39" s="48" t="e">
        <f t="shared" si="2"/>
        <v>#VALUE!</v>
      </c>
      <c r="P39" s="48" t="e">
        <f t="shared" si="2"/>
        <v>#VALUE!</v>
      </c>
      <c r="Q39" s="48" t="e">
        <f t="shared" si="2"/>
        <v>#VALUE!</v>
      </c>
      <c r="R39" s="48" t="e">
        <f t="shared" si="2"/>
        <v>#VALUE!</v>
      </c>
      <c r="S39" s="48" t="e">
        <f t="shared" si="2"/>
        <v>#VALUE!</v>
      </c>
      <c r="T39" s="48" t="e">
        <f t="shared" si="2"/>
        <v>#VALUE!</v>
      </c>
      <c r="U39" s="48" t="e">
        <f t="shared" si="2"/>
        <v>#VALUE!</v>
      </c>
      <c r="V39" s="48" t="e">
        <f t="shared" si="2"/>
        <v>#VALUE!</v>
      </c>
      <c r="W39" s="48" t="e">
        <f t="shared" si="2"/>
        <v>#VALUE!</v>
      </c>
      <c r="X39" s="48" t="e">
        <f t="shared" si="2"/>
        <v>#VALUE!</v>
      </c>
      <c r="Y39" s="48" t="e">
        <f t="shared" si="2"/>
        <v>#VALUE!</v>
      </c>
      <c r="Z39" s="48" t="e">
        <f t="shared" si="2"/>
        <v>#VALUE!</v>
      </c>
      <c r="AA39" s="48" t="e">
        <f t="shared" si="2"/>
        <v>#VALUE!</v>
      </c>
      <c r="AB39" s="48" t="e">
        <f t="shared" si="2"/>
        <v>#VALUE!</v>
      </c>
      <c r="AC39" s="48" t="e">
        <f t="shared" si="2"/>
        <v>#VALUE!</v>
      </c>
      <c r="AD39" s="48" t="e">
        <f t="shared" si="2"/>
        <v>#VALUE!</v>
      </c>
      <c r="AE39" s="48" t="e">
        <f t="shared" si="2"/>
        <v>#VALUE!</v>
      </c>
      <c r="AF39" s="48" t="e">
        <f t="shared" si="2"/>
        <v>#VALUE!</v>
      </c>
    </row>
    <row r="40" spans="1:32" ht="18.75" x14ac:dyDescent="0.3">
      <c r="A40" s="47" t="s">
        <v>185</v>
      </c>
      <c r="B40" s="48" t="e">
        <f>B39/SUM($B39:$AF39)</f>
        <v>#VALUE!</v>
      </c>
      <c r="C40" s="52" t="e">
        <f>C39/SUM($B39:$Q39)</f>
        <v>#VALUE!</v>
      </c>
      <c r="D40" s="48" t="e">
        <f t="shared" ref="D40:AF40" si="3">D39/SUM($B39:$Q39)</f>
        <v>#VALUE!</v>
      </c>
      <c r="E40" s="48" t="e">
        <f t="shared" si="3"/>
        <v>#VALUE!</v>
      </c>
      <c r="F40" s="48" t="e">
        <f t="shared" si="3"/>
        <v>#VALUE!</v>
      </c>
      <c r="G40" s="48" t="e">
        <f t="shared" si="3"/>
        <v>#VALUE!</v>
      </c>
      <c r="H40" s="48" t="e">
        <f t="shared" si="3"/>
        <v>#VALUE!</v>
      </c>
      <c r="I40" s="48" t="e">
        <f t="shared" si="3"/>
        <v>#VALUE!</v>
      </c>
      <c r="J40" s="48" t="e">
        <f t="shared" si="3"/>
        <v>#VALUE!</v>
      </c>
      <c r="K40" s="48" t="e">
        <f t="shared" si="3"/>
        <v>#VALUE!</v>
      </c>
      <c r="L40" s="48" t="e">
        <f t="shared" si="3"/>
        <v>#VALUE!</v>
      </c>
      <c r="M40" s="48" t="e">
        <f t="shared" si="3"/>
        <v>#VALUE!</v>
      </c>
      <c r="N40" s="48" t="e">
        <f t="shared" si="3"/>
        <v>#VALUE!</v>
      </c>
      <c r="O40" s="52" t="e">
        <f t="shared" si="3"/>
        <v>#VALUE!</v>
      </c>
      <c r="P40" s="52" t="e">
        <f t="shared" si="3"/>
        <v>#VALUE!</v>
      </c>
      <c r="Q40" s="48" t="e">
        <f t="shared" si="3"/>
        <v>#VALUE!</v>
      </c>
      <c r="R40" s="61" t="e">
        <f t="shared" si="3"/>
        <v>#VALUE!</v>
      </c>
      <c r="S40" s="48" t="e">
        <f t="shared" si="3"/>
        <v>#VALUE!</v>
      </c>
      <c r="T40" s="48" t="e">
        <f t="shared" si="3"/>
        <v>#VALUE!</v>
      </c>
      <c r="U40" s="52" t="e">
        <f t="shared" si="3"/>
        <v>#VALUE!</v>
      </c>
      <c r="V40" s="48" t="e">
        <f t="shared" si="3"/>
        <v>#VALUE!</v>
      </c>
      <c r="W40" s="48" t="e">
        <f t="shared" si="3"/>
        <v>#VALUE!</v>
      </c>
      <c r="X40" s="48" t="e">
        <f t="shared" si="3"/>
        <v>#VALUE!</v>
      </c>
      <c r="Y40" s="48" t="e">
        <f t="shared" si="3"/>
        <v>#VALUE!</v>
      </c>
      <c r="Z40" s="48" t="e">
        <f t="shared" si="3"/>
        <v>#VALUE!</v>
      </c>
      <c r="AA40" s="48" t="e">
        <f t="shared" si="3"/>
        <v>#VALUE!</v>
      </c>
      <c r="AB40" s="48" t="e">
        <f t="shared" si="3"/>
        <v>#VALUE!</v>
      </c>
      <c r="AC40" s="48" t="e">
        <f t="shared" si="3"/>
        <v>#VALUE!</v>
      </c>
      <c r="AD40" s="48" t="e">
        <f t="shared" si="3"/>
        <v>#VALUE!</v>
      </c>
      <c r="AE40" s="48" t="e">
        <f t="shared" si="3"/>
        <v>#VALUE!</v>
      </c>
      <c r="AF40" s="48" t="e">
        <f t="shared" si="3"/>
        <v>#VALUE!</v>
      </c>
    </row>
    <row r="43" spans="1:32" ht="18.75" x14ac:dyDescent="0.3">
      <c r="A43" s="42" t="s">
        <v>186</v>
      </c>
      <c r="B43" s="42">
        <v>1</v>
      </c>
      <c r="C43" s="42">
        <v>2</v>
      </c>
      <c r="D43" s="42">
        <v>3</v>
      </c>
      <c r="E43" s="42">
        <v>4</v>
      </c>
      <c r="F43" s="42">
        <v>5</v>
      </c>
      <c r="G43" s="42">
        <v>6</v>
      </c>
      <c r="H43" s="42">
        <v>7</v>
      </c>
      <c r="I43" s="42">
        <v>8</v>
      </c>
      <c r="J43" s="42">
        <v>9</v>
      </c>
      <c r="K43" s="42">
        <v>10</v>
      </c>
      <c r="L43" s="42">
        <v>11</v>
      </c>
      <c r="M43" s="42">
        <v>12</v>
      </c>
      <c r="N43" s="42">
        <v>13</v>
      </c>
      <c r="O43" s="42">
        <v>14</v>
      </c>
      <c r="P43" s="42">
        <v>15</v>
      </c>
      <c r="Q43" s="42">
        <v>16</v>
      </c>
      <c r="R43" s="42">
        <v>17</v>
      </c>
      <c r="S43" s="42">
        <v>18</v>
      </c>
      <c r="T43" s="42">
        <v>19</v>
      </c>
      <c r="U43" s="42">
        <v>20</v>
      </c>
      <c r="V43" s="42">
        <v>21</v>
      </c>
      <c r="W43" s="42">
        <v>22</v>
      </c>
      <c r="X43" s="42">
        <v>23</v>
      </c>
      <c r="Y43" s="42">
        <v>24</v>
      </c>
      <c r="Z43" s="42">
        <v>25</v>
      </c>
      <c r="AA43" s="42">
        <v>40</v>
      </c>
      <c r="AB43" s="42">
        <v>41</v>
      </c>
      <c r="AC43" s="42">
        <v>42</v>
      </c>
      <c r="AD43" s="42">
        <v>43</v>
      </c>
      <c r="AE43" s="42">
        <v>44</v>
      </c>
      <c r="AF43" s="42">
        <v>45</v>
      </c>
    </row>
    <row r="44" spans="1:32" ht="18.75" x14ac:dyDescent="0.3">
      <c r="A44" s="42">
        <v>2018</v>
      </c>
      <c r="B44" s="62" t="str">
        <f>IF(B34&gt;0,1-AVERAGEIFS('[3]Data(perSeason,perCrop)'!$E:$E,'[3]Data(perSeason,perCrop)'!$S:$S,$A34,'[3]Data(perSeason,perCrop)'!$O:$O,B31,'[3]Data(perSeason,perCrop)'!$C:$C,B$32,'[3]Data(perSeason,perCrop)'!$R:$R,"IRRIGATED")/AVERAGEIFS('[3]Data(perSeason,perCrop)'!$F:$F,'[3]Data(perSeason,perCrop)'!$S:$S,$A34,'[3]Data(perSeason,perCrop)'!$O:$O,B$31,'[3]Data(perSeason,perCrop)'!$C:$C,[3]Indicators!B$3,'[3]Data(perSeason,perCrop)'!$R:$R,"IRRIGATED"),"")</f>
        <v/>
      </c>
      <c r="C44" s="62" t="e">
        <f>IF(C34&gt;0,1-AVERAGEIFS('[3]Data(perSeason,perCrop)'!$E:$E,'[3]Data(perSeason,perCrop)'!$S:$S,$A34,'[3]Data(perSeason,perCrop)'!$O:$O,C31,'[3]Data(perSeason,perCrop)'!$C:$C,C$32,'[3]Data(perSeason,perCrop)'!$R:$R,"IRRIGATED")/AVERAGEIFS('[3]Data(perSeason,perCrop)'!$F:$F,'[3]Data(perSeason,perCrop)'!$S:$S,$A34,'[3]Data(perSeason,perCrop)'!$O:$O,C$31,'[3]Data(perSeason,perCrop)'!$C:$C,[3]Indicators!C$3,'[3]Data(perSeason,perCrop)'!$R:$R,"IRRIGATED"),"")</f>
        <v>#VALUE!</v>
      </c>
      <c r="D44" s="62" t="e">
        <f>IF(D34&gt;0,1-AVERAGEIFS('[3]Data(perSeason,perCrop)'!$E:$E,'[3]Data(perSeason,perCrop)'!$S:$S,$A34,'[3]Data(perSeason,perCrop)'!$O:$O,D31,'[3]Data(perSeason,perCrop)'!$C:$C,D$32,'[3]Data(perSeason,perCrop)'!$R:$R,"IRRIGATED")/AVERAGEIFS('[3]Data(perSeason,perCrop)'!$F:$F,'[3]Data(perSeason,perCrop)'!$S:$S,$A34,'[3]Data(perSeason,perCrop)'!$O:$O,D$31,'[3]Data(perSeason,perCrop)'!$C:$C,[3]Indicators!D$3,'[3]Data(perSeason,perCrop)'!$R:$R,"IRRIGATED"),"")</f>
        <v>#VALUE!</v>
      </c>
      <c r="E44" s="62" t="e">
        <f>IF(E34&gt;0,1-AVERAGEIFS('[3]Data(perSeason,perCrop)'!$E:$E,'[3]Data(perSeason,perCrop)'!$S:$S,$A34,'[3]Data(perSeason,perCrop)'!$O:$O,E31,'[3]Data(perSeason,perCrop)'!$C:$C,E$32,'[3]Data(perSeason,perCrop)'!$R:$R,"IRRIGATED")/AVERAGEIFS('[3]Data(perSeason,perCrop)'!$F:$F,'[3]Data(perSeason,perCrop)'!$S:$S,$A34,'[3]Data(perSeason,perCrop)'!$O:$O,E$31,'[3]Data(perSeason,perCrop)'!$C:$C,[3]Indicators!E$3,'[3]Data(perSeason,perCrop)'!$R:$R,"IRRIGATED"),"")</f>
        <v>#VALUE!</v>
      </c>
      <c r="F44" s="62" t="e">
        <f>IF(F34&gt;0,1-AVERAGEIFS('[3]Data(perSeason,perCrop)'!$E:$E,'[3]Data(perSeason,perCrop)'!$S:$S,$A34,'[3]Data(perSeason,perCrop)'!$O:$O,F31,'[3]Data(perSeason,perCrop)'!$C:$C,F$32,'[3]Data(perSeason,perCrop)'!$R:$R,"IRRIGATED")/AVERAGEIFS('[3]Data(perSeason,perCrop)'!$F:$F,'[3]Data(perSeason,perCrop)'!$S:$S,$A34,'[3]Data(perSeason,perCrop)'!$O:$O,F$31,'[3]Data(perSeason,perCrop)'!$C:$C,[3]Indicators!F$3,'[3]Data(perSeason,perCrop)'!$R:$R,"IRRIGATED"),"")</f>
        <v>#VALUE!</v>
      </c>
      <c r="G44" s="62" t="e">
        <f>IF(G34&gt;0,1-AVERAGEIFS('[3]Data(perSeason,perCrop)'!$E:$E,'[3]Data(perSeason,perCrop)'!$S:$S,$A34,'[3]Data(perSeason,perCrop)'!$O:$O,G31,'[3]Data(perSeason,perCrop)'!$C:$C,G$32,'[3]Data(perSeason,perCrop)'!$R:$R,"IRRIGATED")/AVERAGEIFS('[3]Data(perSeason,perCrop)'!$F:$F,'[3]Data(perSeason,perCrop)'!$S:$S,$A34,'[3]Data(perSeason,perCrop)'!$O:$O,G$31,'[3]Data(perSeason,perCrop)'!$C:$C,[3]Indicators!G$3,'[3]Data(perSeason,perCrop)'!$R:$R,"IRRIGATED"),"")</f>
        <v>#VALUE!</v>
      </c>
      <c r="H44" s="62" t="e">
        <f>IF(H34&gt;0,1-AVERAGEIFS('[3]Data(perSeason,perCrop)'!$E:$E,'[3]Data(perSeason,perCrop)'!$S:$S,$A34,'[3]Data(perSeason,perCrop)'!$O:$O,H31,'[3]Data(perSeason,perCrop)'!$C:$C,H$32,'[3]Data(perSeason,perCrop)'!$R:$R,"IRRIGATED")/AVERAGEIFS('[3]Data(perSeason,perCrop)'!$F:$F,'[3]Data(perSeason,perCrop)'!$S:$S,$A34,'[3]Data(perSeason,perCrop)'!$O:$O,H$31,'[3]Data(perSeason,perCrop)'!$C:$C,[3]Indicators!H$3,'[3]Data(perSeason,perCrop)'!$R:$R,"IRRIGATED"),"")</f>
        <v>#VALUE!</v>
      </c>
      <c r="I44" s="62" t="e">
        <f>IF(I34&gt;0,1-AVERAGEIFS('[3]Data(perSeason,perCrop)'!$E:$E,'[3]Data(perSeason,perCrop)'!$S:$S,$A34,'[3]Data(perSeason,perCrop)'!$O:$O,I31,'[3]Data(perSeason,perCrop)'!$C:$C,I$32,'[3]Data(perSeason,perCrop)'!$R:$R,"IRRIGATED")/AVERAGEIFS('[3]Data(perSeason,perCrop)'!$F:$F,'[3]Data(perSeason,perCrop)'!$S:$S,$A34,'[3]Data(perSeason,perCrop)'!$O:$O,I$31,'[3]Data(perSeason,perCrop)'!$C:$C,[3]Indicators!I$3,'[3]Data(perSeason,perCrop)'!$R:$R,"IRRIGATED"),"")</f>
        <v>#VALUE!</v>
      </c>
      <c r="J44" s="62" t="e">
        <f>IF(J34&gt;0,1-AVERAGEIFS('[3]Data(perSeason,perCrop)'!$E:$E,'[3]Data(perSeason,perCrop)'!$S:$S,$A34,'[3]Data(perSeason,perCrop)'!$O:$O,J31,'[3]Data(perSeason,perCrop)'!$C:$C,J$32,'[3]Data(perSeason,perCrop)'!$R:$R,"IRRIGATED")/AVERAGEIFS('[3]Data(perSeason,perCrop)'!$F:$F,'[3]Data(perSeason,perCrop)'!$S:$S,$A34,'[3]Data(perSeason,perCrop)'!$O:$O,J$31,'[3]Data(perSeason,perCrop)'!$C:$C,[3]Indicators!J$3,'[3]Data(perSeason,perCrop)'!$R:$R,"IRRIGATED"),"")</f>
        <v>#VALUE!</v>
      </c>
      <c r="K44" s="62" t="e">
        <f>IF(K34&gt;0,1-AVERAGEIFS('[3]Data(perSeason,perCrop)'!$E:$E,'[3]Data(perSeason,perCrop)'!$S:$S,$A34,'[3]Data(perSeason,perCrop)'!$O:$O,K31,'[3]Data(perSeason,perCrop)'!$C:$C,K$32,'[3]Data(perSeason,perCrop)'!$R:$R,"IRRIGATED")/AVERAGEIFS('[3]Data(perSeason,perCrop)'!$F:$F,'[3]Data(perSeason,perCrop)'!$S:$S,$A34,'[3]Data(perSeason,perCrop)'!$O:$O,K$31,'[3]Data(perSeason,perCrop)'!$C:$C,[3]Indicators!K$3,'[3]Data(perSeason,perCrop)'!$R:$R,"IRRIGATED"),"")</f>
        <v>#VALUE!</v>
      </c>
      <c r="L44" s="62" t="e">
        <f>IF(L34&gt;0,1-AVERAGEIFS('[3]Data(perSeason,perCrop)'!$E:$E,'[3]Data(perSeason,perCrop)'!$S:$S,$A34,'[3]Data(perSeason,perCrop)'!$O:$O,L31,'[3]Data(perSeason,perCrop)'!$C:$C,L$32,'[3]Data(perSeason,perCrop)'!$R:$R,"IRRIGATED")/AVERAGEIFS('[3]Data(perSeason,perCrop)'!$F:$F,'[3]Data(perSeason,perCrop)'!$S:$S,$A34,'[3]Data(perSeason,perCrop)'!$O:$O,L$31,'[3]Data(perSeason,perCrop)'!$C:$C,[3]Indicators!L$3,'[3]Data(perSeason,perCrop)'!$R:$R,"IRRIGATED"),"")</f>
        <v>#VALUE!</v>
      </c>
      <c r="M44" s="62" t="e">
        <f>IF(M34&gt;0,1-AVERAGEIFS('[3]Data(perSeason,perCrop)'!$E:$E,'[3]Data(perSeason,perCrop)'!$S:$S,$A34,'[3]Data(perSeason,perCrop)'!$O:$O,M31,'[3]Data(perSeason,perCrop)'!$C:$C,M$32,'[3]Data(perSeason,perCrop)'!$R:$R,"IRRIGATED")/AVERAGEIFS('[3]Data(perSeason,perCrop)'!$F:$F,'[3]Data(perSeason,perCrop)'!$S:$S,$A34,'[3]Data(perSeason,perCrop)'!$O:$O,M$31,'[3]Data(perSeason,perCrop)'!$C:$C,[3]Indicators!M$3,'[3]Data(perSeason,perCrop)'!$R:$R,"IRRIGATED"),"")</f>
        <v>#VALUE!</v>
      </c>
      <c r="N44" s="62" t="e">
        <f>IF(N34&gt;0,1-AVERAGEIFS('[3]Data(perSeason,perCrop)'!$E:$E,'[3]Data(perSeason,perCrop)'!$S:$S,$A34,'[3]Data(perSeason,perCrop)'!$O:$O,N31,'[3]Data(perSeason,perCrop)'!$C:$C,N$32,'[3]Data(perSeason,perCrop)'!$R:$R,"IRRIGATED")/AVERAGEIFS('[3]Data(perSeason,perCrop)'!$F:$F,'[3]Data(perSeason,perCrop)'!$S:$S,$A34,'[3]Data(perSeason,perCrop)'!$O:$O,N$31,'[3]Data(perSeason,perCrop)'!$C:$C,[3]Indicators!N$3,'[3]Data(perSeason,perCrop)'!$R:$R,"IRRIGATED"),"")</f>
        <v>#VALUE!</v>
      </c>
      <c r="O44" s="62" t="e">
        <f>IF(O34&gt;0,1-AVERAGEIFS('[3]Data(perSeason,perCrop)'!$E:$E,'[3]Data(perSeason,perCrop)'!$S:$S,$A34,'[3]Data(perSeason,perCrop)'!$O:$O,O31,'[3]Data(perSeason,perCrop)'!$C:$C,O$32,'[3]Data(perSeason,perCrop)'!$R:$R,"IRRIGATED")/AVERAGEIFS('[3]Data(perSeason,perCrop)'!$F:$F,'[3]Data(perSeason,perCrop)'!$S:$S,$A34,'[3]Data(perSeason,perCrop)'!$O:$O,O$31,'[3]Data(perSeason,perCrop)'!$C:$C,[3]Indicators!O$3,'[3]Data(perSeason,perCrop)'!$R:$R,"IRRIGATED"),"")</f>
        <v>#VALUE!</v>
      </c>
      <c r="P44" s="62" t="e">
        <f>IF(P34&gt;0,1-AVERAGEIFS('[3]Data(perSeason,perCrop)'!$E:$E,'[3]Data(perSeason,perCrop)'!$S:$S,$A34,'[3]Data(perSeason,perCrop)'!$O:$O,P31,'[3]Data(perSeason,perCrop)'!$C:$C,P$32,'[3]Data(perSeason,perCrop)'!$R:$R,"IRRIGATED")/AVERAGEIFS('[3]Data(perSeason,perCrop)'!$F:$F,'[3]Data(perSeason,perCrop)'!$S:$S,$A34,'[3]Data(perSeason,perCrop)'!$O:$O,P$31,'[3]Data(perSeason,perCrop)'!$C:$C,[3]Indicators!P$3,'[3]Data(perSeason,perCrop)'!$R:$R,"IRRIGATED"),"")</f>
        <v>#VALUE!</v>
      </c>
      <c r="Q44" s="62" t="e">
        <f>IF(Q34&gt;0,1-AVERAGEIFS('[3]Data(perSeason,perCrop)'!$E:$E,'[3]Data(perSeason,perCrop)'!$S:$S,$A34,'[3]Data(perSeason,perCrop)'!$O:$O,Q31,'[3]Data(perSeason,perCrop)'!$C:$C,Q$32,'[3]Data(perSeason,perCrop)'!$R:$R,"IRRIGATED")/AVERAGEIFS('[3]Data(perSeason,perCrop)'!$F:$F,'[3]Data(perSeason,perCrop)'!$S:$S,$A34,'[3]Data(perSeason,perCrop)'!$O:$O,Q$31,'[3]Data(perSeason,perCrop)'!$C:$C,[3]Indicators!Q$3,'[3]Data(perSeason,perCrop)'!$R:$R,"IRRIGATED"),"")</f>
        <v>#VALUE!</v>
      </c>
      <c r="R44" s="62" t="e">
        <f>IF(R34&gt;0,1-AVERAGEIFS('[3]Data(perSeason,perCrop)'!$E:$E,'[3]Data(perSeason,perCrop)'!$S:$S,$A34,'[3]Data(perSeason,perCrop)'!$O:$O,R31,'[3]Data(perSeason,perCrop)'!$C:$C,R$32,'[3]Data(perSeason,perCrop)'!$R:$R,"IRRIGATED")/AVERAGEIFS('[3]Data(perSeason,perCrop)'!$F:$F,'[3]Data(perSeason,perCrop)'!$S:$S,$A34,'[3]Data(perSeason,perCrop)'!$O:$O,R$31,'[3]Data(perSeason,perCrop)'!$C:$C,[3]Indicators!R$3,'[3]Data(perSeason,perCrop)'!$R:$R,"IRRIGATED"),"")</f>
        <v>#VALUE!</v>
      </c>
      <c r="S44" s="62" t="e">
        <f>IF(S34&gt;0,1-AVERAGEIFS('[3]Data(perSeason,perCrop)'!$E:$E,'[3]Data(perSeason,perCrop)'!$S:$S,$A34,'[3]Data(perSeason,perCrop)'!$O:$O,S31,'[3]Data(perSeason,perCrop)'!$C:$C,S$32,'[3]Data(perSeason,perCrop)'!$R:$R,"IRRIGATED")/AVERAGEIFS('[3]Data(perSeason,perCrop)'!$F:$F,'[3]Data(perSeason,perCrop)'!$S:$S,$A34,'[3]Data(perSeason,perCrop)'!$O:$O,S$31,'[3]Data(perSeason,perCrop)'!$C:$C,[3]Indicators!S$3,'[3]Data(perSeason,perCrop)'!$R:$R,"IRRIGATED"),"")</f>
        <v>#VALUE!</v>
      </c>
      <c r="T44" s="62" t="e">
        <f>IF(T34&gt;0,1-AVERAGEIFS('[3]Data(perSeason,perCrop)'!$E:$E,'[3]Data(perSeason,perCrop)'!$S:$S,$A34,'[3]Data(perSeason,perCrop)'!$O:$O,T31,'[3]Data(perSeason,perCrop)'!$C:$C,T$32,'[3]Data(perSeason,perCrop)'!$R:$R,"IRRIGATED")/AVERAGEIFS('[3]Data(perSeason,perCrop)'!$F:$F,'[3]Data(perSeason,perCrop)'!$S:$S,$A34,'[3]Data(perSeason,perCrop)'!$O:$O,T$31,'[3]Data(perSeason,perCrop)'!$C:$C,[3]Indicators!T$3,'[3]Data(perSeason,perCrop)'!$R:$R,"IRRIGATED"),"")</f>
        <v>#VALUE!</v>
      </c>
      <c r="U44" s="62" t="e">
        <f>IF(U34&gt;0,1-AVERAGEIFS('[3]Data(perSeason,perCrop)'!$E:$E,'[3]Data(perSeason,perCrop)'!$S:$S,$A34,'[3]Data(perSeason,perCrop)'!$O:$O,U31,'[3]Data(perSeason,perCrop)'!$C:$C,U$32,'[3]Data(perSeason,perCrop)'!$R:$R,"IRRIGATED")/AVERAGEIFS('[3]Data(perSeason,perCrop)'!$F:$F,'[3]Data(perSeason,perCrop)'!$S:$S,$A34,'[3]Data(perSeason,perCrop)'!$O:$O,U$31,'[3]Data(perSeason,perCrop)'!$C:$C,[3]Indicators!U$3,'[3]Data(perSeason,perCrop)'!$R:$R,"IRRIGATED"),"")</f>
        <v>#VALUE!</v>
      </c>
      <c r="V44" s="62" t="e">
        <f>IF(V34&gt;0,1-AVERAGEIFS('[3]Data(perSeason,perCrop)'!$E:$E,'[3]Data(perSeason,perCrop)'!$S:$S,$A34,'[3]Data(perSeason,perCrop)'!$O:$O,V31,'[3]Data(perSeason,perCrop)'!$C:$C,V$32,'[3]Data(perSeason,perCrop)'!$R:$R,"IRRIGATED")/AVERAGEIFS('[3]Data(perSeason,perCrop)'!$F:$F,'[3]Data(perSeason,perCrop)'!$S:$S,$A34,'[3]Data(perSeason,perCrop)'!$O:$O,V$31,'[3]Data(perSeason,perCrop)'!$C:$C,[3]Indicators!V$3,'[3]Data(perSeason,perCrop)'!$R:$R,"IRRIGATED"),"")</f>
        <v>#VALUE!</v>
      </c>
      <c r="W44" s="62" t="e">
        <f>IF(W34&gt;0,1-AVERAGEIFS('[3]Data(perSeason,perCrop)'!$E:$E,'[3]Data(perSeason,perCrop)'!$S:$S,$A34,'[3]Data(perSeason,perCrop)'!$O:$O,W31,'[3]Data(perSeason,perCrop)'!$C:$C,W$32,'[3]Data(perSeason,perCrop)'!$R:$R,"IRRIGATED")/AVERAGEIFS('[3]Data(perSeason,perCrop)'!$F:$F,'[3]Data(perSeason,perCrop)'!$S:$S,$A34,'[3]Data(perSeason,perCrop)'!$O:$O,W$31,'[3]Data(perSeason,perCrop)'!$C:$C,[3]Indicators!W$3,'[3]Data(perSeason,perCrop)'!$R:$R,"IRRIGATED"),"")</f>
        <v>#VALUE!</v>
      </c>
      <c r="X44" s="62" t="e">
        <f>IF(X34&gt;0,1-AVERAGEIFS('[3]Data(perSeason,perCrop)'!$E:$E,'[3]Data(perSeason,perCrop)'!$S:$S,$A34,'[3]Data(perSeason,perCrop)'!$O:$O,X31,'[3]Data(perSeason,perCrop)'!$C:$C,X$32,'[3]Data(perSeason,perCrop)'!$R:$R,"IRRIGATED")/AVERAGEIFS('[3]Data(perSeason,perCrop)'!$F:$F,'[3]Data(perSeason,perCrop)'!$S:$S,$A34,'[3]Data(perSeason,perCrop)'!$O:$O,X$31,'[3]Data(perSeason,perCrop)'!$C:$C,[3]Indicators!X$3,'[3]Data(perSeason,perCrop)'!$R:$R,"IRRIGATED"),"")</f>
        <v>#VALUE!</v>
      </c>
      <c r="Y44" s="62" t="e">
        <f>IF(Y34&gt;0,1-AVERAGEIFS('[3]Data(perSeason,perCrop)'!$E:$E,'[3]Data(perSeason,perCrop)'!$S:$S,$A34,'[3]Data(perSeason,perCrop)'!$O:$O,Y31,'[3]Data(perSeason,perCrop)'!$C:$C,Y$32,'[3]Data(perSeason,perCrop)'!$R:$R,"IRRIGATED")/AVERAGEIFS('[3]Data(perSeason,perCrop)'!$F:$F,'[3]Data(perSeason,perCrop)'!$S:$S,$A34,'[3]Data(perSeason,perCrop)'!$O:$O,Y$31,'[3]Data(perSeason,perCrop)'!$C:$C,[3]Indicators!Y$3,'[3]Data(perSeason,perCrop)'!$R:$R,"IRRIGATED"),"")</f>
        <v>#VALUE!</v>
      </c>
      <c r="Z44" s="62" t="e">
        <f>IF(Z34&gt;0,1-AVERAGEIFS('[3]Data(perSeason,perCrop)'!$E:$E,'[3]Data(perSeason,perCrop)'!$S:$S,$A34,'[3]Data(perSeason,perCrop)'!$O:$O,Z31,'[3]Data(perSeason,perCrop)'!$C:$C,Z$32,'[3]Data(perSeason,perCrop)'!$R:$R,"IRRIGATED")/AVERAGEIFS('[3]Data(perSeason,perCrop)'!$F:$F,'[3]Data(perSeason,perCrop)'!$S:$S,$A34,'[3]Data(perSeason,perCrop)'!$O:$O,Z$31,'[3]Data(perSeason,perCrop)'!$C:$C,[3]Indicators!Z$3,'[3]Data(perSeason,perCrop)'!$R:$R,"IRRIGATED"),"")</f>
        <v>#VALUE!</v>
      </c>
      <c r="AA44" s="62" t="e">
        <f>IF(AA34&gt;0,1-AVERAGEIFS('[3]Data(perSeason,perCrop)'!$E:$E,'[3]Data(perSeason,perCrop)'!$S:$S,$A34,'[3]Data(perSeason,perCrop)'!$O:$O,AA31,'[3]Data(perSeason,perCrop)'!$C:$C,AA$32,'[3]Data(perSeason,perCrop)'!$R:$R,"IRRIGATED")/AVERAGEIFS('[3]Data(perSeason,perCrop)'!$F:$F,'[3]Data(perSeason,perCrop)'!$S:$S,$A34,'[3]Data(perSeason,perCrop)'!$O:$O,AA$31,'[3]Data(perSeason,perCrop)'!$C:$C,[3]Indicators!AA$3,'[3]Data(perSeason,perCrop)'!$R:$R,"IRRIGATED"),"")</f>
        <v>#VALUE!</v>
      </c>
      <c r="AB44" s="62" t="e">
        <f>IF(AB34&gt;0,1-AVERAGEIFS('[3]Data(perSeason,perCrop)'!$E:$E,'[3]Data(perSeason,perCrop)'!$S:$S,$A34,'[3]Data(perSeason,perCrop)'!$O:$O,AB31,'[3]Data(perSeason,perCrop)'!$C:$C,AB$32,'[3]Data(perSeason,perCrop)'!$R:$R,"IRRIGATED")/AVERAGEIFS('[3]Data(perSeason,perCrop)'!$F:$F,'[3]Data(perSeason,perCrop)'!$S:$S,$A34,'[3]Data(perSeason,perCrop)'!$O:$O,AB$31,'[3]Data(perSeason,perCrop)'!$C:$C,[3]Indicators!AB$3,'[3]Data(perSeason,perCrop)'!$R:$R,"IRRIGATED"),"")</f>
        <v>#VALUE!</v>
      </c>
      <c r="AC44" s="62" t="e">
        <f>IF(AC34&gt;0,1-AVERAGEIFS('[3]Data(perSeason,perCrop)'!$E:$E,'[3]Data(perSeason,perCrop)'!$S:$S,$A34,'[3]Data(perSeason,perCrop)'!$O:$O,AC31,'[3]Data(perSeason,perCrop)'!$C:$C,AC$32,'[3]Data(perSeason,perCrop)'!$R:$R,"IRRIGATED")/AVERAGEIFS('[3]Data(perSeason,perCrop)'!$F:$F,'[3]Data(perSeason,perCrop)'!$S:$S,$A34,'[3]Data(perSeason,perCrop)'!$O:$O,AC$31,'[3]Data(perSeason,perCrop)'!$C:$C,[3]Indicators!AC$3,'[3]Data(perSeason,perCrop)'!$R:$R,"IRRIGATED"),"")</f>
        <v>#VALUE!</v>
      </c>
      <c r="AD44" s="62" t="e">
        <f>IF(AD34&gt;0,1-AVERAGEIFS('[3]Data(perSeason,perCrop)'!$E:$E,'[3]Data(perSeason,perCrop)'!$S:$S,$A34,'[3]Data(perSeason,perCrop)'!$O:$O,AD31,'[3]Data(perSeason,perCrop)'!$C:$C,AD$32,'[3]Data(perSeason,perCrop)'!$R:$R,"IRRIGATED")/AVERAGEIFS('[3]Data(perSeason,perCrop)'!$F:$F,'[3]Data(perSeason,perCrop)'!$S:$S,$A34,'[3]Data(perSeason,perCrop)'!$O:$O,AD$31,'[3]Data(perSeason,perCrop)'!$C:$C,[3]Indicators!AD$3,'[3]Data(perSeason,perCrop)'!$R:$R,"IRRIGATED"),"")</f>
        <v>#VALUE!</v>
      </c>
      <c r="AE44" s="62" t="e">
        <f>IF(AE34&gt;0,1-AVERAGEIFS('[3]Data(perSeason,perCrop)'!$E:$E,'[3]Data(perSeason,perCrop)'!$S:$S,$A34,'[3]Data(perSeason,perCrop)'!$O:$O,AE31,'[3]Data(perSeason,perCrop)'!$C:$C,AE$32,'[3]Data(perSeason,perCrop)'!$R:$R,"IRRIGATED")/AVERAGEIFS('[3]Data(perSeason,perCrop)'!$F:$F,'[3]Data(perSeason,perCrop)'!$S:$S,$A34,'[3]Data(perSeason,perCrop)'!$O:$O,AE$31,'[3]Data(perSeason,perCrop)'!$C:$C,[3]Indicators!AE$3,'[3]Data(perSeason,perCrop)'!$R:$R,"IRRIGATED"),"")</f>
        <v>#VALUE!</v>
      </c>
      <c r="AF44" s="62" t="e">
        <f>IF(AF34&gt;0,1-AVERAGEIFS('[3]Data(perSeason,perCrop)'!$E:$E,'[3]Data(perSeason,perCrop)'!$S:$S,$A34,'[3]Data(perSeason,perCrop)'!$O:$O,AF31,'[3]Data(perSeason,perCrop)'!$C:$C,AF$32,'[3]Data(perSeason,perCrop)'!$R:$R,"IRRIGATED")/AVERAGEIFS('[3]Data(perSeason,perCrop)'!$F:$F,'[3]Data(perSeason,perCrop)'!$S:$S,$A34,'[3]Data(perSeason,perCrop)'!$O:$O,AF$31,'[3]Data(perSeason,perCrop)'!$C:$C,[3]Indicators!AF$3,'[3]Data(perSeason,perCrop)'!$R:$R,"IRRIGATED"),"")</f>
        <v>#VALUE!</v>
      </c>
    </row>
    <row r="45" spans="1:32" ht="18.75" x14ac:dyDescent="0.3">
      <c r="A45" s="42">
        <v>2019</v>
      </c>
      <c r="B45" s="62" t="e">
        <f>IF(B35&gt;0,1-AVERAGEIFS('[3]Data(perSeason,perCrop)'!$E:$E,'[3]Data(perSeason,perCrop)'!$S:$S,$A35,'[3]Data(perSeason,perCrop)'!$O:$O,B31,'[3]Data(perSeason,perCrop)'!$C:$C,[3]Indicators!B$33,'[3]Data(perSeason,perCrop)'!$R:$R,"IRRIGATED")/AVERAGEIFS('[3]Data(perSeason,perCrop)'!$F:$F,'[3]Data(perSeason,perCrop)'!$S:$S,$A35,'[3]Data(perSeason,perCrop)'!$O:$O,B$31,'[3]Data(perSeason,perCrop)'!$C:$C,[3]Indicators!B$33,'[3]Data(perSeason,perCrop)'!$R:$R,"IRRIGATED"),"")</f>
        <v>#VALUE!</v>
      </c>
      <c r="C45" s="62" t="e">
        <f>IF(C35&gt;0,1-AVERAGEIFS('[3]Data(perSeason,perCrop)'!$E:$E,'[3]Data(perSeason,perCrop)'!$S:$S,$A35,'[3]Data(perSeason,perCrop)'!$O:$O,C31,'[3]Data(perSeason,perCrop)'!$C:$C,[3]Indicators!C$33,'[3]Data(perSeason,perCrop)'!$R:$R,"IRRIGATED")/AVERAGEIFS('[3]Data(perSeason,perCrop)'!$F:$F,'[3]Data(perSeason,perCrop)'!$S:$S,$A35,'[3]Data(perSeason,perCrop)'!$O:$O,C$31,'[3]Data(perSeason,perCrop)'!$C:$C,[3]Indicators!C$33,'[3]Data(perSeason,perCrop)'!$R:$R,"IRRIGATED"),"")</f>
        <v>#VALUE!</v>
      </c>
      <c r="D45" s="62" t="e">
        <f>IF(D35&gt;0,1-AVERAGEIFS('[3]Data(perSeason,perCrop)'!$E:$E,'[3]Data(perSeason,perCrop)'!$S:$S,$A35,'[3]Data(perSeason,perCrop)'!$O:$O,D31,'[3]Data(perSeason,perCrop)'!$C:$C,[3]Indicators!D$33,'[3]Data(perSeason,perCrop)'!$R:$R,"IRRIGATED")/AVERAGEIFS('[3]Data(perSeason,perCrop)'!$F:$F,'[3]Data(perSeason,perCrop)'!$S:$S,$A35,'[3]Data(perSeason,perCrop)'!$O:$O,D$31,'[3]Data(perSeason,perCrop)'!$C:$C,[3]Indicators!D$33,'[3]Data(perSeason,perCrop)'!$R:$R,"IRRIGATED"),"")</f>
        <v>#VALUE!</v>
      </c>
      <c r="E45" s="62" t="e">
        <f>IF(E35&gt;0,1-AVERAGEIFS('[3]Data(perSeason,perCrop)'!$E:$E,'[3]Data(perSeason,perCrop)'!$S:$S,$A35,'[3]Data(perSeason,perCrop)'!$O:$O,E31,'[3]Data(perSeason,perCrop)'!$C:$C,[3]Indicators!E$33,'[3]Data(perSeason,perCrop)'!$R:$R,"IRRIGATED")/AVERAGEIFS('[3]Data(perSeason,perCrop)'!$F:$F,'[3]Data(perSeason,perCrop)'!$S:$S,$A35,'[3]Data(perSeason,perCrop)'!$O:$O,E$31,'[3]Data(perSeason,perCrop)'!$C:$C,[3]Indicators!E$33,'[3]Data(perSeason,perCrop)'!$R:$R,"IRRIGATED"),"")</f>
        <v>#VALUE!</v>
      </c>
      <c r="F45" s="62" t="e">
        <f>IF(F35&gt;0,1-AVERAGEIFS('[3]Data(perSeason,perCrop)'!$E:$E,'[3]Data(perSeason,perCrop)'!$S:$S,$A35,'[3]Data(perSeason,perCrop)'!$O:$O,F31,'[3]Data(perSeason,perCrop)'!$C:$C,[3]Indicators!F$33,'[3]Data(perSeason,perCrop)'!$R:$R,"IRRIGATED")/AVERAGEIFS('[3]Data(perSeason,perCrop)'!$F:$F,'[3]Data(perSeason,perCrop)'!$S:$S,$A35,'[3]Data(perSeason,perCrop)'!$O:$O,F$31,'[3]Data(perSeason,perCrop)'!$C:$C,[3]Indicators!F$33,'[3]Data(perSeason,perCrop)'!$R:$R,"IRRIGATED"),"")</f>
        <v>#VALUE!</v>
      </c>
      <c r="G45" s="62" t="e">
        <f>IF(G35&gt;0,1-AVERAGEIFS('[3]Data(perSeason,perCrop)'!$E:$E,'[3]Data(perSeason,perCrop)'!$S:$S,$A35,'[3]Data(perSeason,perCrop)'!$O:$O,G31,'[3]Data(perSeason,perCrop)'!$C:$C,[3]Indicators!G$33,'[3]Data(perSeason,perCrop)'!$R:$R,"IRRIGATED")/AVERAGEIFS('[3]Data(perSeason,perCrop)'!$F:$F,'[3]Data(perSeason,perCrop)'!$S:$S,$A35,'[3]Data(perSeason,perCrop)'!$O:$O,G$31,'[3]Data(perSeason,perCrop)'!$C:$C,[3]Indicators!G$33,'[3]Data(perSeason,perCrop)'!$R:$R,"IRRIGATED"),"")</f>
        <v>#VALUE!</v>
      </c>
      <c r="H45" s="62" t="e">
        <f>IF(H35&gt;0,1-AVERAGEIFS('[3]Data(perSeason,perCrop)'!$E:$E,'[3]Data(perSeason,perCrop)'!$S:$S,$A35,'[3]Data(perSeason,perCrop)'!$O:$O,H31,'[3]Data(perSeason,perCrop)'!$C:$C,[3]Indicators!H$33,'[3]Data(perSeason,perCrop)'!$R:$R,"IRRIGATED")/AVERAGEIFS('[3]Data(perSeason,perCrop)'!$F:$F,'[3]Data(perSeason,perCrop)'!$S:$S,$A35,'[3]Data(perSeason,perCrop)'!$O:$O,H$31,'[3]Data(perSeason,perCrop)'!$C:$C,[3]Indicators!H$33,'[3]Data(perSeason,perCrop)'!$R:$R,"IRRIGATED"),"")</f>
        <v>#VALUE!</v>
      </c>
      <c r="I45" s="62" t="e">
        <f>IF(I35&gt;0,1-AVERAGEIFS('[3]Data(perSeason,perCrop)'!$E:$E,'[3]Data(perSeason,perCrop)'!$S:$S,$A35,'[3]Data(perSeason,perCrop)'!$O:$O,I31,'[3]Data(perSeason,perCrop)'!$C:$C,[3]Indicators!I$33,'[3]Data(perSeason,perCrop)'!$R:$R,"IRRIGATED")/AVERAGEIFS('[3]Data(perSeason,perCrop)'!$F:$F,'[3]Data(perSeason,perCrop)'!$S:$S,$A35,'[3]Data(perSeason,perCrop)'!$O:$O,I$31,'[3]Data(perSeason,perCrop)'!$C:$C,[3]Indicators!I$33,'[3]Data(perSeason,perCrop)'!$R:$R,"IRRIGATED"),"")</f>
        <v>#VALUE!</v>
      </c>
      <c r="J45" s="62" t="e">
        <f>IF(J35&gt;0,1-AVERAGEIFS('[3]Data(perSeason,perCrop)'!$E:$E,'[3]Data(perSeason,perCrop)'!$S:$S,$A35,'[3]Data(perSeason,perCrop)'!$O:$O,J31,'[3]Data(perSeason,perCrop)'!$C:$C,[3]Indicators!J$33,'[3]Data(perSeason,perCrop)'!$R:$R,"IRRIGATED")/AVERAGEIFS('[3]Data(perSeason,perCrop)'!$F:$F,'[3]Data(perSeason,perCrop)'!$S:$S,$A35,'[3]Data(perSeason,perCrop)'!$O:$O,J$31,'[3]Data(perSeason,perCrop)'!$C:$C,[3]Indicators!J$33,'[3]Data(perSeason,perCrop)'!$R:$R,"IRRIGATED"),"")</f>
        <v>#VALUE!</v>
      </c>
      <c r="K45" s="62" t="e">
        <f>IF(K35&gt;0,1-AVERAGEIFS('[3]Data(perSeason,perCrop)'!$E:$E,'[3]Data(perSeason,perCrop)'!$S:$S,$A35,'[3]Data(perSeason,perCrop)'!$O:$O,K31,'[3]Data(perSeason,perCrop)'!$C:$C,[3]Indicators!K$33,'[3]Data(perSeason,perCrop)'!$R:$R,"IRRIGATED")/AVERAGEIFS('[3]Data(perSeason,perCrop)'!$F:$F,'[3]Data(perSeason,perCrop)'!$S:$S,$A35,'[3]Data(perSeason,perCrop)'!$O:$O,K$31,'[3]Data(perSeason,perCrop)'!$C:$C,[3]Indicators!K$33,'[3]Data(perSeason,perCrop)'!$R:$R,"IRRIGATED"),"")</f>
        <v>#VALUE!</v>
      </c>
      <c r="L45" s="62" t="e">
        <f>IF(L35&gt;0,1-AVERAGEIFS('[3]Data(perSeason,perCrop)'!$E:$E,'[3]Data(perSeason,perCrop)'!$S:$S,$A35,'[3]Data(perSeason,perCrop)'!$O:$O,L31,'[3]Data(perSeason,perCrop)'!$C:$C,[3]Indicators!L$33,'[3]Data(perSeason,perCrop)'!$R:$R,"IRRIGATED")/AVERAGEIFS('[3]Data(perSeason,perCrop)'!$F:$F,'[3]Data(perSeason,perCrop)'!$S:$S,$A35,'[3]Data(perSeason,perCrop)'!$O:$O,L$31,'[3]Data(perSeason,perCrop)'!$C:$C,[3]Indicators!L$33,'[3]Data(perSeason,perCrop)'!$R:$R,"IRRIGATED"),"")</f>
        <v>#VALUE!</v>
      </c>
      <c r="M45" s="62" t="e">
        <f>IF(M35&gt;0,1-AVERAGEIFS('[3]Data(perSeason,perCrop)'!$E:$E,'[3]Data(perSeason,perCrop)'!$S:$S,$A35,'[3]Data(perSeason,perCrop)'!$O:$O,M31,'[3]Data(perSeason,perCrop)'!$C:$C,[3]Indicators!M$33,'[3]Data(perSeason,perCrop)'!$R:$R,"IRRIGATED")/AVERAGEIFS('[3]Data(perSeason,perCrop)'!$F:$F,'[3]Data(perSeason,perCrop)'!$S:$S,$A35,'[3]Data(perSeason,perCrop)'!$O:$O,M$31,'[3]Data(perSeason,perCrop)'!$C:$C,[3]Indicators!M$33,'[3]Data(perSeason,perCrop)'!$R:$R,"IRRIGATED"),"")</f>
        <v>#VALUE!</v>
      </c>
      <c r="N45" s="62" t="e">
        <f>IF(N35&gt;0,1-AVERAGEIFS('[3]Data(perSeason,perCrop)'!$E:$E,'[3]Data(perSeason,perCrop)'!$S:$S,$A35,'[3]Data(perSeason,perCrop)'!$O:$O,N31,'[3]Data(perSeason,perCrop)'!$C:$C,[3]Indicators!N$33,'[3]Data(perSeason,perCrop)'!$R:$R,"IRRIGATED")/AVERAGEIFS('[3]Data(perSeason,perCrop)'!$F:$F,'[3]Data(perSeason,perCrop)'!$S:$S,$A35,'[3]Data(perSeason,perCrop)'!$O:$O,N$31,'[3]Data(perSeason,perCrop)'!$C:$C,[3]Indicators!N$33,'[3]Data(perSeason,perCrop)'!$R:$R,"IRRIGATED"),"")</f>
        <v>#VALUE!</v>
      </c>
      <c r="O45" s="62" t="e">
        <f>IF(O35&gt;0,1-AVERAGEIFS('[3]Data(perSeason,perCrop)'!$E:$E,'[3]Data(perSeason,perCrop)'!$S:$S,$A35,'[3]Data(perSeason,perCrop)'!$O:$O,O31,'[3]Data(perSeason,perCrop)'!$C:$C,[3]Indicators!O$33,'[3]Data(perSeason,perCrop)'!$R:$R,"IRRIGATED")/AVERAGEIFS('[3]Data(perSeason,perCrop)'!$F:$F,'[3]Data(perSeason,perCrop)'!$S:$S,$A35,'[3]Data(perSeason,perCrop)'!$O:$O,O$31,'[3]Data(perSeason,perCrop)'!$C:$C,[3]Indicators!O$33,'[3]Data(perSeason,perCrop)'!$R:$R,"IRRIGATED"),"")</f>
        <v>#VALUE!</v>
      </c>
      <c r="P45" s="62" t="e">
        <f>IF(P35&gt;0,1-AVERAGEIFS('[3]Data(perSeason,perCrop)'!$E:$E,'[3]Data(perSeason,perCrop)'!$S:$S,$A35,'[3]Data(perSeason,perCrop)'!$O:$O,P31,'[3]Data(perSeason,perCrop)'!$C:$C,[3]Indicators!P$33,'[3]Data(perSeason,perCrop)'!$R:$R,"IRRIGATED")/AVERAGEIFS('[3]Data(perSeason,perCrop)'!$F:$F,'[3]Data(perSeason,perCrop)'!$S:$S,$A35,'[3]Data(perSeason,perCrop)'!$O:$O,P$31,'[3]Data(perSeason,perCrop)'!$C:$C,[3]Indicators!P$33,'[3]Data(perSeason,perCrop)'!$R:$R,"IRRIGATED"),"")</f>
        <v>#VALUE!</v>
      </c>
      <c r="Q45" s="62" t="e">
        <f>IF(Q35&gt;0,1-AVERAGEIFS('[3]Data(perSeason,perCrop)'!$E:$E,'[3]Data(perSeason,perCrop)'!$S:$S,$A35,'[3]Data(perSeason,perCrop)'!$O:$O,Q31,'[3]Data(perSeason,perCrop)'!$C:$C,[3]Indicators!Q$33,'[3]Data(perSeason,perCrop)'!$R:$R,"IRRIGATED")/AVERAGEIFS('[3]Data(perSeason,perCrop)'!$F:$F,'[3]Data(perSeason,perCrop)'!$S:$S,$A35,'[3]Data(perSeason,perCrop)'!$O:$O,Q$31,'[3]Data(perSeason,perCrop)'!$C:$C,[3]Indicators!Q$33,'[3]Data(perSeason,perCrop)'!$R:$R,"IRRIGATED"),"")</f>
        <v>#VALUE!</v>
      </c>
      <c r="R45" s="62" t="e">
        <f>IF(R35&gt;0,1-AVERAGEIFS('[3]Data(perSeason,perCrop)'!$E:$E,'[3]Data(perSeason,perCrop)'!$S:$S,$A35,'[3]Data(perSeason,perCrop)'!$O:$O,R31,'[3]Data(perSeason,perCrop)'!$C:$C,[3]Indicators!R$33,'[3]Data(perSeason,perCrop)'!$R:$R,"IRRIGATED")/AVERAGEIFS('[3]Data(perSeason,perCrop)'!$F:$F,'[3]Data(perSeason,perCrop)'!$S:$S,$A35,'[3]Data(perSeason,perCrop)'!$O:$O,R$31,'[3]Data(perSeason,perCrop)'!$C:$C,[3]Indicators!R$33,'[3]Data(perSeason,perCrop)'!$R:$R,"IRRIGATED"),"")</f>
        <v>#VALUE!</v>
      </c>
      <c r="S45" s="62" t="e">
        <f>IF(S35&gt;0,1-AVERAGEIFS('[3]Data(perSeason,perCrop)'!$E:$E,'[3]Data(perSeason,perCrop)'!$S:$S,$A35,'[3]Data(perSeason,perCrop)'!$O:$O,S31,'[3]Data(perSeason,perCrop)'!$C:$C,[3]Indicators!S$33,'[3]Data(perSeason,perCrop)'!$R:$R,"IRRIGATED")/AVERAGEIFS('[3]Data(perSeason,perCrop)'!$F:$F,'[3]Data(perSeason,perCrop)'!$S:$S,$A35,'[3]Data(perSeason,perCrop)'!$O:$O,S$31,'[3]Data(perSeason,perCrop)'!$C:$C,[3]Indicators!S$33,'[3]Data(perSeason,perCrop)'!$R:$R,"IRRIGATED"),"")</f>
        <v>#VALUE!</v>
      </c>
      <c r="T45" s="62" t="e">
        <f>IF(T35&gt;0,1-AVERAGEIFS('[3]Data(perSeason,perCrop)'!$E:$E,'[3]Data(perSeason,perCrop)'!$S:$S,$A35,'[3]Data(perSeason,perCrop)'!$O:$O,T31,'[3]Data(perSeason,perCrop)'!$C:$C,[3]Indicators!T$33,'[3]Data(perSeason,perCrop)'!$R:$R,"IRRIGATED")/AVERAGEIFS('[3]Data(perSeason,perCrop)'!$F:$F,'[3]Data(perSeason,perCrop)'!$S:$S,$A35,'[3]Data(perSeason,perCrop)'!$O:$O,T$31,'[3]Data(perSeason,perCrop)'!$C:$C,[3]Indicators!T$33,'[3]Data(perSeason,perCrop)'!$R:$R,"IRRIGATED"),"")</f>
        <v>#VALUE!</v>
      </c>
      <c r="U45" s="62" t="e">
        <f>IF(U35&gt;0,1-AVERAGEIFS('[3]Data(perSeason,perCrop)'!$E:$E,'[3]Data(perSeason,perCrop)'!$S:$S,$A35,'[3]Data(perSeason,perCrop)'!$O:$O,U31,'[3]Data(perSeason,perCrop)'!$C:$C,[3]Indicators!U$33,'[3]Data(perSeason,perCrop)'!$R:$R,"IRRIGATED")/AVERAGEIFS('[3]Data(perSeason,perCrop)'!$F:$F,'[3]Data(perSeason,perCrop)'!$S:$S,$A35,'[3]Data(perSeason,perCrop)'!$O:$O,U$31,'[3]Data(perSeason,perCrop)'!$C:$C,[3]Indicators!U$33,'[3]Data(perSeason,perCrop)'!$R:$R,"IRRIGATED"),"")</f>
        <v>#VALUE!</v>
      </c>
      <c r="V45" s="62" t="e">
        <f>IF(V35&gt;0,1-AVERAGEIFS('[3]Data(perSeason,perCrop)'!$E:$E,'[3]Data(perSeason,perCrop)'!$S:$S,$A35,'[3]Data(perSeason,perCrop)'!$O:$O,V31,'[3]Data(perSeason,perCrop)'!$C:$C,[3]Indicators!V$33,'[3]Data(perSeason,perCrop)'!$R:$R,"IRRIGATED")/AVERAGEIFS('[3]Data(perSeason,perCrop)'!$F:$F,'[3]Data(perSeason,perCrop)'!$S:$S,$A35,'[3]Data(perSeason,perCrop)'!$O:$O,V$31,'[3]Data(perSeason,perCrop)'!$C:$C,[3]Indicators!V$33,'[3]Data(perSeason,perCrop)'!$R:$R,"IRRIGATED"),"")</f>
        <v>#VALUE!</v>
      </c>
      <c r="W45" s="62" t="e">
        <f>IF(W35&gt;0,1-AVERAGEIFS('[3]Data(perSeason,perCrop)'!$E:$E,'[3]Data(perSeason,perCrop)'!$S:$S,$A35,'[3]Data(perSeason,perCrop)'!$O:$O,W31,'[3]Data(perSeason,perCrop)'!$C:$C,[3]Indicators!W$33,'[3]Data(perSeason,perCrop)'!$R:$R,"IRRIGATED")/AVERAGEIFS('[3]Data(perSeason,perCrop)'!$F:$F,'[3]Data(perSeason,perCrop)'!$S:$S,$A35,'[3]Data(perSeason,perCrop)'!$O:$O,W$31,'[3]Data(perSeason,perCrop)'!$C:$C,[3]Indicators!W$33,'[3]Data(perSeason,perCrop)'!$R:$R,"IRRIGATED"),"")</f>
        <v>#VALUE!</v>
      </c>
      <c r="X45" s="62" t="e">
        <f>IF(X35&gt;0,1-AVERAGEIFS('[3]Data(perSeason,perCrop)'!$E:$E,'[3]Data(perSeason,perCrop)'!$S:$S,$A35,'[3]Data(perSeason,perCrop)'!$O:$O,X31,'[3]Data(perSeason,perCrop)'!$C:$C,[3]Indicators!X$33,'[3]Data(perSeason,perCrop)'!$R:$R,"IRRIGATED")/AVERAGEIFS('[3]Data(perSeason,perCrop)'!$F:$F,'[3]Data(perSeason,perCrop)'!$S:$S,$A35,'[3]Data(perSeason,perCrop)'!$O:$O,X$31,'[3]Data(perSeason,perCrop)'!$C:$C,[3]Indicators!X$33,'[3]Data(perSeason,perCrop)'!$R:$R,"IRRIGATED"),"")</f>
        <v>#VALUE!</v>
      </c>
      <c r="Y45" s="62" t="e">
        <f>IF(Y35&gt;0,1-AVERAGEIFS('[3]Data(perSeason,perCrop)'!$E:$E,'[3]Data(perSeason,perCrop)'!$S:$S,$A35,'[3]Data(perSeason,perCrop)'!$O:$O,Y31,'[3]Data(perSeason,perCrop)'!$C:$C,[3]Indicators!Y$33,'[3]Data(perSeason,perCrop)'!$R:$R,"IRRIGATED")/AVERAGEIFS('[3]Data(perSeason,perCrop)'!$F:$F,'[3]Data(perSeason,perCrop)'!$S:$S,$A35,'[3]Data(perSeason,perCrop)'!$O:$O,Y$31,'[3]Data(perSeason,perCrop)'!$C:$C,[3]Indicators!Y$33,'[3]Data(perSeason,perCrop)'!$R:$R,"IRRIGATED"),"")</f>
        <v>#VALUE!</v>
      </c>
      <c r="Z45" s="62" t="e">
        <f>IF(Z35&gt;0,1-AVERAGEIFS('[3]Data(perSeason,perCrop)'!$E:$E,'[3]Data(perSeason,perCrop)'!$S:$S,$A35,'[3]Data(perSeason,perCrop)'!$O:$O,Z31,'[3]Data(perSeason,perCrop)'!$C:$C,[3]Indicators!Z$33,'[3]Data(perSeason,perCrop)'!$R:$R,"IRRIGATED")/AVERAGEIFS('[3]Data(perSeason,perCrop)'!$F:$F,'[3]Data(perSeason,perCrop)'!$S:$S,$A35,'[3]Data(perSeason,perCrop)'!$O:$O,Z$31,'[3]Data(perSeason,perCrop)'!$C:$C,[3]Indicators!Z$33,'[3]Data(perSeason,perCrop)'!$R:$R,"IRRIGATED"),"")</f>
        <v>#VALUE!</v>
      </c>
      <c r="AA45" s="62" t="e">
        <f>IF(AA35&gt;0,1-AVERAGEIFS('[3]Data(perSeason,perCrop)'!$E:$E,'[3]Data(perSeason,perCrop)'!$S:$S,$A35,'[3]Data(perSeason,perCrop)'!$O:$O,AA31,'[3]Data(perSeason,perCrop)'!$C:$C,[3]Indicators!AA$33,'[3]Data(perSeason,perCrop)'!$R:$R,"IRRIGATED")/AVERAGEIFS('[3]Data(perSeason,perCrop)'!$F:$F,'[3]Data(perSeason,perCrop)'!$S:$S,$A35,'[3]Data(perSeason,perCrop)'!$O:$O,AA$31,'[3]Data(perSeason,perCrop)'!$C:$C,[3]Indicators!AA$33,'[3]Data(perSeason,perCrop)'!$R:$R,"IRRIGATED"),"")</f>
        <v>#VALUE!</v>
      </c>
      <c r="AB45" s="62" t="e">
        <f>IF(AB35&gt;0,1-AVERAGEIFS('[3]Data(perSeason,perCrop)'!$E:$E,'[3]Data(perSeason,perCrop)'!$S:$S,$A35,'[3]Data(perSeason,perCrop)'!$O:$O,AB31,'[3]Data(perSeason,perCrop)'!$C:$C,[3]Indicators!AB$33,'[3]Data(perSeason,perCrop)'!$R:$R,"IRRIGATED")/AVERAGEIFS('[3]Data(perSeason,perCrop)'!$F:$F,'[3]Data(perSeason,perCrop)'!$S:$S,$A35,'[3]Data(perSeason,perCrop)'!$O:$O,AB$31,'[3]Data(perSeason,perCrop)'!$C:$C,[3]Indicators!AB$33,'[3]Data(perSeason,perCrop)'!$R:$R,"IRRIGATED"),"")</f>
        <v>#VALUE!</v>
      </c>
      <c r="AC45" s="62" t="e">
        <f>IF(AC35&gt;0,1-AVERAGEIFS('[3]Data(perSeason,perCrop)'!$E:$E,'[3]Data(perSeason,perCrop)'!$S:$S,$A35,'[3]Data(perSeason,perCrop)'!$O:$O,AC31,'[3]Data(perSeason,perCrop)'!$C:$C,[3]Indicators!AC$33,'[3]Data(perSeason,perCrop)'!$R:$R,"IRRIGATED")/AVERAGEIFS('[3]Data(perSeason,perCrop)'!$F:$F,'[3]Data(perSeason,perCrop)'!$S:$S,$A35,'[3]Data(perSeason,perCrop)'!$O:$O,AC$31,'[3]Data(perSeason,perCrop)'!$C:$C,[3]Indicators!AC$33,'[3]Data(perSeason,perCrop)'!$R:$R,"IRRIGATED"),"")</f>
        <v>#VALUE!</v>
      </c>
      <c r="AD45" s="62" t="e">
        <f>IF(AD35&gt;0,1-AVERAGEIFS('[3]Data(perSeason,perCrop)'!$E:$E,'[3]Data(perSeason,perCrop)'!$S:$S,$A35,'[3]Data(perSeason,perCrop)'!$O:$O,AD31,'[3]Data(perSeason,perCrop)'!$C:$C,[3]Indicators!AD$33,'[3]Data(perSeason,perCrop)'!$R:$R,"IRRIGATED")/AVERAGEIFS('[3]Data(perSeason,perCrop)'!$F:$F,'[3]Data(perSeason,perCrop)'!$S:$S,$A35,'[3]Data(perSeason,perCrop)'!$O:$O,AD$31,'[3]Data(perSeason,perCrop)'!$C:$C,[3]Indicators!AD$33,'[3]Data(perSeason,perCrop)'!$R:$R,"IRRIGATED"),"")</f>
        <v>#VALUE!</v>
      </c>
      <c r="AE45" s="62" t="e">
        <f>IF(AE35&gt;0,1-AVERAGEIFS('[3]Data(perSeason,perCrop)'!$E:$E,'[3]Data(perSeason,perCrop)'!$S:$S,$A35,'[3]Data(perSeason,perCrop)'!$O:$O,AE31,'[3]Data(perSeason,perCrop)'!$C:$C,[3]Indicators!AE$33,'[3]Data(perSeason,perCrop)'!$R:$R,"IRRIGATED")/AVERAGEIFS('[3]Data(perSeason,perCrop)'!$F:$F,'[3]Data(perSeason,perCrop)'!$S:$S,$A35,'[3]Data(perSeason,perCrop)'!$O:$O,AE$31,'[3]Data(perSeason,perCrop)'!$C:$C,[3]Indicators!AE$33,'[3]Data(perSeason,perCrop)'!$R:$R,"IRRIGATED"),"")</f>
        <v>#VALUE!</v>
      </c>
      <c r="AF45" s="62" t="e">
        <f>IF(AF35&gt;0,1-AVERAGEIFS('[3]Data(perSeason,perCrop)'!$E:$E,'[3]Data(perSeason,perCrop)'!$S:$S,$A35,'[3]Data(perSeason,perCrop)'!$O:$O,AF31,'[3]Data(perSeason,perCrop)'!$C:$C,[3]Indicators!AF$33,'[3]Data(perSeason,perCrop)'!$R:$R,"IRRIGATED")/AVERAGEIFS('[3]Data(perSeason,perCrop)'!$F:$F,'[3]Data(perSeason,perCrop)'!$S:$S,$A35,'[3]Data(perSeason,perCrop)'!$O:$O,AF$31,'[3]Data(perSeason,perCrop)'!$C:$C,[3]Indicators!AF$33,'[3]Data(perSeason,perCrop)'!$R:$R,"IRRIGATED"),"")</f>
        <v>#VALUE!</v>
      </c>
    </row>
    <row r="46" spans="1:32" ht="18.75" x14ac:dyDescent="0.3">
      <c r="A46" s="42">
        <v>2020</v>
      </c>
      <c r="B46" s="62" t="e">
        <f>IF(B36&gt;0,1-AVERAGEIFS('[3]Data(perSeason,perCrop)'!$E:$E,'[3]Data(perSeason,perCrop)'!$S:$S,$A36,'[3]Data(perSeason,perCrop)'!$O:$O,B31,'[3]Data(perSeason,perCrop)'!$C:$C,[3]Indicators!B$33,'[3]Data(perSeason,perCrop)'!$R:$R,"IRRIGATED")/AVERAGEIFS('[3]Data(perSeason,perCrop)'!$F:$F,'[3]Data(perSeason,perCrop)'!$S:$S,$A36,'[3]Data(perSeason,perCrop)'!$O:$O,B$31,'[3]Data(perSeason,perCrop)'!$C:$C,[3]Indicators!B$33,'[3]Data(perSeason,perCrop)'!$R:$R,"IRRIGATED"),"")</f>
        <v>#VALUE!</v>
      </c>
      <c r="C46" s="62" t="e">
        <f>IF(C36&gt;0,1-AVERAGEIFS('[3]Data(perSeason,perCrop)'!$E:$E,'[3]Data(perSeason,perCrop)'!$S:$S,$A36,'[3]Data(perSeason,perCrop)'!$O:$O,C31,'[3]Data(perSeason,perCrop)'!$C:$C,[3]Indicators!C$33,'[3]Data(perSeason,perCrop)'!$R:$R,"IRRIGATED")/AVERAGEIFS('[3]Data(perSeason,perCrop)'!$F:$F,'[3]Data(perSeason,perCrop)'!$S:$S,$A36,'[3]Data(perSeason,perCrop)'!$O:$O,C$31,'[3]Data(perSeason,perCrop)'!$C:$C,[3]Indicators!C$33,'[3]Data(perSeason,perCrop)'!$R:$R,"IRRIGATED"),"")</f>
        <v>#VALUE!</v>
      </c>
      <c r="D46" s="62" t="e">
        <f>IF(D36&gt;0,1-AVERAGEIFS('[3]Data(perSeason,perCrop)'!$E:$E,'[3]Data(perSeason,perCrop)'!$S:$S,$A36,'[3]Data(perSeason,perCrop)'!$O:$O,D31,'[3]Data(perSeason,perCrop)'!$C:$C,[3]Indicators!D$33,'[3]Data(perSeason,perCrop)'!$R:$R,"IRRIGATED")/AVERAGEIFS('[3]Data(perSeason,perCrop)'!$F:$F,'[3]Data(perSeason,perCrop)'!$S:$S,$A36,'[3]Data(perSeason,perCrop)'!$O:$O,D$31,'[3]Data(perSeason,perCrop)'!$C:$C,[3]Indicators!D$33,'[3]Data(perSeason,perCrop)'!$R:$R,"IRRIGATED"),"")</f>
        <v>#VALUE!</v>
      </c>
      <c r="E46" s="62" t="e">
        <f>IF(E36&gt;0,1-AVERAGEIFS('[3]Data(perSeason,perCrop)'!$E:$E,'[3]Data(perSeason,perCrop)'!$S:$S,$A36,'[3]Data(perSeason,perCrop)'!$O:$O,E31,'[3]Data(perSeason,perCrop)'!$C:$C,[3]Indicators!E$33,'[3]Data(perSeason,perCrop)'!$R:$R,"IRRIGATED")/AVERAGEIFS('[3]Data(perSeason,perCrop)'!$F:$F,'[3]Data(perSeason,perCrop)'!$S:$S,$A36,'[3]Data(perSeason,perCrop)'!$O:$O,E$31,'[3]Data(perSeason,perCrop)'!$C:$C,[3]Indicators!E$33,'[3]Data(perSeason,perCrop)'!$R:$R,"IRRIGATED"),"")</f>
        <v>#VALUE!</v>
      </c>
      <c r="F46" s="62" t="e">
        <f>IF(F36&gt;0,1-AVERAGEIFS('[3]Data(perSeason,perCrop)'!$E:$E,'[3]Data(perSeason,perCrop)'!$S:$S,$A36,'[3]Data(perSeason,perCrop)'!$O:$O,F31,'[3]Data(perSeason,perCrop)'!$C:$C,[3]Indicators!F$33,'[3]Data(perSeason,perCrop)'!$R:$R,"IRRIGATED")/AVERAGEIFS('[3]Data(perSeason,perCrop)'!$F:$F,'[3]Data(perSeason,perCrop)'!$S:$S,$A36,'[3]Data(perSeason,perCrop)'!$O:$O,F$31,'[3]Data(perSeason,perCrop)'!$C:$C,[3]Indicators!F$33,'[3]Data(perSeason,perCrop)'!$R:$R,"IRRIGATED"),"")</f>
        <v>#VALUE!</v>
      </c>
      <c r="G46" s="62" t="e">
        <f>IF(G36&gt;0,1-AVERAGEIFS('[3]Data(perSeason,perCrop)'!$E:$E,'[3]Data(perSeason,perCrop)'!$S:$S,$A36,'[3]Data(perSeason,perCrop)'!$O:$O,G31,'[3]Data(perSeason,perCrop)'!$C:$C,[3]Indicators!G$33,'[3]Data(perSeason,perCrop)'!$R:$R,"IRRIGATED")/AVERAGEIFS('[3]Data(perSeason,perCrop)'!$F:$F,'[3]Data(perSeason,perCrop)'!$S:$S,$A36,'[3]Data(perSeason,perCrop)'!$O:$O,G$31,'[3]Data(perSeason,perCrop)'!$C:$C,[3]Indicators!G$33,'[3]Data(perSeason,perCrop)'!$R:$R,"IRRIGATED"),"")</f>
        <v>#VALUE!</v>
      </c>
      <c r="H46" s="62" t="e">
        <f>IF(H36&gt;0,1-AVERAGEIFS('[3]Data(perSeason,perCrop)'!$E:$E,'[3]Data(perSeason,perCrop)'!$S:$S,$A36,'[3]Data(perSeason,perCrop)'!$O:$O,H31,'[3]Data(perSeason,perCrop)'!$C:$C,[3]Indicators!H$33,'[3]Data(perSeason,perCrop)'!$R:$R,"IRRIGATED")/AVERAGEIFS('[3]Data(perSeason,perCrop)'!$F:$F,'[3]Data(perSeason,perCrop)'!$S:$S,$A36,'[3]Data(perSeason,perCrop)'!$O:$O,H$31,'[3]Data(perSeason,perCrop)'!$C:$C,[3]Indicators!H$33,'[3]Data(perSeason,perCrop)'!$R:$R,"IRRIGATED"),"")</f>
        <v>#VALUE!</v>
      </c>
      <c r="I46" s="62" t="e">
        <f>IF(I36&gt;0,1-AVERAGEIFS('[3]Data(perSeason,perCrop)'!$E:$E,'[3]Data(perSeason,perCrop)'!$S:$S,$A36,'[3]Data(perSeason,perCrop)'!$O:$O,I31,'[3]Data(perSeason,perCrop)'!$C:$C,[3]Indicators!I$33,'[3]Data(perSeason,perCrop)'!$R:$R,"IRRIGATED")/AVERAGEIFS('[3]Data(perSeason,perCrop)'!$F:$F,'[3]Data(perSeason,perCrop)'!$S:$S,$A36,'[3]Data(perSeason,perCrop)'!$O:$O,I$31,'[3]Data(perSeason,perCrop)'!$C:$C,[3]Indicators!I$33,'[3]Data(perSeason,perCrop)'!$R:$R,"IRRIGATED"),"")</f>
        <v>#VALUE!</v>
      </c>
      <c r="J46" s="62" t="e">
        <f>IF(J36&gt;0,1-AVERAGEIFS('[3]Data(perSeason,perCrop)'!$E:$E,'[3]Data(perSeason,perCrop)'!$S:$S,$A36,'[3]Data(perSeason,perCrop)'!$O:$O,J31,'[3]Data(perSeason,perCrop)'!$C:$C,[3]Indicators!J$33,'[3]Data(perSeason,perCrop)'!$R:$R,"IRRIGATED")/AVERAGEIFS('[3]Data(perSeason,perCrop)'!$F:$F,'[3]Data(perSeason,perCrop)'!$S:$S,$A36,'[3]Data(perSeason,perCrop)'!$O:$O,J$31,'[3]Data(perSeason,perCrop)'!$C:$C,[3]Indicators!J$33,'[3]Data(perSeason,perCrop)'!$R:$R,"IRRIGATED"),"")</f>
        <v>#VALUE!</v>
      </c>
      <c r="K46" s="62" t="e">
        <f>IF(K36&gt;0,1-AVERAGEIFS('[3]Data(perSeason,perCrop)'!$E:$E,'[3]Data(perSeason,perCrop)'!$S:$S,$A36,'[3]Data(perSeason,perCrop)'!$O:$O,K31,'[3]Data(perSeason,perCrop)'!$C:$C,[3]Indicators!K$33,'[3]Data(perSeason,perCrop)'!$R:$R,"IRRIGATED")/AVERAGEIFS('[3]Data(perSeason,perCrop)'!$F:$F,'[3]Data(perSeason,perCrop)'!$S:$S,$A36,'[3]Data(perSeason,perCrop)'!$O:$O,K$31,'[3]Data(perSeason,perCrop)'!$C:$C,[3]Indicators!K$33,'[3]Data(perSeason,perCrop)'!$R:$R,"IRRIGATED"),"")</f>
        <v>#VALUE!</v>
      </c>
      <c r="L46" s="62" t="e">
        <f>IF(L36&gt;0,1-AVERAGEIFS('[3]Data(perSeason,perCrop)'!$E:$E,'[3]Data(perSeason,perCrop)'!$S:$S,$A36,'[3]Data(perSeason,perCrop)'!$O:$O,L31,'[3]Data(perSeason,perCrop)'!$C:$C,[3]Indicators!L$33,'[3]Data(perSeason,perCrop)'!$R:$R,"IRRIGATED")/AVERAGEIFS('[3]Data(perSeason,perCrop)'!$F:$F,'[3]Data(perSeason,perCrop)'!$S:$S,$A36,'[3]Data(perSeason,perCrop)'!$O:$O,L$31,'[3]Data(perSeason,perCrop)'!$C:$C,[3]Indicators!L$33,'[3]Data(perSeason,perCrop)'!$R:$R,"IRRIGATED"),"")</f>
        <v>#VALUE!</v>
      </c>
      <c r="M46" s="62" t="e">
        <f>IF(M36&gt;0,1-AVERAGEIFS('[3]Data(perSeason,perCrop)'!$E:$E,'[3]Data(perSeason,perCrop)'!$S:$S,$A36,'[3]Data(perSeason,perCrop)'!$O:$O,M31,'[3]Data(perSeason,perCrop)'!$C:$C,[3]Indicators!M$33,'[3]Data(perSeason,perCrop)'!$R:$R,"IRRIGATED")/AVERAGEIFS('[3]Data(perSeason,perCrop)'!$F:$F,'[3]Data(perSeason,perCrop)'!$S:$S,$A36,'[3]Data(perSeason,perCrop)'!$O:$O,M$31,'[3]Data(perSeason,perCrop)'!$C:$C,[3]Indicators!M$33,'[3]Data(perSeason,perCrop)'!$R:$R,"IRRIGATED"),"")</f>
        <v>#VALUE!</v>
      </c>
      <c r="N46" s="62" t="e">
        <f>IF(N36&gt;0,1-AVERAGEIFS('[3]Data(perSeason,perCrop)'!$E:$E,'[3]Data(perSeason,perCrop)'!$S:$S,$A36,'[3]Data(perSeason,perCrop)'!$O:$O,N31,'[3]Data(perSeason,perCrop)'!$C:$C,[3]Indicators!N$33,'[3]Data(perSeason,perCrop)'!$R:$R,"IRRIGATED")/AVERAGEIFS('[3]Data(perSeason,perCrop)'!$F:$F,'[3]Data(perSeason,perCrop)'!$S:$S,$A36,'[3]Data(perSeason,perCrop)'!$O:$O,N$31,'[3]Data(perSeason,perCrop)'!$C:$C,[3]Indicators!N$33,'[3]Data(perSeason,perCrop)'!$R:$R,"IRRIGATED"),"")</f>
        <v>#VALUE!</v>
      </c>
      <c r="O46" s="62" t="e">
        <f>IF(O36&gt;0,1-AVERAGEIFS('[3]Data(perSeason,perCrop)'!$E:$E,'[3]Data(perSeason,perCrop)'!$S:$S,$A36,'[3]Data(perSeason,perCrop)'!$O:$O,O31,'[3]Data(perSeason,perCrop)'!$C:$C,[3]Indicators!O$33,'[3]Data(perSeason,perCrop)'!$R:$R,"IRRIGATED")/AVERAGEIFS('[3]Data(perSeason,perCrop)'!$F:$F,'[3]Data(perSeason,perCrop)'!$S:$S,$A36,'[3]Data(perSeason,perCrop)'!$O:$O,O$31,'[3]Data(perSeason,perCrop)'!$C:$C,[3]Indicators!O$33,'[3]Data(perSeason,perCrop)'!$R:$R,"IRRIGATED"),"")</f>
        <v>#VALUE!</v>
      </c>
      <c r="P46" s="62" t="e">
        <f>IF(P36&gt;0,1-AVERAGEIFS('[3]Data(perSeason,perCrop)'!$E:$E,'[3]Data(perSeason,perCrop)'!$S:$S,$A36,'[3]Data(perSeason,perCrop)'!$O:$O,P31,'[3]Data(perSeason,perCrop)'!$C:$C,[3]Indicators!P$33,'[3]Data(perSeason,perCrop)'!$R:$R,"IRRIGATED")/AVERAGEIFS('[3]Data(perSeason,perCrop)'!$F:$F,'[3]Data(perSeason,perCrop)'!$S:$S,$A36,'[3]Data(perSeason,perCrop)'!$O:$O,P$31,'[3]Data(perSeason,perCrop)'!$C:$C,[3]Indicators!P$33,'[3]Data(perSeason,perCrop)'!$R:$R,"IRRIGATED"),"")</f>
        <v>#VALUE!</v>
      </c>
      <c r="Q46" s="62" t="e">
        <f>IF(Q36&gt;0,1-AVERAGEIFS('[3]Data(perSeason,perCrop)'!$E:$E,'[3]Data(perSeason,perCrop)'!$S:$S,$A36,'[3]Data(perSeason,perCrop)'!$O:$O,Q31,'[3]Data(perSeason,perCrop)'!$C:$C,[3]Indicators!Q$33,'[3]Data(perSeason,perCrop)'!$R:$R,"IRRIGATED")/AVERAGEIFS('[3]Data(perSeason,perCrop)'!$F:$F,'[3]Data(perSeason,perCrop)'!$S:$S,$A36,'[3]Data(perSeason,perCrop)'!$O:$O,Q$31,'[3]Data(perSeason,perCrop)'!$C:$C,[3]Indicators!Q$33,'[3]Data(perSeason,perCrop)'!$R:$R,"IRRIGATED"),"")</f>
        <v>#VALUE!</v>
      </c>
      <c r="R46" s="62" t="e">
        <f>IF(R36&gt;0,1-AVERAGEIFS('[3]Data(perSeason,perCrop)'!$E:$E,'[3]Data(perSeason,perCrop)'!$S:$S,$A36,'[3]Data(perSeason,perCrop)'!$O:$O,R31,'[3]Data(perSeason,perCrop)'!$C:$C,[3]Indicators!R$33,'[3]Data(perSeason,perCrop)'!$R:$R,"IRRIGATED")/AVERAGEIFS('[3]Data(perSeason,perCrop)'!$F:$F,'[3]Data(perSeason,perCrop)'!$S:$S,$A36,'[3]Data(perSeason,perCrop)'!$O:$O,R$31,'[3]Data(perSeason,perCrop)'!$C:$C,[3]Indicators!R$33,'[3]Data(perSeason,perCrop)'!$R:$R,"IRRIGATED"),"")</f>
        <v>#VALUE!</v>
      </c>
      <c r="S46" s="62" t="e">
        <f>IF(S36&gt;0,1-AVERAGEIFS('[3]Data(perSeason,perCrop)'!$E:$E,'[3]Data(perSeason,perCrop)'!$S:$S,$A36,'[3]Data(perSeason,perCrop)'!$O:$O,S31,'[3]Data(perSeason,perCrop)'!$C:$C,[3]Indicators!S$33,'[3]Data(perSeason,perCrop)'!$R:$R,"IRRIGATED")/AVERAGEIFS('[3]Data(perSeason,perCrop)'!$F:$F,'[3]Data(perSeason,perCrop)'!$S:$S,$A36,'[3]Data(perSeason,perCrop)'!$O:$O,S$31,'[3]Data(perSeason,perCrop)'!$C:$C,[3]Indicators!S$33,'[3]Data(perSeason,perCrop)'!$R:$R,"IRRIGATED"),"")</f>
        <v>#VALUE!</v>
      </c>
      <c r="T46" s="62" t="e">
        <f>IF(T36&gt;0,1-AVERAGEIFS('[3]Data(perSeason,perCrop)'!$E:$E,'[3]Data(perSeason,perCrop)'!$S:$S,$A36,'[3]Data(perSeason,perCrop)'!$O:$O,T31,'[3]Data(perSeason,perCrop)'!$C:$C,[3]Indicators!T$33,'[3]Data(perSeason,perCrop)'!$R:$R,"IRRIGATED")/AVERAGEIFS('[3]Data(perSeason,perCrop)'!$F:$F,'[3]Data(perSeason,perCrop)'!$S:$S,$A36,'[3]Data(perSeason,perCrop)'!$O:$O,T$31,'[3]Data(perSeason,perCrop)'!$C:$C,[3]Indicators!T$33,'[3]Data(perSeason,perCrop)'!$R:$R,"IRRIGATED"),"")</f>
        <v>#VALUE!</v>
      </c>
      <c r="U46" s="62" t="e">
        <f>IF(U36&gt;0,1-AVERAGEIFS('[3]Data(perSeason,perCrop)'!$E:$E,'[3]Data(perSeason,perCrop)'!$S:$S,$A36,'[3]Data(perSeason,perCrop)'!$O:$O,U31,'[3]Data(perSeason,perCrop)'!$C:$C,[3]Indicators!U$33,'[3]Data(perSeason,perCrop)'!$R:$R,"IRRIGATED")/AVERAGEIFS('[3]Data(perSeason,perCrop)'!$F:$F,'[3]Data(perSeason,perCrop)'!$S:$S,$A36,'[3]Data(perSeason,perCrop)'!$O:$O,U$31,'[3]Data(perSeason,perCrop)'!$C:$C,[3]Indicators!U$33,'[3]Data(perSeason,perCrop)'!$R:$R,"IRRIGATED"),"")</f>
        <v>#VALUE!</v>
      </c>
      <c r="V46" s="62" t="e">
        <f>IF(V36&gt;0,1-AVERAGEIFS('[3]Data(perSeason,perCrop)'!$E:$E,'[3]Data(perSeason,perCrop)'!$S:$S,$A36,'[3]Data(perSeason,perCrop)'!$O:$O,V31,'[3]Data(perSeason,perCrop)'!$C:$C,[3]Indicators!V$33,'[3]Data(perSeason,perCrop)'!$R:$R,"IRRIGATED")/AVERAGEIFS('[3]Data(perSeason,perCrop)'!$F:$F,'[3]Data(perSeason,perCrop)'!$S:$S,$A36,'[3]Data(perSeason,perCrop)'!$O:$O,V$31,'[3]Data(perSeason,perCrop)'!$C:$C,[3]Indicators!V$33,'[3]Data(perSeason,perCrop)'!$R:$R,"IRRIGATED"),"")</f>
        <v>#VALUE!</v>
      </c>
      <c r="W46" s="62" t="e">
        <f>IF(W36&gt;0,1-AVERAGEIFS('[3]Data(perSeason,perCrop)'!$E:$E,'[3]Data(perSeason,perCrop)'!$S:$S,$A36,'[3]Data(perSeason,perCrop)'!$O:$O,W31,'[3]Data(perSeason,perCrop)'!$C:$C,[3]Indicators!W$33,'[3]Data(perSeason,perCrop)'!$R:$R,"IRRIGATED")/AVERAGEIFS('[3]Data(perSeason,perCrop)'!$F:$F,'[3]Data(perSeason,perCrop)'!$S:$S,$A36,'[3]Data(perSeason,perCrop)'!$O:$O,W$31,'[3]Data(perSeason,perCrop)'!$C:$C,[3]Indicators!W$33,'[3]Data(perSeason,perCrop)'!$R:$R,"IRRIGATED"),"")</f>
        <v>#VALUE!</v>
      </c>
      <c r="X46" s="62" t="e">
        <f>IF(X36&gt;0,1-AVERAGEIFS('[3]Data(perSeason,perCrop)'!$E:$E,'[3]Data(perSeason,perCrop)'!$S:$S,$A36,'[3]Data(perSeason,perCrop)'!$O:$O,X31,'[3]Data(perSeason,perCrop)'!$C:$C,[3]Indicators!X$33,'[3]Data(perSeason,perCrop)'!$R:$R,"IRRIGATED")/AVERAGEIFS('[3]Data(perSeason,perCrop)'!$F:$F,'[3]Data(perSeason,perCrop)'!$S:$S,$A36,'[3]Data(perSeason,perCrop)'!$O:$O,X$31,'[3]Data(perSeason,perCrop)'!$C:$C,[3]Indicators!X$33,'[3]Data(perSeason,perCrop)'!$R:$R,"IRRIGATED"),"")</f>
        <v>#VALUE!</v>
      </c>
      <c r="Y46" s="62" t="e">
        <f>IF(Y36&gt;0,1-AVERAGEIFS('[3]Data(perSeason,perCrop)'!$E:$E,'[3]Data(perSeason,perCrop)'!$S:$S,$A36,'[3]Data(perSeason,perCrop)'!$O:$O,Y31,'[3]Data(perSeason,perCrop)'!$C:$C,[3]Indicators!Y$33,'[3]Data(perSeason,perCrop)'!$R:$R,"IRRIGATED")/AVERAGEIFS('[3]Data(perSeason,perCrop)'!$F:$F,'[3]Data(perSeason,perCrop)'!$S:$S,$A36,'[3]Data(perSeason,perCrop)'!$O:$O,Y$31,'[3]Data(perSeason,perCrop)'!$C:$C,[3]Indicators!Y$33,'[3]Data(perSeason,perCrop)'!$R:$R,"IRRIGATED"),"")</f>
        <v>#VALUE!</v>
      </c>
      <c r="Z46" s="62" t="e">
        <f>IF(Z36&gt;0,1-AVERAGEIFS('[3]Data(perSeason,perCrop)'!$E:$E,'[3]Data(perSeason,perCrop)'!$S:$S,$A36,'[3]Data(perSeason,perCrop)'!$O:$O,Z31,'[3]Data(perSeason,perCrop)'!$C:$C,[3]Indicators!Z$33,'[3]Data(perSeason,perCrop)'!$R:$R,"IRRIGATED")/AVERAGEIFS('[3]Data(perSeason,perCrop)'!$F:$F,'[3]Data(perSeason,perCrop)'!$S:$S,$A36,'[3]Data(perSeason,perCrop)'!$O:$O,Z$31,'[3]Data(perSeason,perCrop)'!$C:$C,[3]Indicators!Z$33,'[3]Data(perSeason,perCrop)'!$R:$R,"IRRIGATED"),"")</f>
        <v>#VALUE!</v>
      </c>
      <c r="AA46" s="62" t="e">
        <f>IF(AA36&gt;0,1-AVERAGEIFS('[3]Data(perSeason,perCrop)'!$E:$E,'[3]Data(perSeason,perCrop)'!$S:$S,$A36,'[3]Data(perSeason,perCrop)'!$O:$O,AA31,'[3]Data(perSeason,perCrop)'!$C:$C,[3]Indicators!AA$33,'[3]Data(perSeason,perCrop)'!$R:$R,"IRRIGATED")/AVERAGEIFS('[3]Data(perSeason,perCrop)'!$F:$F,'[3]Data(perSeason,perCrop)'!$S:$S,$A36,'[3]Data(perSeason,perCrop)'!$O:$O,AA$31,'[3]Data(perSeason,perCrop)'!$C:$C,[3]Indicators!AA$33,'[3]Data(perSeason,perCrop)'!$R:$R,"IRRIGATED"),"")</f>
        <v>#VALUE!</v>
      </c>
      <c r="AB46" s="62" t="e">
        <f>IF(AB36&gt;0,1-AVERAGEIFS('[3]Data(perSeason,perCrop)'!$E:$E,'[3]Data(perSeason,perCrop)'!$S:$S,$A36,'[3]Data(perSeason,perCrop)'!$O:$O,AB31,'[3]Data(perSeason,perCrop)'!$C:$C,[3]Indicators!AB$33,'[3]Data(perSeason,perCrop)'!$R:$R,"IRRIGATED")/AVERAGEIFS('[3]Data(perSeason,perCrop)'!$F:$F,'[3]Data(perSeason,perCrop)'!$S:$S,$A36,'[3]Data(perSeason,perCrop)'!$O:$O,AB$31,'[3]Data(perSeason,perCrop)'!$C:$C,[3]Indicators!AB$33,'[3]Data(perSeason,perCrop)'!$R:$R,"IRRIGATED"),"")</f>
        <v>#VALUE!</v>
      </c>
      <c r="AC46" s="62" t="e">
        <f>IF(AC36&gt;0,1-AVERAGEIFS('[3]Data(perSeason,perCrop)'!$E:$E,'[3]Data(perSeason,perCrop)'!$S:$S,$A36,'[3]Data(perSeason,perCrop)'!$O:$O,AC31,'[3]Data(perSeason,perCrop)'!$C:$C,[3]Indicators!AC$33,'[3]Data(perSeason,perCrop)'!$R:$R,"IRRIGATED")/AVERAGEIFS('[3]Data(perSeason,perCrop)'!$F:$F,'[3]Data(perSeason,perCrop)'!$S:$S,$A36,'[3]Data(perSeason,perCrop)'!$O:$O,AC$31,'[3]Data(perSeason,perCrop)'!$C:$C,[3]Indicators!AC$33,'[3]Data(perSeason,perCrop)'!$R:$R,"IRRIGATED"),"")</f>
        <v>#VALUE!</v>
      </c>
      <c r="AD46" s="62" t="e">
        <f>IF(AD36&gt;0,1-AVERAGEIFS('[3]Data(perSeason,perCrop)'!$E:$E,'[3]Data(perSeason,perCrop)'!$S:$S,$A36,'[3]Data(perSeason,perCrop)'!$O:$O,AD31,'[3]Data(perSeason,perCrop)'!$C:$C,[3]Indicators!AD$33,'[3]Data(perSeason,perCrop)'!$R:$R,"IRRIGATED")/AVERAGEIFS('[3]Data(perSeason,perCrop)'!$F:$F,'[3]Data(perSeason,perCrop)'!$S:$S,$A36,'[3]Data(perSeason,perCrop)'!$O:$O,AD$31,'[3]Data(perSeason,perCrop)'!$C:$C,[3]Indicators!AD$33,'[3]Data(perSeason,perCrop)'!$R:$R,"IRRIGATED"),"")</f>
        <v>#VALUE!</v>
      </c>
      <c r="AE46" s="62" t="e">
        <f>IF(AE36&gt;0,1-AVERAGEIFS('[3]Data(perSeason,perCrop)'!$E:$E,'[3]Data(perSeason,perCrop)'!$S:$S,$A36,'[3]Data(perSeason,perCrop)'!$O:$O,AE31,'[3]Data(perSeason,perCrop)'!$C:$C,[3]Indicators!AE$33,'[3]Data(perSeason,perCrop)'!$R:$R,"IRRIGATED")/AVERAGEIFS('[3]Data(perSeason,perCrop)'!$F:$F,'[3]Data(perSeason,perCrop)'!$S:$S,$A36,'[3]Data(perSeason,perCrop)'!$O:$O,AE$31,'[3]Data(perSeason,perCrop)'!$C:$C,[3]Indicators!AE$33,'[3]Data(perSeason,perCrop)'!$R:$R,"IRRIGATED"),"")</f>
        <v>#VALUE!</v>
      </c>
      <c r="AF46" s="62" t="e">
        <f>IF(AF36&gt;0,1-AVERAGEIFS('[3]Data(perSeason,perCrop)'!$E:$E,'[3]Data(perSeason,perCrop)'!$S:$S,$A36,'[3]Data(perSeason,perCrop)'!$O:$O,AF31,'[3]Data(perSeason,perCrop)'!$C:$C,[3]Indicators!AF$33,'[3]Data(perSeason,perCrop)'!$R:$R,"IRRIGATED")/AVERAGEIFS('[3]Data(perSeason,perCrop)'!$F:$F,'[3]Data(perSeason,perCrop)'!$S:$S,$A36,'[3]Data(perSeason,perCrop)'!$O:$O,AF$31,'[3]Data(perSeason,perCrop)'!$C:$C,[3]Indicators!AF$33,'[3]Data(perSeason,perCrop)'!$R:$R,"IRRIGATED"),"")</f>
        <v>#VALUE!</v>
      </c>
    </row>
    <row r="47" spans="1:32" ht="18.75" x14ac:dyDescent="0.3">
      <c r="A47" s="42">
        <v>2021</v>
      </c>
      <c r="B47" s="62" t="e">
        <f>IF(B37&gt;0,1-AVERAGEIFS('[3]Data(perSeason,perCrop)'!$E:$E,'[3]Data(perSeason,perCrop)'!$S:$S,$A37,'[3]Data(perSeason,perCrop)'!$O:$O,B31,'[3]Data(perSeason,perCrop)'!$C:$C,[3]Indicators!B$33,'[3]Data(perSeason,perCrop)'!$R:$R,"IRRIGATED")/AVERAGEIFS('[3]Data(perSeason,perCrop)'!$F:$F,'[3]Data(perSeason,perCrop)'!$S:$S,$A37,'[3]Data(perSeason,perCrop)'!$O:$O,B$31,'[3]Data(perSeason,perCrop)'!$C:$C,[3]Indicators!B$33,'[3]Data(perSeason,perCrop)'!$R:$R,"IRRIGATED"),"")</f>
        <v>#VALUE!</v>
      </c>
      <c r="C47" s="62" t="e">
        <f>IF(C37&gt;0,1-AVERAGEIFS('[3]Data(perSeason,perCrop)'!$E:$E,'[3]Data(perSeason,perCrop)'!$S:$S,$A37,'[3]Data(perSeason,perCrop)'!$O:$O,C31,'[3]Data(perSeason,perCrop)'!$C:$C,[3]Indicators!C$33,'[3]Data(perSeason,perCrop)'!$R:$R,"IRRIGATED")/AVERAGEIFS('[3]Data(perSeason,perCrop)'!$F:$F,'[3]Data(perSeason,perCrop)'!$S:$S,$A37,'[3]Data(perSeason,perCrop)'!$O:$O,C$31,'[3]Data(perSeason,perCrop)'!$C:$C,[3]Indicators!C$33,'[3]Data(perSeason,perCrop)'!$R:$R,"IRRIGATED"),"")</f>
        <v>#VALUE!</v>
      </c>
      <c r="D47" s="62" t="e">
        <f>IF(D37&gt;0,1-AVERAGEIFS('[3]Data(perSeason,perCrop)'!$E:$E,'[3]Data(perSeason,perCrop)'!$S:$S,$A37,'[3]Data(perSeason,perCrop)'!$O:$O,D31,'[3]Data(perSeason,perCrop)'!$C:$C,[3]Indicators!D$33,'[3]Data(perSeason,perCrop)'!$R:$R,"IRRIGATED")/AVERAGEIFS('[3]Data(perSeason,perCrop)'!$F:$F,'[3]Data(perSeason,perCrop)'!$S:$S,$A37,'[3]Data(perSeason,perCrop)'!$O:$O,D$31,'[3]Data(perSeason,perCrop)'!$C:$C,[3]Indicators!D$33,'[3]Data(perSeason,perCrop)'!$R:$R,"IRRIGATED"),"")</f>
        <v>#VALUE!</v>
      </c>
      <c r="E47" s="62" t="e">
        <f>IF(E37&gt;0,1-AVERAGEIFS('[3]Data(perSeason,perCrop)'!$E:$E,'[3]Data(perSeason,perCrop)'!$S:$S,$A37,'[3]Data(perSeason,perCrop)'!$O:$O,E31,'[3]Data(perSeason,perCrop)'!$C:$C,[3]Indicators!E$33,'[3]Data(perSeason,perCrop)'!$R:$R,"IRRIGATED")/AVERAGEIFS('[3]Data(perSeason,perCrop)'!$F:$F,'[3]Data(perSeason,perCrop)'!$S:$S,$A37,'[3]Data(perSeason,perCrop)'!$O:$O,E$31,'[3]Data(perSeason,perCrop)'!$C:$C,[3]Indicators!E$33,'[3]Data(perSeason,perCrop)'!$R:$R,"IRRIGATED"),"")</f>
        <v>#VALUE!</v>
      </c>
      <c r="F47" s="62" t="e">
        <f>IF(F37&gt;0,1-AVERAGEIFS('[3]Data(perSeason,perCrop)'!$E:$E,'[3]Data(perSeason,perCrop)'!$S:$S,$A37,'[3]Data(perSeason,perCrop)'!$O:$O,F31,'[3]Data(perSeason,perCrop)'!$C:$C,[3]Indicators!F$33,'[3]Data(perSeason,perCrop)'!$R:$R,"IRRIGATED")/AVERAGEIFS('[3]Data(perSeason,perCrop)'!$F:$F,'[3]Data(perSeason,perCrop)'!$S:$S,$A37,'[3]Data(perSeason,perCrop)'!$O:$O,F$31,'[3]Data(perSeason,perCrop)'!$C:$C,[3]Indicators!F$33,'[3]Data(perSeason,perCrop)'!$R:$R,"IRRIGATED"),"")</f>
        <v>#VALUE!</v>
      </c>
      <c r="G47" s="62" t="e">
        <f>IF(G37&gt;0,1-AVERAGEIFS('[3]Data(perSeason,perCrop)'!$E:$E,'[3]Data(perSeason,perCrop)'!$S:$S,$A37,'[3]Data(perSeason,perCrop)'!$O:$O,G31,'[3]Data(perSeason,perCrop)'!$C:$C,[3]Indicators!G$33,'[3]Data(perSeason,perCrop)'!$R:$R,"IRRIGATED")/AVERAGEIFS('[3]Data(perSeason,perCrop)'!$F:$F,'[3]Data(perSeason,perCrop)'!$S:$S,$A37,'[3]Data(perSeason,perCrop)'!$O:$O,G$31,'[3]Data(perSeason,perCrop)'!$C:$C,[3]Indicators!G$33,'[3]Data(perSeason,perCrop)'!$R:$R,"IRRIGATED"),"")</f>
        <v>#VALUE!</v>
      </c>
      <c r="H47" s="62" t="e">
        <f>IF(H37&gt;0,1-AVERAGEIFS('[3]Data(perSeason,perCrop)'!$E:$E,'[3]Data(perSeason,perCrop)'!$S:$S,$A37,'[3]Data(perSeason,perCrop)'!$O:$O,H31,'[3]Data(perSeason,perCrop)'!$C:$C,[3]Indicators!H$33,'[3]Data(perSeason,perCrop)'!$R:$R,"IRRIGATED")/AVERAGEIFS('[3]Data(perSeason,perCrop)'!$F:$F,'[3]Data(perSeason,perCrop)'!$S:$S,$A37,'[3]Data(perSeason,perCrop)'!$O:$O,H$31,'[3]Data(perSeason,perCrop)'!$C:$C,[3]Indicators!H$33,'[3]Data(perSeason,perCrop)'!$R:$R,"IRRIGATED"),"")</f>
        <v>#VALUE!</v>
      </c>
      <c r="I47" s="62" t="e">
        <f>IF(I37&gt;0,1-AVERAGEIFS('[3]Data(perSeason,perCrop)'!$E:$E,'[3]Data(perSeason,perCrop)'!$S:$S,$A37,'[3]Data(perSeason,perCrop)'!$O:$O,I31,'[3]Data(perSeason,perCrop)'!$C:$C,[3]Indicators!I$33,'[3]Data(perSeason,perCrop)'!$R:$R,"IRRIGATED")/AVERAGEIFS('[3]Data(perSeason,perCrop)'!$F:$F,'[3]Data(perSeason,perCrop)'!$S:$S,$A37,'[3]Data(perSeason,perCrop)'!$O:$O,I$31,'[3]Data(perSeason,perCrop)'!$C:$C,[3]Indicators!I$33,'[3]Data(perSeason,perCrop)'!$R:$R,"IRRIGATED"),"")</f>
        <v>#VALUE!</v>
      </c>
      <c r="J47" s="62" t="e">
        <f>IF(J37&gt;0,1-AVERAGEIFS('[3]Data(perSeason,perCrop)'!$E:$E,'[3]Data(perSeason,perCrop)'!$S:$S,$A37,'[3]Data(perSeason,perCrop)'!$O:$O,J31,'[3]Data(perSeason,perCrop)'!$C:$C,[3]Indicators!J$33,'[3]Data(perSeason,perCrop)'!$R:$R,"IRRIGATED")/AVERAGEIFS('[3]Data(perSeason,perCrop)'!$F:$F,'[3]Data(perSeason,perCrop)'!$S:$S,$A37,'[3]Data(perSeason,perCrop)'!$O:$O,J$31,'[3]Data(perSeason,perCrop)'!$C:$C,[3]Indicators!J$33,'[3]Data(perSeason,perCrop)'!$R:$R,"IRRIGATED"),"")</f>
        <v>#VALUE!</v>
      </c>
      <c r="K47" s="62" t="e">
        <f>IF(K37&gt;0,1-AVERAGEIFS('[3]Data(perSeason,perCrop)'!$E:$E,'[3]Data(perSeason,perCrop)'!$S:$S,$A37,'[3]Data(perSeason,perCrop)'!$O:$O,K31,'[3]Data(perSeason,perCrop)'!$C:$C,[3]Indicators!K$33,'[3]Data(perSeason,perCrop)'!$R:$R,"IRRIGATED")/AVERAGEIFS('[3]Data(perSeason,perCrop)'!$F:$F,'[3]Data(perSeason,perCrop)'!$S:$S,$A37,'[3]Data(perSeason,perCrop)'!$O:$O,K$31,'[3]Data(perSeason,perCrop)'!$C:$C,[3]Indicators!K$33,'[3]Data(perSeason,perCrop)'!$R:$R,"IRRIGATED"),"")</f>
        <v>#VALUE!</v>
      </c>
      <c r="L47" s="62" t="e">
        <f>IF(L37&gt;0,1-AVERAGEIFS('[3]Data(perSeason,perCrop)'!$E:$E,'[3]Data(perSeason,perCrop)'!$S:$S,$A37,'[3]Data(perSeason,perCrop)'!$O:$O,L31,'[3]Data(perSeason,perCrop)'!$C:$C,[3]Indicators!L$33,'[3]Data(perSeason,perCrop)'!$R:$R,"IRRIGATED")/AVERAGEIFS('[3]Data(perSeason,perCrop)'!$F:$F,'[3]Data(perSeason,perCrop)'!$S:$S,$A37,'[3]Data(perSeason,perCrop)'!$O:$O,L$31,'[3]Data(perSeason,perCrop)'!$C:$C,[3]Indicators!L$33,'[3]Data(perSeason,perCrop)'!$R:$R,"IRRIGATED"),"")</f>
        <v>#VALUE!</v>
      </c>
      <c r="M47" s="62" t="e">
        <f>IF(M37&gt;0,1-AVERAGEIFS('[3]Data(perSeason,perCrop)'!$E:$E,'[3]Data(perSeason,perCrop)'!$S:$S,$A37,'[3]Data(perSeason,perCrop)'!$O:$O,M31,'[3]Data(perSeason,perCrop)'!$C:$C,[3]Indicators!M$33,'[3]Data(perSeason,perCrop)'!$R:$R,"IRRIGATED")/AVERAGEIFS('[3]Data(perSeason,perCrop)'!$F:$F,'[3]Data(perSeason,perCrop)'!$S:$S,$A37,'[3]Data(perSeason,perCrop)'!$O:$O,M$31,'[3]Data(perSeason,perCrop)'!$C:$C,[3]Indicators!M$33,'[3]Data(perSeason,perCrop)'!$R:$R,"IRRIGATED"),"")</f>
        <v>#VALUE!</v>
      </c>
      <c r="N47" s="62" t="e">
        <f>IF(N37&gt;0,1-AVERAGEIFS('[3]Data(perSeason,perCrop)'!$E:$E,'[3]Data(perSeason,perCrop)'!$S:$S,$A37,'[3]Data(perSeason,perCrop)'!$O:$O,N31,'[3]Data(perSeason,perCrop)'!$C:$C,[3]Indicators!N$33,'[3]Data(perSeason,perCrop)'!$R:$R,"IRRIGATED")/AVERAGEIFS('[3]Data(perSeason,perCrop)'!$F:$F,'[3]Data(perSeason,perCrop)'!$S:$S,$A37,'[3]Data(perSeason,perCrop)'!$O:$O,N$31,'[3]Data(perSeason,perCrop)'!$C:$C,[3]Indicators!N$33,'[3]Data(perSeason,perCrop)'!$R:$R,"IRRIGATED"),"")</f>
        <v>#VALUE!</v>
      </c>
      <c r="O47" s="62" t="e">
        <f>IF(O37&gt;0,1-AVERAGEIFS('[3]Data(perSeason,perCrop)'!$E:$E,'[3]Data(perSeason,perCrop)'!$S:$S,$A37,'[3]Data(perSeason,perCrop)'!$O:$O,O31,'[3]Data(perSeason,perCrop)'!$C:$C,[3]Indicators!O$33,'[3]Data(perSeason,perCrop)'!$R:$R,"IRRIGATED")/AVERAGEIFS('[3]Data(perSeason,perCrop)'!$F:$F,'[3]Data(perSeason,perCrop)'!$S:$S,$A37,'[3]Data(perSeason,perCrop)'!$O:$O,O$31,'[3]Data(perSeason,perCrop)'!$C:$C,[3]Indicators!O$33,'[3]Data(perSeason,perCrop)'!$R:$R,"IRRIGATED"),"")</f>
        <v>#VALUE!</v>
      </c>
      <c r="P47" s="62" t="e">
        <f>IF(P37&gt;0,1-AVERAGEIFS('[3]Data(perSeason,perCrop)'!$E:$E,'[3]Data(perSeason,perCrop)'!$S:$S,$A37,'[3]Data(perSeason,perCrop)'!$O:$O,P31,'[3]Data(perSeason,perCrop)'!$C:$C,[3]Indicators!P$33,'[3]Data(perSeason,perCrop)'!$R:$R,"IRRIGATED")/AVERAGEIFS('[3]Data(perSeason,perCrop)'!$F:$F,'[3]Data(perSeason,perCrop)'!$S:$S,$A37,'[3]Data(perSeason,perCrop)'!$O:$O,P$31,'[3]Data(perSeason,perCrop)'!$C:$C,[3]Indicators!P$33,'[3]Data(perSeason,perCrop)'!$R:$R,"IRRIGATED"),"")</f>
        <v>#VALUE!</v>
      </c>
      <c r="Q47" s="62" t="e">
        <f>IF(Q37&gt;0,1-AVERAGEIFS('[3]Data(perSeason,perCrop)'!$E:$E,'[3]Data(perSeason,perCrop)'!$S:$S,$A37,'[3]Data(perSeason,perCrop)'!$O:$O,Q31,'[3]Data(perSeason,perCrop)'!$C:$C,[3]Indicators!Q$33,'[3]Data(perSeason,perCrop)'!$R:$R,"IRRIGATED")/AVERAGEIFS('[3]Data(perSeason,perCrop)'!$F:$F,'[3]Data(perSeason,perCrop)'!$S:$S,$A37,'[3]Data(perSeason,perCrop)'!$O:$O,Q$31,'[3]Data(perSeason,perCrop)'!$C:$C,[3]Indicators!Q$33,'[3]Data(perSeason,perCrop)'!$R:$R,"IRRIGATED"),"")</f>
        <v>#VALUE!</v>
      </c>
      <c r="R47" s="62" t="e">
        <f>IF(R37&gt;0,1-AVERAGEIFS('[3]Data(perSeason,perCrop)'!$E:$E,'[3]Data(perSeason,perCrop)'!$S:$S,$A37,'[3]Data(perSeason,perCrop)'!$O:$O,R31,'[3]Data(perSeason,perCrop)'!$C:$C,[3]Indicators!R$33,'[3]Data(perSeason,perCrop)'!$R:$R,"IRRIGATED")/AVERAGEIFS('[3]Data(perSeason,perCrop)'!$F:$F,'[3]Data(perSeason,perCrop)'!$S:$S,$A37,'[3]Data(perSeason,perCrop)'!$O:$O,R$31,'[3]Data(perSeason,perCrop)'!$C:$C,[3]Indicators!R$33,'[3]Data(perSeason,perCrop)'!$R:$R,"IRRIGATED"),"")</f>
        <v>#VALUE!</v>
      </c>
      <c r="S47" s="62" t="e">
        <f>IF(S37&gt;0,1-AVERAGEIFS('[3]Data(perSeason,perCrop)'!$E:$E,'[3]Data(perSeason,perCrop)'!$S:$S,$A37,'[3]Data(perSeason,perCrop)'!$O:$O,S31,'[3]Data(perSeason,perCrop)'!$C:$C,[3]Indicators!S$33,'[3]Data(perSeason,perCrop)'!$R:$R,"IRRIGATED")/AVERAGEIFS('[3]Data(perSeason,perCrop)'!$F:$F,'[3]Data(perSeason,perCrop)'!$S:$S,$A37,'[3]Data(perSeason,perCrop)'!$O:$O,S$31,'[3]Data(perSeason,perCrop)'!$C:$C,[3]Indicators!S$33,'[3]Data(perSeason,perCrop)'!$R:$R,"IRRIGATED"),"")</f>
        <v>#VALUE!</v>
      </c>
      <c r="T47" s="62" t="e">
        <f>IF(T37&gt;0,1-AVERAGEIFS('[3]Data(perSeason,perCrop)'!$E:$E,'[3]Data(perSeason,perCrop)'!$S:$S,$A37,'[3]Data(perSeason,perCrop)'!$O:$O,T31,'[3]Data(perSeason,perCrop)'!$C:$C,[3]Indicators!T$33,'[3]Data(perSeason,perCrop)'!$R:$R,"IRRIGATED")/AVERAGEIFS('[3]Data(perSeason,perCrop)'!$F:$F,'[3]Data(perSeason,perCrop)'!$S:$S,$A37,'[3]Data(perSeason,perCrop)'!$O:$O,T$31,'[3]Data(perSeason,perCrop)'!$C:$C,[3]Indicators!T$33,'[3]Data(perSeason,perCrop)'!$R:$R,"IRRIGATED"),"")</f>
        <v>#VALUE!</v>
      </c>
      <c r="U47" s="62" t="e">
        <f>IF(U37&gt;0,1-AVERAGEIFS('[3]Data(perSeason,perCrop)'!$E:$E,'[3]Data(perSeason,perCrop)'!$S:$S,$A37,'[3]Data(perSeason,perCrop)'!$O:$O,U31,'[3]Data(perSeason,perCrop)'!$C:$C,[3]Indicators!U$33,'[3]Data(perSeason,perCrop)'!$R:$R,"IRRIGATED")/AVERAGEIFS('[3]Data(perSeason,perCrop)'!$F:$F,'[3]Data(perSeason,perCrop)'!$S:$S,$A37,'[3]Data(perSeason,perCrop)'!$O:$O,U$31,'[3]Data(perSeason,perCrop)'!$C:$C,[3]Indicators!U$33,'[3]Data(perSeason,perCrop)'!$R:$R,"IRRIGATED"),"")</f>
        <v>#VALUE!</v>
      </c>
      <c r="V47" s="62" t="e">
        <f>IF(V37&gt;0,1-AVERAGEIFS('[3]Data(perSeason,perCrop)'!$E:$E,'[3]Data(perSeason,perCrop)'!$S:$S,$A37,'[3]Data(perSeason,perCrop)'!$O:$O,V31,'[3]Data(perSeason,perCrop)'!$C:$C,[3]Indicators!V$33,'[3]Data(perSeason,perCrop)'!$R:$R,"IRRIGATED")/AVERAGEIFS('[3]Data(perSeason,perCrop)'!$F:$F,'[3]Data(perSeason,perCrop)'!$S:$S,$A37,'[3]Data(perSeason,perCrop)'!$O:$O,V$31,'[3]Data(perSeason,perCrop)'!$C:$C,[3]Indicators!V$33,'[3]Data(perSeason,perCrop)'!$R:$R,"IRRIGATED"),"")</f>
        <v>#VALUE!</v>
      </c>
      <c r="W47" s="62" t="e">
        <f>IF(W37&gt;0,1-AVERAGEIFS('[3]Data(perSeason,perCrop)'!$E:$E,'[3]Data(perSeason,perCrop)'!$S:$S,$A37,'[3]Data(perSeason,perCrop)'!$O:$O,W31,'[3]Data(perSeason,perCrop)'!$C:$C,[3]Indicators!W$33,'[3]Data(perSeason,perCrop)'!$R:$R,"IRRIGATED")/AVERAGEIFS('[3]Data(perSeason,perCrop)'!$F:$F,'[3]Data(perSeason,perCrop)'!$S:$S,$A37,'[3]Data(perSeason,perCrop)'!$O:$O,W$31,'[3]Data(perSeason,perCrop)'!$C:$C,[3]Indicators!W$33,'[3]Data(perSeason,perCrop)'!$R:$R,"IRRIGATED"),"")</f>
        <v>#VALUE!</v>
      </c>
      <c r="X47" s="62" t="e">
        <f>IF(X37&gt;0,1-AVERAGEIFS('[3]Data(perSeason,perCrop)'!$E:$E,'[3]Data(perSeason,perCrop)'!$S:$S,$A37,'[3]Data(perSeason,perCrop)'!$O:$O,X31,'[3]Data(perSeason,perCrop)'!$C:$C,[3]Indicators!X$33,'[3]Data(perSeason,perCrop)'!$R:$R,"IRRIGATED")/AVERAGEIFS('[3]Data(perSeason,perCrop)'!$F:$F,'[3]Data(perSeason,perCrop)'!$S:$S,$A37,'[3]Data(perSeason,perCrop)'!$O:$O,X$31,'[3]Data(perSeason,perCrop)'!$C:$C,[3]Indicators!X$33,'[3]Data(perSeason,perCrop)'!$R:$R,"IRRIGATED"),"")</f>
        <v>#VALUE!</v>
      </c>
      <c r="Y47" s="62" t="e">
        <f>IF(Y37&gt;0,1-AVERAGEIFS('[3]Data(perSeason,perCrop)'!$E:$E,'[3]Data(perSeason,perCrop)'!$S:$S,$A37,'[3]Data(perSeason,perCrop)'!$O:$O,Y31,'[3]Data(perSeason,perCrop)'!$C:$C,[3]Indicators!Y$33,'[3]Data(perSeason,perCrop)'!$R:$R,"IRRIGATED")/AVERAGEIFS('[3]Data(perSeason,perCrop)'!$F:$F,'[3]Data(perSeason,perCrop)'!$S:$S,$A37,'[3]Data(perSeason,perCrop)'!$O:$O,Y$31,'[3]Data(perSeason,perCrop)'!$C:$C,[3]Indicators!Y$33,'[3]Data(perSeason,perCrop)'!$R:$R,"IRRIGATED"),"")</f>
        <v>#VALUE!</v>
      </c>
      <c r="Z47" s="62" t="e">
        <f>IF(Z37&gt;0,1-AVERAGEIFS('[3]Data(perSeason,perCrop)'!$E:$E,'[3]Data(perSeason,perCrop)'!$S:$S,$A37,'[3]Data(perSeason,perCrop)'!$O:$O,Z31,'[3]Data(perSeason,perCrop)'!$C:$C,[3]Indicators!Z$33,'[3]Data(perSeason,perCrop)'!$R:$R,"IRRIGATED")/AVERAGEIFS('[3]Data(perSeason,perCrop)'!$F:$F,'[3]Data(perSeason,perCrop)'!$S:$S,$A37,'[3]Data(perSeason,perCrop)'!$O:$O,Z$31,'[3]Data(perSeason,perCrop)'!$C:$C,[3]Indicators!Z$33,'[3]Data(perSeason,perCrop)'!$R:$R,"IRRIGATED"),"")</f>
        <v>#VALUE!</v>
      </c>
      <c r="AA47" s="62" t="e">
        <f>IF(AA37&gt;0,1-AVERAGEIFS('[3]Data(perSeason,perCrop)'!$E:$E,'[3]Data(perSeason,perCrop)'!$S:$S,$A37,'[3]Data(perSeason,perCrop)'!$O:$O,AA31,'[3]Data(perSeason,perCrop)'!$C:$C,[3]Indicators!AA$33,'[3]Data(perSeason,perCrop)'!$R:$R,"IRRIGATED")/AVERAGEIFS('[3]Data(perSeason,perCrop)'!$F:$F,'[3]Data(perSeason,perCrop)'!$S:$S,$A37,'[3]Data(perSeason,perCrop)'!$O:$O,AA$31,'[3]Data(perSeason,perCrop)'!$C:$C,[3]Indicators!AA$33,'[3]Data(perSeason,perCrop)'!$R:$R,"IRRIGATED"),"")</f>
        <v>#VALUE!</v>
      </c>
      <c r="AB47" s="62" t="e">
        <f>IF(AB37&gt;0,1-AVERAGEIFS('[3]Data(perSeason,perCrop)'!$E:$E,'[3]Data(perSeason,perCrop)'!$S:$S,$A37,'[3]Data(perSeason,perCrop)'!$O:$O,AB31,'[3]Data(perSeason,perCrop)'!$C:$C,[3]Indicators!AB$33,'[3]Data(perSeason,perCrop)'!$R:$R,"IRRIGATED")/AVERAGEIFS('[3]Data(perSeason,perCrop)'!$F:$F,'[3]Data(perSeason,perCrop)'!$S:$S,$A37,'[3]Data(perSeason,perCrop)'!$O:$O,AB$31,'[3]Data(perSeason,perCrop)'!$C:$C,[3]Indicators!AB$33,'[3]Data(perSeason,perCrop)'!$R:$R,"IRRIGATED"),"")</f>
        <v>#VALUE!</v>
      </c>
      <c r="AC47" s="62" t="e">
        <f>IF(AC37&gt;0,1-AVERAGEIFS('[3]Data(perSeason,perCrop)'!$E:$E,'[3]Data(perSeason,perCrop)'!$S:$S,$A37,'[3]Data(perSeason,perCrop)'!$O:$O,AC31,'[3]Data(perSeason,perCrop)'!$C:$C,[3]Indicators!AC$33,'[3]Data(perSeason,perCrop)'!$R:$R,"IRRIGATED")/AVERAGEIFS('[3]Data(perSeason,perCrop)'!$F:$F,'[3]Data(perSeason,perCrop)'!$S:$S,$A37,'[3]Data(perSeason,perCrop)'!$O:$O,AC$31,'[3]Data(perSeason,perCrop)'!$C:$C,[3]Indicators!AC$33,'[3]Data(perSeason,perCrop)'!$R:$R,"IRRIGATED"),"")</f>
        <v>#VALUE!</v>
      </c>
      <c r="AD47" s="62" t="e">
        <f>IF(AD37&gt;0,1-AVERAGEIFS('[3]Data(perSeason,perCrop)'!$E:$E,'[3]Data(perSeason,perCrop)'!$S:$S,$A37,'[3]Data(perSeason,perCrop)'!$O:$O,AD31,'[3]Data(perSeason,perCrop)'!$C:$C,[3]Indicators!AD$33,'[3]Data(perSeason,perCrop)'!$R:$R,"IRRIGATED")/AVERAGEIFS('[3]Data(perSeason,perCrop)'!$F:$F,'[3]Data(perSeason,perCrop)'!$S:$S,$A37,'[3]Data(perSeason,perCrop)'!$O:$O,AD$31,'[3]Data(perSeason,perCrop)'!$C:$C,[3]Indicators!AD$33,'[3]Data(perSeason,perCrop)'!$R:$R,"IRRIGATED"),"")</f>
        <v>#VALUE!</v>
      </c>
      <c r="AE47" s="62" t="e">
        <f>IF(AE37&gt;0,1-AVERAGEIFS('[3]Data(perSeason,perCrop)'!$E:$E,'[3]Data(perSeason,perCrop)'!$S:$S,$A37,'[3]Data(perSeason,perCrop)'!$O:$O,AE31,'[3]Data(perSeason,perCrop)'!$C:$C,[3]Indicators!AE$33,'[3]Data(perSeason,perCrop)'!$R:$R,"IRRIGATED")/AVERAGEIFS('[3]Data(perSeason,perCrop)'!$F:$F,'[3]Data(perSeason,perCrop)'!$S:$S,$A37,'[3]Data(perSeason,perCrop)'!$O:$O,AE$31,'[3]Data(perSeason,perCrop)'!$C:$C,[3]Indicators!AE$33,'[3]Data(perSeason,perCrop)'!$R:$R,"IRRIGATED"),"")</f>
        <v>#VALUE!</v>
      </c>
      <c r="AF47" s="62" t="e">
        <f>IF(AF37&gt;0,1-AVERAGEIFS('[3]Data(perSeason,perCrop)'!$E:$E,'[3]Data(perSeason,perCrop)'!$S:$S,$A37,'[3]Data(perSeason,perCrop)'!$O:$O,AF31,'[3]Data(perSeason,perCrop)'!$C:$C,[3]Indicators!AF$33,'[3]Data(perSeason,perCrop)'!$R:$R,"IRRIGATED")/AVERAGEIFS('[3]Data(perSeason,perCrop)'!$F:$F,'[3]Data(perSeason,perCrop)'!$S:$S,$A37,'[3]Data(perSeason,perCrop)'!$O:$O,AF$31,'[3]Data(perSeason,perCrop)'!$C:$C,[3]Indicators!AF$33,'[3]Data(perSeason,perCrop)'!$R:$R,"IRRIGATED"),"")</f>
        <v>#VALUE!</v>
      </c>
    </row>
    <row r="48" spans="1:32" ht="18.75" x14ac:dyDescent="0.3">
      <c r="A48" s="42">
        <v>2022</v>
      </c>
      <c r="B48" s="62" t="e">
        <f>IF(B38&gt;0,1-AVERAGEIFS('[3]Data(perSeason,perCrop)'!$E:$E,'[3]Data(perSeason,perCrop)'!$S:$S,$A38,'[3]Data(perSeason,perCrop)'!$O:$O,B31,'[3]Data(perSeason,perCrop)'!$C:$C,[3]Indicators!B$33,'[3]Data(perSeason,perCrop)'!$R:$R,"IRRIGATED")/AVERAGEIFS('[3]Data(perSeason,perCrop)'!$F:$F,'[3]Data(perSeason,perCrop)'!$S:$S,$A38,'[3]Data(perSeason,perCrop)'!$O:$O,B$31,'[3]Data(perSeason,perCrop)'!$C:$C,[3]Indicators!B$33,'[3]Data(perSeason,perCrop)'!$R:$R,"IRRIGATED"),"")</f>
        <v>#VALUE!</v>
      </c>
      <c r="C48" s="62" t="e">
        <f>IF(C38&gt;0,1-AVERAGEIFS('[3]Data(perSeason,perCrop)'!$E:$E,'[3]Data(perSeason,perCrop)'!$S:$S,$A38,'[3]Data(perSeason,perCrop)'!$O:$O,C31,'[3]Data(perSeason,perCrop)'!$C:$C,[3]Indicators!C$33,'[3]Data(perSeason,perCrop)'!$R:$R,"IRRIGATED")/AVERAGEIFS('[3]Data(perSeason,perCrop)'!$F:$F,'[3]Data(perSeason,perCrop)'!$S:$S,$A38,'[3]Data(perSeason,perCrop)'!$O:$O,C$31,'[3]Data(perSeason,perCrop)'!$C:$C,[3]Indicators!C$33,'[3]Data(perSeason,perCrop)'!$R:$R,"IRRIGATED"),"")</f>
        <v>#VALUE!</v>
      </c>
      <c r="D48" s="62" t="e">
        <f>IF(D38&gt;0,1-AVERAGEIFS('[3]Data(perSeason,perCrop)'!$E:$E,'[3]Data(perSeason,perCrop)'!$S:$S,$A38,'[3]Data(perSeason,perCrop)'!$O:$O,D31,'[3]Data(perSeason,perCrop)'!$C:$C,[3]Indicators!D$33,'[3]Data(perSeason,perCrop)'!$R:$R,"IRRIGATED")/AVERAGEIFS('[3]Data(perSeason,perCrop)'!$F:$F,'[3]Data(perSeason,perCrop)'!$S:$S,$A38,'[3]Data(perSeason,perCrop)'!$O:$O,D$31,'[3]Data(perSeason,perCrop)'!$C:$C,[3]Indicators!D$33,'[3]Data(perSeason,perCrop)'!$R:$R,"IRRIGATED"),"")</f>
        <v>#VALUE!</v>
      </c>
      <c r="E48" s="62" t="e">
        <f>IF(E38&gt;0,1-AVERAGEIFS('[3]Data(perSeason,perCrop)'!$E:$E,'[3]Data(perSeason,perCrop)'!$S:$S,$A38,'[3]Data(perSeason,perCrop)'!$O:$O,E31,'[3]Data(perSeason,perCrop)'!$C:$C,[3]Indicators!E$33,'[3]Data(perSeason,perCrop)'!$R:$R,"IRRIGATED")/AVERAGEIFS('[3]Data(perSeason,perCrop)'!$F:$F,'[3]Data(perSeason,perCrop)'!$S:$S,$A38,'[3]Data(perSeason,perCrop)'!$O:$O,E$31,'[3]Data(perSeason,perCrop)'!$C:$C,[3]Indicators!E$33,'[3]Data(perSeason,perCrop)'!$R:$R,"IRRIGATED"),"")</f>
        <v>#VALUE!</v>
      </c>
      <c r="F48" s="62" t="e">
        <f>IF(F38&gt;0,1-AVERAGEIFS('[3]Data(perSeason,perCrop)'!$E:$E,'[3]Data(perSeason,perCrop)'!$S:$S,$A38,'[3]Data(perSeason,perCrop)'!$O:$O,F31,'[3]Data(perSeason,perCrop)'!$C:$C,[3]Indicators!F$33,'[3]Data(perSeason,perCrop)'!$R:$R,"IRRIGATED")/AVERAGEIFS('[3]Data(perSeason,perCrop)'!$F:$F,'[3]Data(perSeason,perCrop)'!$S:$S,$A38,'[3]Data(perSeason,perCrop)'!$O:$O,F$31,'[3]Data(perSeason,perCrop)'!$C:$C,[3]Indicators!F$33,'[3]Data(perSeason,perCrop)'!$R:$R,"IRRIGATED"),"")</f>
        <v>#VALUE!</v>
      </c>
      <c r="G48" s="62" t="e">
        <f>IF(G38&gt;0,1-AVERAGEIFS('[3]Data(perSeason,perCrop)'!$E:$E,'[3]Data(perSeason,perCrop)'!$S:$S,$A38,'[3]Data(perSeason,perCrop)'!$O:$O,G31,'[3]Data(perSeason,perCrop)'!$C:$C,[3]Indicators!G$33,'[3]Data(perSeason,perCrop)'!$R:$R,"IRRIGATED")/AVERAGEIFS('[3]Data(perSeason,perCrop)'!$F:$F,'[3]Data(perSeason,perCrop)'!$S:$S,$A38,'[3]Data(perSeason,perCrop)'!$O:$O,G$31,'[3]Data(perSeason,perCrop)'!$C:$C,[3]Indicators!G$33,'[3]Data(perSeason,perCrop)'!$R:$R,"IRRIGATED"),"")</f>
        <v>#VALUE!</v>
      </c>
      <c r="H48" s="62" t="e">
        <f>IF(H38&gt;0,1-AVERAGEIFS('[3]Data(perSeason,perCrop)'!$E:$E,'[3]Data(perSeason,perCrop)'!$S:$S,$A38,'[3]Data(perSeason,perCrop)'!$O:$O,H31,'[3]Data(perSeason,perCrop)'!$C:$C,[3]Indicators!H$33,'[3]Data(perSeason,perCrop)'!$R:$R,"IRRIGATED")/AVERAGEIFS('[3]Data(perSeason,perCrop)'!$F:$F,'[3]Data(perSeason,perCrop)'!$S:$S,$A38,'[3]Data(perSeason,perCrop)'!$O:$O,H$31,'[3]Data(perSeason,perCrop)'!$C:$C,[3]Indicators!H$33,'[3]Data(perSeason,perCrop)'!$R:$R,"IRRIGATED"),"")</f>
        <v>#VALUE!</v>
      </c>
      <c r="I48" s="62" t="e">
        <f>IF(I38&gt;0,1-AVERAGEIFS('[3]Data(perSeason,perCrop)'!$E:$E,'[3]Data(perSeason,perCrop)'!$S:$S,$A38,'[3]Data(perSeason,perCrop)'!$O:$O,I31,'[3]Data(perSeason,perCrop)'!$C:$C,[3]Indicators!I$33,'[3]Data(perSeason,perCrop)'!$R:$R,"IRRIGATED")/AVERAGEIFS('[3]Data(perSeason,perCrop)'!$F:$F,'[3]Data(perSeason,perCrop)'!$S:$S,$A38,'[3]Data(perSeason,perCrop)'!$O:$O,I$31,'[3]Data(perSeason,perCrop)'!$C:$C,[3]Indicators!I$33,'[3]Data(perSeason,perCrop)'!$R:$R,"IRRIGATED"),"")</f>
        <v>#VALUE!</v>
      </c>
      <c r="J48" s="62" t="e">
        <f>IF(J38&gt;0,1-AVERAGEIFS('[3]Data(perSeason,perCrop)'!$E:$E,'[3]Data(perSeason,perCrop)'!$S:$S,$A38,'[3]Data(perSeason,perCrop)'!$O:$O,J31,'[3]Data(perSeason,perCrop)'!$C:$C,[3]Indicators!J$33,'[3]Data(perSeason,perCrop)'!$R:$R,"IRRIGATED")/AVERAGEIFS('[3]Data(perSeason,perCrop)'!$F:$F,'[3]Data(perSeason,perCrop)'!$S:$S,$A38,'[3]Data(perSeason,perCrop)'!$O:$O,J$31,'[3]Data(perSeason,perCrop)'!$C:$C,[3]Indicators!J$33,'[3]Data(perSeason,perCrop)'!$R:$R,"IRRIGATED"),"")</f>
        <v>#VALUE!</v>
      </c>
      <c r="K48" s="62" t="e">
        <f>IF(K38&gt;0,1-AVERAGEIFS('[3]Data(perSeason,perCrop)'!$E:$E,'[3]Data(perSeason,perCrop)'!$S:$S,$A38,'[3]Data(perSeason,perCrop)'!$O:$O,K31,'[3]Data(perSeason,perCrop)'!$C:$C,[3]Indicators!K$33,'[3]Data(perSeason,perCrop)'!$R:$R,"IRRIGATED")/AVERAGEIFS('[3]Data(perSeason,perCrop)'!$F:$F,'[3]Data(perSeason,perCrop)'!$S:$S,$A38,'[3]Data(perSeason,perCrop)'!$O:$O,K$31,'[3]Data(perSeason,perCrop)'!$C:$C,[3]Indicators!K$33,'[3]Data(perSeason,perCrop)'!$R:$R,"IRRIGATED"),"")</f>
        <v>#VALUE!</v>
      </c>
      <c r="L48" s="62" t="e">
        <f>IF(L38&gt;0,1-AVERAGEIFS('[3]Data(perSeason,perCrop)'!$E:$E,'[3]Data(perSeason,perCrop)'!$S:$S,$A38,'[3]Data(perSeason,perCrop)'!$O:$O,L31,'[3]Data(perSeason,perCrop)'!$C:$C,[3]Indicators!L$33,'[3]Data(perSeason,perCrop)'!$R:$R,"IRRIGATED")/AVERAGEIFS('[3]Data(perSeason,perCrop)'!$F:$F,'[3]Data(perSeason,perCrop)'!$S:$S,$A38,'[3]Data(perSeason,perCrop)'!$O:$O,L$31,'[3]Data(perSeason,perCrop)'!$C:$C,[3]Indicators!L$33,'[3]Data(perSeason,perCrop)'!$R:$R,"IRRIGATED"),"")</f>
        <v>#VALUE!</v>
      </c>
      <c r="M48" s="62" t="e">
        <f>IF(M38&gt;0,1-AVERAGEIFS('[3]Data(perSeason,perCrop)'!$E:$E,'[3]Data(perSeason,perCrop)'!$S:$S,$A38,'[3]Data(perSeason,perCrop)'!$O:$O,M31,'[3]Data(perSeason,perCrop)'!$C:$C,[3]Indicators!M$33,'[3]Data(perSeason,perCrop)'!$R:$R,"IRRIGATED")/AVERAGEIFS('[3]Data(perSeason,perCrop)'!$F:$F,'[3]Data(perSeason,perCrop)'!$S:$S,$A38,'[3]Data(perSeason,perCrop)'!$O:$O,M$31,'[3]Data(perSeason,perCrop)'!$C:$C,[3]Indicators!M$33,'[3]Data(perSeason,perCrop)'!$R:$R,"IRRIGATED"),"")</f>
        <v>#VALUE!</v>
      </c>
      <c r="N48" s="62" t="e">
        <f>IF(N38&gt;0,1-AVERAGEIFS('[3]Data(perSeason,perCrop)'!$E:$E,'[3]Data(perSeason,perCrop)'!$S:$S,$A38,'[3]Data(perSeason,perCrop)'!$O:$O,N31,'[3]Data(perSeason,perCrop)'!$C:$C,[3]Indicators!N$33,'[3]Data(perSeason,perCrop)'!$R:$R,"IRRIGATED")/AVERAGEIFS('[3]Data(perSeason,perCrop)'!$F:$F,'[3]Data(perSeason,perCrop)'!$S:$S,$A38,'[3]Data(perSeason,perCrop)'!$O:$O,N$31,'[3]Data(perSeason,perCrop)'!$C:$C,[3]Indicators!N$33,'[3]Data(perSeason,perCrop)'!$R:$R,"IRRIGATED"),"")</f>
        <v>#VALUE!</v>
      </c>
      <c r="O48" s="62" t="e">
        <f>IF(O38&gt;0,1-AVERAGEIFS('[3]Data(perSeason,perCrop)'!$E:$E,'[3]Data(perSeason,perCrop)'!$S:$S,$A38,'[3]Data(perSeason,perCrop)'!$O:$O,O31,'[3]Data(perSeason,perCrop)'!$C:$C,[3]Indicators!O$33,'[3]Data(perSeason,perCrop)'!$R:$R,"IRRIGATED")/AVERAGEIFS('[3]Data(perSeason,perCrop)'!$F:$F,'[3]Data(perSeason,perCrop)'!$S:$S,$A38,'[3]Data(perSeason,perCrop)'!$O:$O,O$31,'[3]Data(perSeason,perCrop)'!$C:$C,[3]Indicators!O$33,'[3]Data(perSeason,perCrop)'!$R:$R,"IRRIGATED"),"")</f>
        <v>#VALUE!</v>
      </c>
      <c r="P48" s="62" t="e">
        <f>IF(P38&gt;0,1-AVERAGEIFS('[3]Data(perSeason,perCrop)'!$E:$E,'[3]Data(perSeason,perCrop)'!$S:$S,$A38,'[3]Data(perSeason,perCrop)'!$O:$O,P31,'[3]Data(perSeason,perCrop)'!$C:$C,[3]Indicators!P$33,'[3]Data(perSeason,perCrop)'!$R:$R,"IRRIGATED")/AVERAGEIFS('[3]Data(perSeason,perCrop)'!$F:$F,'[3]Data(perSeason,perCrop)'!$S:$S,$A38,'[3]Data(perSeason,perCrop)'!$O:$O,P$31,'[3]Data(perSeason,perCrop)'!$C:$C,[3]Indicators!P$33,'[3]Data(perSeason,perCrop)'!$R:$R,"IRRIGATED"),"")</f>
        <v>#VALUE!</v>
      </c>
      <c r="Q48" s="62" t="e">
        <f>IF(Q38&gt;0,1-AVERAGEIFS('[3]Data(perSeason,perCrop)'!$E:$E,'[3]Data(perSeason,perCrop)'!$S:$S,$A38,'[3]Data(perSeason,perCrop)'!$O:$O,Q31,'[3]Data(perSeason,perCrop)'!$C:$C,[3]Indicators!Q$33,'[3]Data(perSeason,perCrop)'!$R:$R,"IRRIGATED")/AVERAGEIFS('[3]Data(perSeason,perCrop)'!$F:$F,'[3]Data(perSeason,perCrop)'!$S:$S,$A38,'[3]Data(perSeason,perCrop)'!$O:$O,Q$31,'[3]Data(perSeason,perCrop)'!$C:$C,[3]Indicators!Q$33,'[3]Data(perSeason,perCrop)'!$R:$R,"IRRIGATED"),"")</f>
        <v>#VALUE!</v>
      </c>
      <c r="R48" s="62" t="e">
        <f>IF(R38&gt;0,1-AVERAGEIFS('[3]Data(perSeason,perCrop)'!$E:$E,'[3]Data(perSeason,perCrop)'!$S:$S,$A38,'[3]Data(perSeason,perCrop)'!$O:$O,R31,'[3]Data(perSeason,perCrop)'!$C:$C,[3]Indicators!R$33,'[3]Data(perSeason,perCrop)'!$R:$R,"IRRIGATED")/AVERAGEIFS('[3]Data(perSeason,perCrop)'!$F:$F,'[3]Data(perSeason,perCrop)'!$S:$S,$A38,'[3]Data(perSeason,perCrop)'!$O:$O,R$31,'[3]Data(perSeason,perCrop)'!$C:$C,[3]Indicators!R$33,'[3]Data(perSeason,perCrop)'!$R:$R,"IRRIGATED"),"")</f>
        <v>#VALUE!</v>
      </c>
      <c r="S48" s="62" t="e">
        <f>IF(S38&gt;0,1-AVERAGEIFS('[3]Data(perSeason,perCrop)'!$E:$E,'[3]Data(perSeason,perCrop)'!$S:$S,$A38,'[3]Data(perSeason,perCrop)'!$O:$O,S31,'[3]Data(perSeason,perCrop)'!$C:$C,[3]Indicators!S$33,'[3]Data(perSeason,perCrop)'!$R:$R,"IRRIGATED")/AVERAGEIFS('[3]Data(perSeason,perCrop)'!$F:$F,'[3]Data(perSeason,perCrop)'!$S:$S,$A38,'[3]Data(perSeason,perCrop)'!$O:$O,S$31,'[3]Data(perSeason,perCrop)'!$C:$C,[3]Indicators!S$33,'[3]Data(perSeason,perCrop)'!$R:$R,"IRRIGATED"),"")</f>
        <v>#VALUE!</v>
      </c>
      <c r="T48" s="62" t="e">
        <f>IF(T38&gt;0,1-AVERAGEIFS('[3]Data(perSeason,perCrop)'!$E:$E,'[3]Data(perSeason,perCrop)'!$S:$S,$A38,'[3]Data(perSeason,perCrop)'!$O:$O,T31,'[3]Data(perSeason,perCrop)'!$C:$C,[3]Indicators!T$33,'[3]Data(perSeason,perCrop)'!$R:$R,"IRRIGATED")/AVERAGEIFS('[3]Data(perSeason,perCrop)'!$F:$F,'[3]Data(perSeason,perCrop)'!$S:$S,$A38,'[3]Data(perSeason,perCrop)'!$O:$O,T$31,'[3]Data(perSeason,perCrop)'!$C:$C,[3]Indicators!T$33,'[3]Data(perSeason,perCrop)'!$R:$R,"IRRIGATED"),"")</f>
        <v>#VALUE!</v>
      </c>
      <c r="U48" s="62" t="e">
        <f>IF(U38&gt;0,1-AVERAGEIFS('[3]Data(perSeason,perCrop)'!$E:$E,'[3]Data(perSeason,perCrop)'!$S:$S,$A38,'[3]Data(perSeason,perCrop)'!$O:$O,U31,'[3]Data(perSeason,perCrop)'!$C:$C,[3]Indicators!U$33,'[3]Data(perSeason,perCrop)'!$R:$R,"IRRIGATED")/AVERAGEIFS('[3]Data(perSeason,perCrop)'!$F:$F,'[3]Data(perSeason,perCrop)'!$S:$S,$A38,'[3]Data(perSeason,perCrop)'!$O:$O,U$31,'[3]Data(perSeason,perCrop)'!$C:$C,[3]Indicators!U$33,'[3]Data(perSeason,perCrop)'!$R:$R,"IRRIGATED"),"")</f>
        <v>#VALUE!</v>
      </c>
      <c r="V48" s="62" t="e">
        <f>IF(V38&gt;0,1-AVERAGEIFS('[3]Data(perSeason,perCrop)'!$E:$E,'[3]Data(perSeason,perCrop)'!$S:$S,$A38,'[3]Data(perSeason,perCrop)'!$O:$O,V31,'[3]Data(perSeason,perCrop)'!$C:$C,[3]Indicators!V$33,'[3]Data(perSeason,perCrop)'!$R:$R,"IRRIGATED")/AVERAGEIFS('[3]Data(perSeason,perCrop)'!$F:$F,'[3]Data(perSeason,perCrop)'!$S:$S,$A38,'[3]Data(perSeason,perCrop)'!$O:$O,V$31,'[3]Data(perSeason,perCrop)'!$C:$C,[3]Indicators!V$33,'[3]Data(perSeason,perCrop)'!$R:$R,"IRRIGATED"),"")</f>
        <v>#VALUE!</v>
      </c>
      <c r="W48" s="62" t="e">
        <f>IF(W38&gt;0,1-AVERAGEIFS('[3]Data(perSeason,perCrop)'!$E:$E,'[3]Data(perSeason,perCrop)'!$S:$S,$A38,'[3]Data(perSeason,perCrop)'!$O:$O,W31,'[3]Data(perSeason,perCrop)'!$C:$C,[3]Indicators!W$33,'[3]Data(perSeason,perCrop)'!$R:$R,"IRRIGATED")/AVERAGEIFS('[3]Data(perSeason,perCrop)'!$F:$F,'[3]Data(perSeason,perCrop)'!$S:$S,$A38,'[3]Data(perSeason,perCrop)'!$O:$O,W$31,'[3]Data(perSeason,perCrop)'!$C:$C,[3]Indicators!W$33,'[3]Data(perSeason,perCrop)'!$R:$R,"IRRIGATED"),"")</f>
        <v>#VALUE!</v>
      </c>
      <c r="X48" s="62" t="e">
        <f>IF(X38&gt;0,1-AVERAGEIFS('[3]Data(perSeason,perCrop)'!$E:$E,'[3]Data(perSeason,perCrop)'!$S:$S,$A38,'[3]Data(perSeason,perCrop)'!$O:$O,X31,'[3]Data(perSeason,perCrop)'!$C:$C,[3]Indicators!X$33,'[3]Data(perSeason,perCrop)'!$R:$R,"IRRIGATED")/AVERAGEIFS('[3]Data(perSeason,perCrop)'!$F:$F,'[3]Data(perSeason,perCrop)'!$S:$S,$A38,'[3]Data(perSeason,perCrop)'!$O:$O,X$31,'[3]Data(perSeason,perCrop)'!$C:$C,[3]Indicators!X$33,'[3]Data(perSeason,perCrop)'!$R:$R,"IRRIGATED"),"")</f>
        <v>#VALUE!</v>
      </c>
      <c r="Y48" s="62" t="e">
        <f>IF(Y38&gt;0,1-AVERAGEIFS('[3]Data(perSeason,perCrop)'!$E:$E,'[3]Data(perSeason,perCrop)'!$S:$S,$A38,'[3]Data(perSeason,perCrop)'!$O:$O,Y31,'[3]Data(perSeason,perCrop)'!$C:$C,[3]Indicators!Y$33,'[3]Data(perSeason,perCrop)'!$R:$R,"IRRIGATED")/AVERAGEIFS('[3]Data(perSeason,perCrop)'!$F:$F,'[3]Data(perSeason,perCrop)'!$S:$S,$A38,'[3]Data(perSeason,perCrop)'!$O:$O,Y$31,'[3]Data(perSeason,perCrop)'!$C:$C,[3]Indicators!Y$33,'[3]Data(perSeason,perCrop)'!$R:$R,"IRRIGATED"),"")</f>
        <v>#VALUE!</v>
      </c>
      <c r="Z48" s="62" t="e">
        <f>IF(Z38&gt;0,1-AVERAGEIFS('[3]Data(perSeason,perCrop)'!$E:$E,'[3]Data(perSeason,perCrop)'!$S:$S,$A38,'[3]Data(perSeason,perCrop)'!$O:$O,Z31,'[3]Data(perSeason,perCrop)'!$C:$C,[3]Indicators!Z$33,'[3]Data(perSeason,perCrop)'!$R:$R,"IRRIGATED")/AVERAGEIFS('[3]Data(perSeason,perCrop)'!$F:$F,'[3]Data(perSeason,perCrop)'!$S:$S,$A38,'[3]Data(perSeason,perCrop)'!$O:$O,Z$31,'[3]Data(perSeason,perCrop)'!$C:$C,[3]Indicators!Z$33,'[3]Data(perSeason,perCrop)'!$R:$R,"IRRIGATED"),"")</f>
        <v>#VALUE!</v>
      </c>
      <c r="AA48" s="62" t="e">
        <f>IF(AA38&gt;0,1-AVERAGEIFS('[3]Data(perSeason,perCrop)'!$E:$E,'[3]Data(perSeason,perCrop)'!$S:$S,$A38,'[3]Data(perSeason,perCrop)'!$O:$O,AA31,'[3]Data(perSeason,perCrop)'!$C:$C,[3]Indicators!AA$33,'[3]Data(perSeason,perCrop)'!$R:$R,"IRRIGATED")/AVERAGEIFS('[3]Data(perSeason,perCrop)'!$F:$F,'[3]Data(perSeason,perCrop)'!$S:$S,$A38,'[3]Data(perSeason,perCrop)'!$O:$O,AA$31,'[3]Data(perSeason,perCrop)'!$C:$C,[3]Indicators!AA$33,'[3]Data(perSeason,perCrop)'!$R:$R,"IRRIGATED"),"")</f>
        <v>#VALUE!</v>
      </c>
      <c r="AB48" s="62" t="e">
        <f>IF(AB38&gt;0,1-AVERAGEIFS('[3]Data(perSeason,perCrop)'!$E:$E,'[3]Data(perSeason,perCrop)'!$S:$S,$A38,'[3]Data(perSeason,perCrop)'!$O:$O,AB31,'[3]Data(perSeason,perCrop)'!$C:$C,[3]Indicators!AB$33,'[3]Data(perSeason,perCrop)'!$R:$R,"IRRIGATED")/AVERAGEIFS('[3]Data(perSeason,perCrop)'!$F:$F,'[3]Data(perSeason,perCrop)'!$S:$S,$A38,'[3]Data(perSeason,perCrop)'!$O:$O,AB$31,'[3]Data(perSeason,perCrop)'!$C:$C,[3]Indicators!AB$33,'[3]Data(perSeason,perCrop)'!$R:$R,"IRRIGATED"),"")</f>
        <v>#VALUE!</v>
      </c>
      <c r="AC48" s="62" t="e">
        <f>IF(AC38&gt;0,1-AVERAGEIFS('[3]Data(perSeason,perCrop)'!$E:$E,'[3]Data(perSeason,perCrop)'!$S:$S,$A38,'[3]Data(perSeason,perCrop)'!$O:$O,AC31,'[3]Data(perSeason,perCrop)'!$C:$C,[3]Indicators!AC$33,'[3]Data(perSeason,perCrop)'!$R:$R,"IRRIGATED")/AVERAGEIFS('[3]Data(perSeason,perCrop)'!$F:$F,'[3]Data(perSeason,perCrop)'!$S:$S,$A38,'[3]Data(perSeason,perCrop)'!$O:$O,AC$31,'[3]Data(perSeason,perCrop)'!$C:$C,[3]Indicators!AC$33,'[3]Data(perSeason,perCrop)'!$R:$R,"IRRIGATED"),"")</f>
        <v>#VALUE!</v>
      </c>
      <c r="AD48" s="62" t="e">
        <f>IF(AD38&gt;0,1-AVERAGEIFS('[3]Data(perSeason,perCrop)'!$E:$E,'[3]Data(perSeason,perCrop)'!$S:$S,$A38,'[3]Data(perSeason,perCrop)'!$O:$O,AD31,'[3]Data(perSeason,perCrop)'!$C:$C,[3]Indicators!AD$33,'[3]Data(perSeason,perCrop)'!$R:$R,"IRRIGATED")/AVERAGEIFS('[3]Data(perSeason,perCrop)'!$F:$F,'[3]Data(perSeason,perCrop)'!$S:$S,$A38,'[3]Data(perSeason,perCrop)'!$O:$O,AD$31,'[3]Data(perSeason,perCrop)'!$C:$C,[3]Indicators!AD$33,'[3]Data(perSeason,perCrop)'!$R:$R,"IRRIGATED"),"")</f>
        <v>#VALUE!</v>
      </c>
      <c r="AE48" s="62" t="e">
        <f>IF(AE38&gt;0,1-AVERAGEIFS('[3]Data(perSeason,perCrop)'!$E:$E,'[3]Data(perSeason,perCrop)'!$S:$S,$A38,'[3]Data(perSeason,perCrop)'!$O:$O,AE31,'[3]Data(perSeason,perCrop)'!$C:$C,[3]Indicators!AE$33,'[3]Data(perSeason,perCrop)'!$R:$R,"IRRIGATED")/AVERAGEIFS('[3]Data(perSeason,perCrop)'!$F:$F,'[3]Data(perSeason,perCrop)'!$S:$S,$A38,'[3]Data(perSeason,perCrop)'!$O:$O,AE$31,'[3]Data(perSeason,perCrop)'!$C:$C,[3]Indicators!AE$33,'[3]Data(perSeason,perCrop)'!$R:$R,"IRRIGATED"),"")</f>
        <v>#VALUE!</v>
      </c>
      <c r="AF48" s="62" t="e">
        <f>IF(AF38&gt;0,1-AVERAGEIFS('[3]Data(perSeason,perCrop)'!$E:$E,'[3]Data(perSeason,perCrop)'!$S:$S,$A38,'[3]Data(perSeason,perCrop)'!$O:$O,AF31,'[3]Data(perSeason,perCrop)'!$C:$C,[3]Indicators!AF$33,'[3]Data(perSeason,perCrop)'!$R:$R,"IRRIGATED")/AVERAGEIFS('[3]Data(perSeason,perCrop)'!$F:$F,'[3]Data(perSeason,perCrop)'!$S:$S,$A38,'[3]Data(perSeason,perCrop)'!$O:$O,AF$31,'[3]Data(perSeason,perCrop)'!$C:$C,[3]Indicators!AF$33,'[3]Data(perSeason,perCrop)'!$R:$R,"IRRIGATED"),"")</f>
        <v>#VALUE!</v>
      </c>
    </row>
    <row r="50" spans="1:32" ht="18.75" x14ac:dyDescent="0.3">
      <c r="A50" s="42" t="s">
        <v>193</v>
      </c>
      <c r="B50" s="42" t="s">
        <v>188</v>
      </c>
      <c r="C50" s="7"/>
      <c r="O50" s="7"/>
      <c r="P50" s="7"/>
      <c r="Q50" s="7"/>
      <c r="R50" s="7"/>
      <c r="S50" s="7"/>
      <c r="T50" s="7"/>
      <c r="U50" s="7"/>
      <c r="V50" t="s">
        <v>189</v>
      </c>
      <c r="W50" t="s">
        <v>189</v>
      </c>
      <c r="X50" t="s">
        <v>189</v>
      </c>
      <c r="Y50" t="s">
        <v>189</v>
      </c>
      <c r="Z50" t="s">
        <v>189</v>
      </c>
      <c r="AA50" t="s">
        <v>189</v>
      </c>
      <c r="AB50" t="s">
        <v>189</v>
      </c>
      <c r="AC50" t="s">
        <v>189</v>
      </c>
      <c r="AD50" t="s">
        <v>189</v>
      </c>
      <c r="AE50" t="s">
        <v>189</v>
      </c>
      <c r="AF50" t="s">
        <v>189</v>
      </c>
    </row>
    <row r="51" spans="1:32" ht="18.75" x14ac:dyDescent="0.3">
      <c r="A51" s="42">
        <v>2018</v>
      </c>
      <c r="B51" s="63" t="e">
        <f>IF(COUNTIFS('[3]Data(perSeason,perCrop)'!$S:$S,[3]Indicators!$A52)&gt;0,SUMPRODUCT(B34:AF34,B44:AF44)/SUM(B34:AF34),"")</f>
        <v>#VALUE!</v>
      </c>
      <c r="C51" s="7"/>
      <c r="O51" s="7"/>
      <c r="P51" s="7"/>
      <c r="Q51" s="7"/>
      <c r="R51" s="7"/>
      <c r="S51" s="7"/>
      <c r="T51" s="7"/>
      <c r="U51" s="7"/>
      <c r="V51" t="s">
        <v>189</v>
      </c>
      <c r="W51" t="s">
        <v>189</v>
      </c>
      <c r="X51" t="s">
        <v>189</v>
      </c>
      <c r="Y51" t="s">
        <v>189</v>
      </c>
      <c r="Z51" t="s">
        <v>189</v>
      </c>
      <c r="AA51" t="s">
        <v>189</v>
      </c>
      <c r="AB51" t="s">
        <v>189</v>
      </c>
      <c r="AC51" t="s">
        <v>189</v>
      </c>
      <c r="AD51" t="s">
        <v>189</v>
      </c>
      <c r="AE51" t="s">
        <v>189</v>
      </c>
      <c r="AF51" t="s">
        <v>189</v>
      </c>
    </row>
    <row r="52" spans="1:32" ht="18.75" x14ac:dyDescent="0.3">
      <c r="A52" s="42">
        <v>2019</v>
      </c>
      <c r="B52" s="63" t="e">
        <f>IF(COUNTIFS('[3]Data(perSeason,perCrop)'!$S:$S,[3]Indicators!$A53)&gt;0,SUMPRODUCT(B35:AF35,B45:AF45)/SUM(B35:AF35),"")</f>
        <v>#VALUE!</v>
      </c>
      <c r="C52" s="7"/>
      <c r="O52" s="7"/>
      <c r="P52" s="7"/>
      <c r="Q52" s="7"/>
      <c r="R52" s="7"/>
      <c r="S52" s="7"/>
      <c r="T52" s="7"/>
      <c r="U52" s="7"/>
      <c r="V52" t="s">
        <v>189</v>
      </c>
      <c r="W52" t="s">
        <v>189</v>
      </c>
      <c r="X52" t="s">
        <v>189</v>
      </c>
      <c r="Y52" t="s">
        <v>189</v>
      </c>
      <c r="Z52" t="s">
        <v>189</v>
      </c>
      <c r="AA52" t="s">
        <v>189</v>
      </c>
      <c r="AB52" t="s">
        <v>189</v>
      </c>
      <c r="AC52" t="s">
        <v>189</v>
      </c>
      <c r="AD52" t="s">
        <v>189</v>
      </c>
      <c r="AE52" t="s">
        <v>189</v>
      </c>
      <c r="AF52" t="s">
        <v>189</v>
      </c>
    </row>
    <row r="53" spans="1:32" ht="18.75" x14ac:dyDescent="0.3">
      <c r="A53" s="42">
        <v>2020</v>
      </c>
      <c r="B53" s="63" t="e">
        <f>IF(COUNTIFS('[3]Data(perSeason,perCrop)'!$S:$S,[3]Indicators!$A54)&gt;0,SUMPRODUCT(B36:AF36,B46:AF46)/SUM(B36:AF36),"")</f>
        <v>#VALUE!</v>
      </c>
      <c r="C53" s="7"/>
      <c r="O53" s="7"/>
      <c r="P53" s="7"/>
      <c r="Q53" s="7"/>
      <c r="R53" s="7"/>
      <c r="S53" s="7"/>
      <c r="T53" s="7"/>
      <c r="U53" s="7"/>
      <c r="V53" t="s">
        <v>189</v>
      </c>
      <c r="W53" t="s">
        <v>189</v>
      </c>
      <c r="X53" t="s">
        <v>189</v>
      </c>
      <c r="Y53" t="s">
        <v>189</v>
      </c>
      <c r="Z53" t="s">
        <v>189</v>
      </c>
      <c r="AA53" t="s">
        <v>189</v>
      </c>
      <c r="AB53" t="s">
        <v>189</v>
      </c>
      <c r="AC53" t="s">
        <v>189</v>
      </c>
      <c r="AD53" t="s">
        <v>189</v>
      </c>
      <c r="AE53" t="s">
        <v>189</v>
      </c>
      <c r="AF53" t="s">
        <v>189</v>
      </c>
    </row>
    <row r="54" spans="1:32" ht="18.75" x14ac:dyDescent="0.3">
      <c r="A54" s="42">
        <v>2021</v>
      </c>
      <c r="B54" s="63" t="e">
        <f>IF(COUNTIFS('[3]Data(perSeason,perCrop)'!$S:$S,[3]Indicators!$A55)&gt;0,SUMPRODUCT(B37:AF37,B47:AF47)/SUM(B37:AF37),"")</f>
        <v>#VALUE!</v>
      </c>
      <c r="C54" s="7"/>
      <c r="O54" s="7"/>
      <c r="P54" s="7"/>
      <c r="Q54" s="7"/>
      <c r="R54" s="7"/>
      <c r="S54" s="7"/>
      <c r="T54" s="7"/>
      <c r="U54" s="7"/>
      <c r="V54" t="s">
        <v>189</v>
      </c>
      <c r="W54" t="s">
        <v>189</v>
      </c>
      <c r="X54" t="s">
        <v>189</v>
      </c>
      <c r="Y54" t="s">
        <v>189</v>
      </c>
      <c r="Z54" t="s">
        <v>189</v>
      </c>
      <c r="AA54" t="s">
        <v>189</v>
      </c>
      <c r="AB54" t="s">
        <v>189</v>
      </c>
      <c r="AC54" t="s">
        <v>189</v>
      </c>
      <c r="AD54" t="s">
        <v>189</v>
      </c>
      <c r="AE54" t="s">
        <v>189</v>
      </c>
      <c r="AF54" t="s">
        <v>189</v>
      </c>
    </row>
    <row r="55" spans="1:32" ht="18.75" x14ac:dyDescent="0.3">
      <c r="A55" s="42">
        <v>2022</v>
      </c>
      <c r="B55" s="63" t="e">
        <f>IF(COUNTIFS('[3]Data(perSeason,perCrop)'!$S:$S,[3]Indicators!$A56)&gt;0,SUMPRODUCT(B38:AF38,B48:AF48)/SUM(B38:AF38),"")</f>
        <v>#VALUE!</v>
      </c>
    </row>
    <row r="56" spans="1:32" ht="18.75" x14ac:dyDescent="0.3">
      <c r="A56" s="47" t="s">
        <v>184</v>
      </c>
      <c r="B56" s="52" t="e">
        <f>AVERAGE(B51:B55)</f>
        <v>#VALUE!</v>
      </c>
    </row>
    <row r="57" spans="1:32" ht="18.75" x14ac:dyDescent="0.3">
      <c r="A57" s="65"/>
      <c r="B57" s="66"/>
    </row>
    <row r="60" spans="1:32" ht="18.75" x14ac:dyDescent="0.3">
      <c r="A60" s="64" t="s">
        <v>191</v>
      </c>
      <c r="B60" s="42">
        <v>3</v>
      </c>
      <c r="C60" s="42">
        <v>3</v>
      </c>
      <c r="D60" s="42">
        <v>3</v>
      </c>
      <c r="E60" s="42">
        <v>3</v>
      </c>
      <c r="F60" s="42">
        <v>3</v>
      </c>
      <c r="G60" s="42">
        <v>3</v>
      </c>
      <c r="H60" s="42">
        <v>3</v>
      </c>
      <c r="I60" s="42">
        <v>3</v>
      </c>
      <c r="J60" s="42">
        <v>3</v>
      </c>
      <c r="K60" s="42">
        <v>3</v>
      </c>
      <c r="L60" s="42">
        <v>3</v>
      </c>
      <c r="M60" s="42">
        <v>3</v>
      </c>
      <c r="N60" s="42">
        <v>3</v>
      </c>
      <c r="O60" s="42">
        <v>3</v>
      </c>
      <c r="P60" s="42">
        <v>3</v>
      </c>
      <c r="Q60" s="42">
        <v>3</v>
      </c>
      <c r="R60" s="42">
        <v>3</v>
      </c>
      <c r="S60" s="42">
        <v>3</v>
      </c>
      <c r="T60" s="42">
        <v>3</v>
      </c>
      <c r="U60" s="42">
        <v>3</v>
      </c>
      <c r="V60" s="42">
        <v>3</v>
      </c>
      <c r="W60" s="42">
        <v>3</v>
      </c>
      <c r="X60" s="42">
        <v>3</v>
      </c>
      <c r="Y60" s="42">
        <v>3</v>
      </c>
      <c r="Z60" s="42">
        <v>3</v>
      </c>
      <c r="AA60" s="42">
        <v>3</v>
      </c>
      <c r="AB60" s="42">
        <v>3</v>
      </c>
      <c r="AC60" s="42">
        <v>3</v>
      </c>
      <c r="AD60" s="42">
        <v>3</v>
      </c>
      <c r="AE60" s="42">
        <v>3</v>
      </c>
      <c r="AF60" s="42">
        <v>3</v>
      </c>
    </row>
    <row r="61" spans="1:32" ht="18.75" x14ac:dyDescent="0.3">
      <c r="A61" s="42" t="s">
        <v>23</v>
      </c>
      <c r="B61" s="58" t="s">
        <v>47</v>
      </c>
      <c r="C61" s="58" t="s">
        <v>57</v>
      </c>
      <c r="D61" s="58" t="s">
        <v>110</v>
      </c>
      <c r="E61" s="58" t="s">
        <v>50</v>
      </c>
      <c r="F61" s="58" t="s">
        <v>58</v>
      </c>
      <c r="G61" s="58" t="s">
        <v>51</v>
      </c>
      <c r="H61" s="58" t="s">
        <v>97</v>
      </c>
      <c r="I61" s="58" t="s">
        <v>52</v>
      </c>
      <c r="J61" s="58" t="s">
        <v>59</v>
      </c>
      <c r="K61" s="58" t="s">
        <v>111</v>
      </c>
      <c r="L61" s="58" t="s">
        <v>54</v>
      </c>
      <c r="M61" s="58" t="s">
        <v>112</v>
      </c>
      <c r="N61" s="58" t="s">
        <v>48</v>
      </c>
      <c r="O61" s="58" t="s">
        <v>53</v>
      </c>
      <c r="P61" s="58" t="s">
        <v>49</v>
      </c>
      <c r="Q61" s="58" t="s">
        <v>56</v>
      </c>
      <c r="R61" s="58" t="s">
        <v>102</v>
      </c>
      <c r="S61" s="58" t="s">
        <v>103</v>
      </c>
      <c r="T61" s="58" t="s">
        <v>101</v>
      </c>
      <c r="U61" s="58" t="s">
        <v>106</v>
      </c>
      <c r="V61" s="58" t="s">
        <v>113</v>
      </c>
      <c r="W61" s="58" t="s">
        <v>114</v>
      </c>
      <c r="X61" s="58" t="s">
        <v>115</v>
      </c>
      <c r="Y61" s="58" t="s">
        <v>116</v>
      </c>
      <c r="Z61" s="58" t="s">
        <v>107</v>
      </c>
      <c r="AA61" s="58" t="s">
        <v>104</v>
      </c>
      <c r="AB61" s="58" t="s">
        <v>117</v>
      </c>
      <c r="AC61" s="58" t="s">
        <v>118</v>
      </c>
      <c r="AD61" s="58" t="s">
        <v>119</v>
      </c>
      <c r="AE61" s="58" t="s">
        <v>108</v>
      </c>
      <c r="AF61" s="58" t="s">
        <v>105</v>
      </c>
    </row>
    <row r="62" spans="1:32" ht="18.75" x14ac:dyDescent="0.3">
      <c r="A62" s="42" t="s">
        <v>183</v>
      </c>
      <c r="B62" s="42">
        <v>1</v>
      </c>
      <c r="C62" s="42">
        <v>2</v>
      </c>
      <c r="D62" s="42">
        <v>3</v>
      </c>
      <c r="E62" s="42">
        <v>4</v>
      </c>
      <c r="F62" s="42">
        <v>5</v>
      </c>
      <c r="G62" s="42">
        <v>6</v>
      </c>
      <c r="H62" s="42">
        <v>7</v>
      </c>
      <c r="I62" s="42">
        <v>8</v>
      </c>
      <c r="J62" s="42">
        <v>9</v>
      </c>
      <c r="K62" s="42">
        <v>10</v>
      </c>
      <c r="L62" s="42">
        <v>11</v>
      </c>
      <c r="M62" s="42">
        <v>12</v>
      </c>
      <c r="N62" s="42">
        <v>13</v>
      </c>
      <c r="O62" s="42">
        <v>14</v>
      </c>
      <c r="P62" s="42">
        <v>15</v>
      </c>
      <c r="Q62" s="42">
        <v>16</v>
      </c>
      <c r="R62" s="42">
        <v>17</v>
      </c>
      <c r="S62" s="42">
        <v>18</v>
      </c>
      <c r="T62" s="42">
        <v>19</v>
      </c>
      <c r="U62" s="42">
        <v>20</v>
      </c>
      <c r="V62" s="42">
        <v>21</v>
      </c>
      <c r="W62" s="42">
        <v>22</v>
      </c>
      <c r="X62" s="42">
        <v>23</v>
      </c>
      <c r="Y62" s="42">
        <v>24</v>
      </c>
      <c r="Z62" s="42">
        <v>25</v>
      </c>
      <c r="AA62" s="42">
        <v>40</v>
      </c>
      <c r="AB62" s="42">
        <v>41</v>
      </c>
      <c r="AC62" s="42">
        <v>42</v>
      </c>
      <c r="AD62" s="42">
        <v>43</v>
      </c>
      <c r="AE62" s="42">
        <v>44</v>
      </c>
      <c r="AF62" s="42">
        <v>45</v>
      </c>
    </row>
    <row r="63" spans="1:32" ht="18.75" x14ac:dyDescent="0.3">
      <c r="A63" s="42">
        <v>2018</v>
      </c>
      <c r="B63" s="60" t="e">
        <f>SUMIFS('[3]Data(perSeason,perCrop)'!$A:$A,'[3]Data(perSeason,perCrop)'!$S:$S,[3]Indicators!$A64,'[3]Data(perSeason,perCrop)'!$O:$O,[3]Indicators!B$32,'[3]Data(perSeason,perCrop)'!$C:$C,[3]Indicators!B$33,'[3]Data(perSeason,perCrop)'!$R:$R,"IRRIGATED")</f>
        <v>#VALUE!</v>
      </c>
      <c r="C63" s="60" t="e">
        <f>SUMIFS('[3]Data(perSeason,perCrop)'!$A:$A,'[3]Data(perSeason,perCrop)'!$S:$S,[3]Indicators!$A64,'[3]Data(perSeason,perCrop)'!$O:$O,[3]Indicators!C$32,'[3]Data(perSeason,perCrop)'!$C:$C,[3]Indicators!C$33,'[3]Data(perSeason,perCrop)'!$R:$R,"IRRIGATED")</f>
        <v>#VALUE!</v>
      </c>
      <c r="D63" s="60" t="e">
        <f>SUMIFS('[3]Data(perSeason,perCrop)'!$A:$A,'[3]Data(perSeason,perCrop)'!$S:$S,[3]Indicators!$A64,'[3]Data(perSeason,perCrop)'!$O:$O,[3]Indicators!D$32,'[3]Data(perSeason,perCrop)'!$C:$C,[3]Indicators!D$33,'[3]Data(perSeason,perCrop)'!$R:$R,"IRRIGATED")</f>
        <v>#VALUE!</v>
      </c>
      <c r="E63" s="60" t="e">
        <f>SUMIFS('[3]Data(perSeason,perCrop)'!$A:$A,'[3]Data(perSeason,perCrop)'!$S:$S,[3]Indicators!$A64,'[3]Data(perSeason,perCrop)'!$O:$O,[3]Indicators!E$32,'[3]Data(perSeason,perCrop)'!$C:$C,[3]Indicators!E$33,'[3]Data(perSeason,perCrop)'!$R:$R,"IRRIGATED")</f>
        <v>#VALUE!</v>
      </c>
      <c r="F63" s="60" t="e">
        <f>SUMIFS('[3]Data(perSeason,perCrop)'!$A:$A,'[3]Data(perSeason,perCrop)'!$S:$S,[3]Indicators!$A64,'[3]Data(perSeason,perCrop)'!$O:$O,[3]Indicators!F$32,'[3]Data(perSeason,perCrop)'!$C:$C,[3]Indicators!F$33,'[3]Data(perSeason,perCrop)'!$R:$R,"IRRIGATED")</f>
        <v>#VALUE!</v>
      </c>
      <c r="G63" s="60" t="e">
        <f>SUMIFS('[3]Data(perSeason,perCrop)'!$A:$A,'[3]Data(perSeason,perCrop)'!$S:$S,[3]Indicators!$A64,'[3]Data(perSeason,perCrop)'!$O:$O,[3]Indicators!G$32,'[3]Data(perSeason,perCrop)'!$C:$C,[3]Indicators!G$33,'[3]Data(perSeason,perCrop)'!$R:$R,"IRRIGATED")</f>
        <v>#VALUE!</v>
      </c>
      <c r="H63" s="60" t="e">
        <f>SUMIFS('[3]Data(perSeason,perCrop)'!$A:$A,'[3]Data(perSeason,perCrop)'!$S:$S,[3]Indicators!$A64,'[3]Data(perSeason,perCrop)'!$O:$O,[3]Indicators!H$32,'[3]Data(perSeason,perCrop)'!$C:$C,[3]Indicators!H$33,'[3]Data(perSeason,perCrop)'!$R:$R,"IRRIGATED")</f>
        <v>#VALUE!</v>
      </c>
      <c r="I63" s="60" t="e">
        <f>SUMIFS('[3]Data(perSeason,perCrop)'!$A:$A,'[3]Data(perSeason,perCrop)'!$S:$S,[3]Indicators!$A64,'[3]Data(perSeason,perCrop)'!$O:$O,[3]Indicators!I$32,'[3]Data(perSeason,perCrop)'!$C:$C,[3]Indicators!I$33,'[3]Data(perSeason,perCrop)'!$R:$R,"IRRIGATED")</f>
        <v>#VALUE!</v>
      </c>
      <c r="J63" s="60" t="e">
        <f>SUMIFS('[3]Data(perSeason,perCrop)'!$A:$A,'[3]Data(perSeason,perCrop)'!$S:$S,[3]Indicators!$A64,'[3]Data(perSeason,perCrop)'!$O:$O,[3]Indicators!J$32,'[3]Data(perSeason,perCrop)'!$C:$C,[3]Indicators!J$33,'[3]Data(perSeason,perCrop)'!$R:$R,"IRRIGATED")</f>
        <v>#VALUE!</v>
      </c>
      <c r="K63" s="60" t="e">
        <f>SUMIFS('[3]Data(perSeason,perCrop)'!$A:$A,'[3]Data(perSeason,perCrop)'!$S:$S,[3]Indicators!$A64,'[3]Data(perSeason,perCrop)'!$O:$O,[3]Indicators!K$32,'[3]Data(perSeason,perCrop)'!$C:$C,[3]Indicators!K$33,'[3]Data(perSeason,perCrop)'!$R:$R,"IRRIGATED")</f>
        <v>#VALUE!</v>
      </c>
      <c r="L63" s="60" t="e">
        <f>SUMIFS('[3]Data(perSeason,perCrop)'!$A:$A,'[3]Data(perSeason,perCrop)'!$S:$S,[3]Indicators!$A64,'[3]Data(perSeason,perCrop)'!$O:$O,[3]Indicators!L$32,'[3]Data(perSeason,perCrop)'!$C:$C,[3]Indicators!L$33,'[3]Data(perSeason,perCrop)'!$R:$R,"IRRIGATED")</f>
        <v>#VALUE!</v>
      </c>
      <c r="M63" s="60" t="e">
        <f>SUMIFS('[3]Data(perSeason,perCrop)'!$A:$A,'[3]Data(perSeason,perCrop)'!$S:$S,[3]Indicators!$A64,'[3]Data(perSeason,perCrop)'!$O:$O,[3]Indicators!M$32,'[3]Data(perSeason,perCrop)'!$C:$C,[3]Indicators!M$33,'[3]Data(perSeason,perCrop)'!$R:$R,"IRRIGATED")</f>
        <v>#VALUE!</v>
      </c>
      <c r="N63" s="60" t="e">
        <f>SUMIFS('[3]Data(perSeason,perCrop)'!$A:$A,'[3]Data(perSeason,perCrop)'!$S:$S,[3]Indicators!$A64,'[3]Data(perSeason,perCrop)'!$O:$O,[3]Indicators!N$32,'[3]Data(perSeason,perCrop)'!$C:$C,[3]Indicators!N$33,'[3]Data(perSeason,perCrop)'!$R:$R,"IRRIGATED")</f>
        <v>#VALUE!</v>
      </c>
      <c r="O63" s="60" t="e">
        <f>SUMIFS('[3]Data(perSeason,perCrop)'!$A:$A,'[3]Data(perSeason,perCrop)'!$S:$S,[3]Indicators!$A64,'[3]Data(perSeason,perCrop)'!$O:$O,[3]Indicators!O$32,'[3]Data(perSeason,perCrop)'!$C:$C,[3]Indicators!O$33,'[3]Data(perSeason,perCrop)'!$R:$R,"IRRIGATED")</f>
        <v>#VALUE!</v>
      </c>
      <c r="P63" s="60" t="e">
        <f>SUMIFS('[3]Data(perSeason,perCrop)'!$A:$A,'[3]Data(perSeason,perCrop)'!$S:$S,[3]Indicators!$A64,'[3]Data(perSeason,perCrop)'!$O:$O,[3]Indicators!P$32,'[3]Data(perSeason,perCrop)'!$C:$C,[3]Indicators!P$33,'[3]Data(perSeason,perCrop)'!$R:$R,"IRRIGATED")</f>
        <v>#VALUE!</v>
      </c>
      <c r="Q63" s="60" t="e">
        <f>SUMIFS('[3]Data(perSeason,perCrop)'!$A:$A,'[3]Data(perSeason,perCrop)'!$S:$S,[3]Indicators!$A64,'[3]Data(perSeason,perCrop)'!$O:$O,[3]Indicators!Q$32,'[3]Data(perSeason,perCrop)'!$C:$C,[3]Indicators!Q$33,'[3]Data(perSeason,perCrop)'!$R:$R,"IRRIGATED")</f>
        <v>#VALUE!</v>
      </c>
      <c r="R63" s="60" t="e">
        <f>SUMIFS('[3]Data(perSeason,perCrop)'!$A:$A,'[3]Data(perSeason,perCrop)'!$S:$S,[3]Indicators!$A64,'[3]Data(perSeason,perCrop)'!$O:$O,[3]Indicators!R$32,'[3]Data(perSeason,perCrop)'!$C:$C,[3]Indicators!R$33,'[3]Data(perSeason,perCrop)'!$R:$R,"IRRIGATED")</f>
        <v>#VALUE!</v>
      </c>
      <c r="S63" s="60" t="e">
        <f>SUMIFS('[3]Data(perSeason,perCrop)'!$A:$A,'[3]Data(perSeason,perCrop)'!$S:$S,[3]Indicators!$A64,'[3]Data(perSeason,perCrop)'!$O:$O,[3]Indicators!S$32,'[3]Data(perSeason,perCrop)'!$C:$C,[3]Indicators!S$33,'[3]Data(perSeason,perCrop)'!$R:$R,"IRRIGATED")</f>
        <v>#VALUE!</v>
      </c>
      <c r="T63" s="60" t="e">
        <f>SUMIFS('[3]Data(perSeason,perCrop)'!$A:$A,'[3]Data(perSeason,perCrop)'!$S:$S,[3]Indicators!$A64,'[3]Data(perSeason,perCrop)'!$O:$O,[3]Indicators!T$32,'[3]Data(perSeason,perCrop)'!$C:$C,[3]Indicators!T$33,'[3]Data(perSeason,perCrop)'!$R:$R,"IRRIGATED")</f>
        <v>#VALUE!</v>
      </c>
      <c r="U63" s="60" t="e">
        <f>SUMIFS('[3]Data(perSeason,perCrop)'!$A:$A,'[3]Data(perSeason,perCrop)'!$S:$S,[3]Indicators!$A64,'[3]Data(perSeason,perCrop)'!$O:$O,[3]Indicators!U$32,'[3]Data(perSeason,perCrop)'!$C:$C,[3]Indicators!U$33,'[3]Data(perSeason,perCrop)'!$R:$R,"IRRIGATED")</f>
        <v>#VALUE!</v>
      </c>
      <c r="V63" s="60" t="e">
        <f>SUMIFS('[3]Data(perSeason,perCrop)'!$A:$A,'[3]Data(perSeason,perCrop)'!$S:$S,[3]Indicators!$A64,'[3]Data(perSeason,perCrop)'!$O:$O,[3]Indicators!V$32,'[3]Data(perSeason,perCrop)'!$C:$C,[3]Indicators!V$33,'[3]Data(perSeason,perCrop)'!$R:$R,"IRRIGATED")</f>
        <v>#VALUE!</v>
      </c>
      <c r="W63" s="60" t="e">
        <f>SUMIFS('[3]Data(perSeason,perCrop)'!$A:$A,'[3]Data(perSeason,perCrop)'!$S:$S,[3]Indicators!$A64,'[3]Data(perSeason,perCrop)'!$O:$O,[3]Indicators!W$32,'[3]Data(perSeason,perCrop)'!$C:$C,[3]Indicators!W$33,'[3]Data(perSeason,perCrop)'!$R:$R,"IRRIGATED")</f>
        <v>#VALUE!</v>
      </c>
      <c r="X63" s="60" t="e">
        <f>SUMIFS('[3]Data(perSeason,perCrop)'!$A:$A,'[3]Data(perSeason,perCrop)'!$S:$S,[3]Indicators!$A64,'[3]Data(perSeason,perCrop)'!$O:$O,[3]Indicators!X$32,'[3]Data(perSeason,perCrop)'!$C:$C,[3]Indicators!X$33,'[3]Data(perSeason,perCrop)'!$R:$R,"IRRIGATED")</f>
        <v>#VALUE!</v>
      </c>
      <c r="Y63" s="60" t="e">
        <f>SUMIFS('[3]Data(perSeason,perCrop)'!$A:$A,'[3]Data(perSeason,perCrop)'!$S:$S,[3]Indicators!$A64,'[3]Data(perSeason,perCrop)'!$O:$O,[3]Indicators!Y$32,'[3]Data(perSeason,perCrop)'!$C:$C,[3]Indicators!Y$33,'[3]Data(perSeason,perCrop)'!$R:$R,"IRRIGATED")</f>
        <v>#VALUE!</v>
      </c>
      <c r="Z63" s="60" t="e">
        <f>SUMIFS('[3]Data(perSeason,perCrop)'!$A:$A,'[3]Data(perSeason,perCrop)'!$S:$S,[3]Indicators!$A64,'[3]Data(perSeason,perCrop)'!$O:$O,[3]Indicators!Z$32,'[3]Data(perSeason,perCrop)'!$C:$C,[3]Indicators!Z$33,'[3]Data(perSeason,perCrop)'!$R:$R,"IRRIGATED")</f>
        <v>#VALUE!</v>
      </c>
      <c r="AA63" s="60" t="e">
        <f>SUMIFS('[3]Data(perSeason,perCrop)'!$A:$A,'[3]Data(perSeason,perCrop)'!$S:$S,[3]Indicators!$A64,'[3]Data(perSeason,perCrop)'!$O:$O,[3]Indicators!AA$32,'[3]Data(perSeason,perCrop)'!$C:$C,[3]Indicators!AA$33,'[3]Data(perSeason,perCrop)'!$R:$R,"IRRIGATED")</f>
        <v>#VALUE!</v>
      </c>
      <c r="AB63" s="60" t="e">
        <f>SUMIFS('[3]Data(perSeason,perCrop)'!$A:$A,'[3]Data(perSeason,perCrop)'!$S:$S,[3]Indicators!$A64,'[3]Data(perSeason,perCrop)'!$O:$O,[3]Indicators!AB$32,'[3]Data(perSeason,perCrop)'!$C:$C,[3]Indicators!AB$33,'[3]Data(perSeason,perCrop)'!$R:$R,"IRRIGATED")</f>
        <v>#VALUE!</v>
      </c>
      <c r="AC63" s="60" t="e">
        <f>SUMIFS('[3]Data(perSeason,perCrop)'!$A:$A,'[3]Data(perSeason,perCrop)'!$S:$S,[3]Indicators!$A64,'[3]Data(perSeason,perCrop)'!$O:$O,[3]Indicators!AC$32,'[3]Data(perSeason,perCrop)'!$C:$C,[3]Indicators!AC$33,'[3]Data(perSeason,perCrop)'!$R:$R,"IRRIGATED")</f>
        <v>#VALUE!</v>
      </c>
      <c r="AD63" s="60" t="e">
        <f>SUMIFS('[3]Data(perSeason,perCrop)'!$A:$A,'[3]Data(perSeason,perCrop)'!$S:$S,[3]Indicators!$A64,'[3]Data(perSeason,perCrop)'!$O:$O,[3]Indicators!AD$32,'[3]Data(perSeason,perCrop)'!$C:$C,[3]Indicators!AD$33,'[3]Data(perSeason,perCrop)'!$R:$R,"IRRIGATED")</f>
        <v>#VALUE!</v>
      </c>
      <c r="AE63" s="60" t="e">
        <f>SUMIFS('[3]Data(perSeason,perCrop)'!$A:$A,'[3]Data(perSeason,perCrop)'!$S:$S,[3]Indicators!$A64,'[3]Data(perSeason,perCrop)'!$O:$O,[3]Indicators!AE$32,'[3]Data(perSeason,perCrop)'!$C:$C,[3]Indicators!AE$33,'[3]Data(perSeason,perCrop)'!$R:$R,"IRRIGATED")</f>
        <v>#VALUE!</v>
      </c>
      <c r="AF63" s="60" t="e">
        <f>SUMIFS('[3]Data(perSeason,perCrop)'!$A:$A,'[3]Data(perSeason,perCrop)'!$S:$S,[3]Indicators!$A64,'[3]Data(perSeason,perCrop)'!$O:$O,[3]Indicators!AF$32,'[3]Data(perSeason,perCrop)'!$C:$C,[3]Indicators!AF$33,'[3]Data(perSeason,perCrop)'!$R:$R,"IRRIGATED")</f>
        <v>#VALUE!</v>
      </c>
    </row>
    <row r="64" spans="1:32" ht="18.75" x14ac:dyDescent="0.3">
      <c r="A64" s="42">
        <v>2019</v>
      </c>
      <c r="B64" s="60" t="e">
        <f>SUMIFS('[3]Data(perSeason,perCrop)'!$A:$A,'[3]Data(perSeason,perCrop)'!$S:$S,[3]Indicators!$A65,'[3]Data(perSeason,perCrop)'!$O:$O,[3]Indicators!B$32,'[3]Data(perSeason,perCrop)'!$C:$C,[3]Indicators!B$33,'[3]Data(perSeason,perCrop)'!$R:$R,"IRRIGATED")</f>
        <v>#VALUE!</v>
      </c>
      <c r="C64" s="60" t="e">
        <f>SUMIFS('[3]Data(perSeason,perCrop)'!$A:$A,'[3]Data(perSeason,perCrop)'!$S:$S,[3]Indicators!$A65,'[3]Data(perSeason,perCrop)'!$O:$O,[3]Indicators!C$32,'[3]Data(perSeason,perCrop)'!$C:$C,[3]Indicators!C$33,'[3]Data(perSeason,perCrop)'!$R:$R,"IRRIGATED")</f>
        <v>#VALUE!</v>
      </c>
      <c r="D64" s="60" t="e">
        <f>SUMIFS('[3]Data(perSeason,perCrop)'!$A:$A,'[3]Data(perSeason,perCrop)'!$S:$S,[3]Indicators!$A65,'[3]Data(perSeason,perCrop)'!$O:$O,[3]Indicators!D$32,'[3]Data(perSeason,perCrop)'!$C:$C,[3]Indicators!D$33,'[3]Data(perSeason,perCrop)'!$R:$R,"IRRIGATED")</f>
        <v>#VALUE!</v>
      </c>
      <c r="E64" s="60" t="e">
        <f>SUMIFS('[3]Data(perSeason,perCrop)'!$A:$A,'[3]Data(perSeason,perCrop)'!$S:$S,[3]Indicators!$A65,'[3]Data(perSeason,perCrop)'!$O:$O,[3]Indicators!E$32,'[3]Data(perSeason,perCrop)'!$C:$C,[3]Indicators!E$33,'[3]Data(perSeason,perCrop)'!$R:$R,"IRRIGATED")</f>
        <v>#VALUE!</v>
      </c>
      <c r="F64" s="60" t="e">
        <f>SUMIFS('[3]Data(perSeason,perCrop)'!$A:$A,'[3]Data(perSeason,perCrop)'!$S:$S,[3]Indicators!$A65,'[3]Data(perSeason,perCrop)'!$O:$O,[3]Indicators!F$32,'[3]Data(perSeason,perCrop)'!$C:$C,[3]Indicators!F$33,'[3]Data(perSeason,perCrop)'!$R:$R,"IRRIGATED")</f>
        <v>#VALUE!</v>
      </c>
      <c r="G64" s="60" t="e">
        <f>SUMIFS('[3]Data(perSeason,perCrop)'!$A:$A,'[3]Data(perSeason,perCrop)'!$S:$S,[3]Indicators!$A65,'[3]Data(perSeason,perCrop)'!$O:$O,[3]Indicators!G$32,'[3]Data(perSeason,perCrop)'!$C:$C,[3]Indicators!G$33,'[3]Data(perSeason,perCrop)'!$R:$R,"IRRIGATED")</f>
        <v>#VALUE!</v>
      </c>
      <c r="H64" s="60" t="e">
        <f>SUMIFS('[3]Data(perSeason,perCrop)'!$A:$A,'[3]Data(perSeason,perCrop)'!$S:$S,[3]Indicators!$A65,'[3]Data(perSeason,perCrop)'!$O:$O,[3]Indicators!H$32,'[3]Data(perSeason,perCrop)'!$C:$C,[3]Indicators!H$33,'[3]Data(perSeason,perCrop)'!$R:$R,"IRRIGATED")</f>
        <v>#VALUE!</v>
      </c>
      <c r="I64" s="60" t="e">
        <f>SUMIFS('[3]Data(perSeason,perCrop)'!$A:$A,'[3]Data(perSeason,perCrop)'!$S:$S,[3]Indicators!$A65,'[3]Data(perSeason,perCrop)'!$O:$O,[3]Indicators!I$32,'[3]Data(perSeason,perCrop)'!$C:$C,[3]Indicators!I$33,'[3]Data(perSeason,perCrop)'!$R:$R,"IRRIGATED")</f>
        <v>#VALUE!</v>
      </c>
      <c r="J64" s="60" t="e">
        <f>SUMIFS('[3]Data(perSeason,perCrop)'!$A:$A,'[3]Data(perSeason,perCrop)'!$S:$S,[3]Indicators!$A65,'[3]Data(perSeason,perCrop)'!$O:$O,[3]Indicators!J$32,'[3]Data(perSeason,perCrop)'!$C:$C,[3]Indicators!J$33,'[3]Data(perSeason,perCrop)'!$R:$R,"IRRIGATED")</f>
        <v>#VALUE!</v>
      </c>
      <c r="K64" s="60" t="e">
        <f>SUMIFS('[3]Data(perSeason,perCrop)'!$A:$A,'[3]Data(perSeason,perCrop)'!$S:$S,[3]Indicators!$A65,'[3]Data(perSeason,perCrop)'!$O:$O,[3]Indicators!K$32,'[3]Data(perSeason,perCrop)'!$C:$C,[3]Indicators!K$33,'[3]Data(perSeason,perCrop)'!$R:$R,"IRRIGATED")</f>
        <v>#VALUE!</v>
      </c>
      <c r="L64" s="60" t="e">
        <f>SUMIFS('[3]Data(perSeason,perCrop)'!$A:$A,'[3]Data(perSeason,perCrop)'!$S:$S,[3]Indicators!$A65,'[3]Data(perSeason,perCrop)'!$O:$O,[3]Indicators!L$32,'[3]Data(perSeason,perCrop)'!$C:$C,[3]Indicators!L$33,'[3]Data(perSeason,perCrop)'!$R:$R,"IRRIGATED")</f>
        <v>#VALUE!</v>
      </c>
      <c r="M64" s="60" t="e">
        <f>SUMIFS('[3]Data(perSeason,perCrop)'!$A:$A,'[3]Data(perSeason,perCrop)'!$S:$S,[3]Indicators!$A65,'[3]Data(perSeason,perCrop)'!$O:$O,[3]Indicators!M$32,'[3]Data(perSeason,perCrop)'!$C:$C,[3]Indicators!M$33,'[3]Data(perSeason,perCrop)'!$R:$R,"IRRIGATED")</f>
        <v>#VALUE!</v>
      </c>
      <c r="N64" s="60" t="e">
        <f>SUMIFS('[3]Data(perSeason,perCrop)'!$A:$A,'[3]Data(perSeason,perCrop)'!$S:$S,[3]Indicators!$A65,'[3]Data(perSeason,perCrop)'!$O:$O,[3]Indicators!N$32,'[3]Data(perSeason,perCrop)'!$C:$C,[3]Indicators!N$33,'[3]Data(perSeason,perCrop)'!$R:$R,"IRRIGATED")</f>
        <v>#VALUE!</v>
      </c>
      <c r="O64" s="60" t="e">
        <f>SUMIFS('[3]Data(perSeason,perCrop)'!$A:$A,'[3]Data(perSeason,perCrop)'!$S:$S,[3]Indicators!$A65,'[3]Data(perSeason,perCrop)'!$O:$O,[3]Indicators!O$32,'[3]Data(perSeason,perCrop)'!$C:$C,[3]Indicators!O$33,'[3]Data(perSeason,perCrop)'!$R:$R,"IRRIGATED")</f>
        <v>#VALUE!</v>
      </c>
      <c r="P64" s="60" t="e">
        <f>SUMIFS('[3]Data(perSeason,perCrop)'!$A:$A,'[3]Data(perSeason,perCrop)'!$S:$S,[3]Indicators!$A65,'[3]Data(perSeason,perCrop)'!$O:$O,[3]Indicators!P$32,'[3]Data(perSeason,perCrop)'!$C:$C,[3]Indicators!P$33,'[3]Data(perSeason,perCrop)'!$R:$R,"IRRIGATED")</f>
        <v>#VALUE!</v>
      </c>
      <c r="Q64" s="60" t="e">
        <f>SUMIFS('[3]Data(perSeason,perCrop)'!$A:$A,'[3]Data(perSeason,perCrop)'!$S:$S,[3]Indicators!$A65,'[3]Data(perSeason,perCrop)'!$O:$O,[3]Indicators!Q$32,'[3]Data(perSeason,perCrop)'!$C:$C,[3]Indicators!Q$33,'[3]Data(perSeason,perCrop)'!$R:$R,"IRRIGATED")</f>
        <v>#VALUE!</v>
      </c>
      <c r="R64" s="60" t="e">
        <f>SUMIFS('[3]Data(perSeason,perCrop)'!$A:$A,'[3]Data(perSeason,perCrop)'!$S:$S,[3]Indicators!$A65,'[3]Data(perSeason,perCrop)'!$O:$O,[3]Indicators!R$32,'[3]Data(perSeason,perCrop)'!$C:$C,[3]Indicators!R$33,'[3]Data(perSeason,perCrop)'!$R:$R,"IRRIGATED")</f>
        <v>#VALUE!</v>
      </c>
      <c r="S64" s="60" t="e">
        <f>SUMIFS('[3]Data(perSeason,perCrop)'!$A:$A,'[3]Data(perSeason,perCrop)'!$S:$S,[3]Indicators!$A65,'[3]Data(perSeason,perCrop)'!$O:$O,[3]Indicators!S$32,'[3]Data(perSeason,perCrop)'!$C:$C,[3]Indicators!S$33,'[3]Data(perSeason,perCrop)'!$R:$R,"IRRIGATED")</f>
        <v>#VALUE!</v>
      </c>
      <c r="T64" s="60" t="e">
        <f>SUMIFS('[3]Data(perSeason,perCrop)'!$A:$A,'[3]Data(perSeason,perCrop)'!$S:$S,[3]Indicators!$A65,'[3]Data(perSeason,perCrop)'!$O:$O,[3]Indicators!T$32,'[3]Data(perSeason,perCrop)'!$C:$C,[3]Indicators!T$33,'[3]Data(perSeason,perCrop)'!$R:$R,"IRRIGATED")</f>
        <v>#VALUE!</v>
      </c>
      <c r="U64" s="60" t="e">
        <f>SUMIFS('[3]Data(perSeason,perCrop)'!$A:$A,'[3]Data(perSeason,perCrop)'!$S:$S,[3]Indicators!$A65,'[3]Data(perSeason,perCrop)'!$O:$O,[3]Indicators!U$32,'[3]Data(perSeason,perCrop)'!$C:$C,[3]Indicators!U$33,'[3]Data(perSeason,perCrop)'!$R:$R,"IRRIGATED")</f>
        <v>#VALUE!</v>
      </c>
      <c r="V64" s="60" t="e">
        <f>SUMIFS('[3]Data(perSeason,perCrop)'!$A:$A,'[3]Data(perSeason,perCrop)'!$S:$S,[3]Indicators!$A65,'[3]Data(perSeason,perCrop)'!$O:$O,[3]Indicators!V$32,'[3]Data(perSeason,perCrop)'!$C:$C,[3]Indicators!V$33,'[3]Data(perSeason,perCrop)'!$R:$R,"IRRIGATED")</f>
        <v>#VALUE!</v>
      </c>
      <c r="W64" s="60" t="e">
        <f>SUMIFS('[3]Data(perSeason,perCrop)'!$A:$A,'[3]Data(perSeason,perCrop)'!$S:$S,[3]Indicators!$A65,'[3]Data(perSeason,perCrop)'!$O:$O,[3]Indicators!W$32,'[3]Data(perSeason,perCrop)'!$C:$C,[3]Indicators!W$33,'[3]Data(perSeason,perCrop)'!$R:$R,"IRRIGATED")</f>
        <v>#VALUE!</v>
      </c>
      <c r="X64" s="60" t="e">
        <f>SUMIFS('[3]Data(perSeason,perCrop)'!$A:$A,'[3]Data(perSeason,perCrop)'!$S:$S,[3]Indicators!$A65,'[3]Data(perSeason,perCrop)'!$O:$O,[3]Indicators!X$32,'[3]Data(perSeason,perCrop)'!$C:$C,[3]Indicators!X$33,'[3]Data(perSeason,perCrop)'!$R:$R,"IRRIGATED")</f>
        <v>#VALUE!</v>
      </c>
      <c r="Y64" s="60" t="e">
        <f>SUMIFS('[3]Data(perSeason,perCrop)'!$A:$A,'[3]Data(perSeason,perCrop)'!$S:$S,[3]Indicators!$A65,'[3]Data(perSeason,perCrop)'!$O:$O,[3]Indicators!Y$32,'[3]Data(perSeason,perCrop)'!$C:$C,[3]Indicators!Y$33,'[3]Data(perSeason,perCrop)'!$R:$R,"IRRIGATED")</f>
        <v>#VALUE!</v>
      </c>
      <c r="Z64" s="60" t="e">
        <f>SUMIFS('[3]Data(perSeason,perCrop)'!$A:$A,'[3]Data(perSeason,perCrop)'!$S:$S,[3]Indicators!$A65,'[3]Data(perSeason,perCrop)'!$O:$O,[3]Indicators!Z$32,'[3]Data(perSeason,perCrop)'!$C:$C,[3]Indicators!Z$33,'[3]Data(perSeason,perCrop)'!$R:$R,"IRRIGATED")</f>
        <v>#VALUE!</v>
      </c>
      <c r="AA64" s="60" t="e">
        <f>SUMIFS('[3]Data(perSeason,perCrop)'!$A:$A,'[3]Data(perSeason,perCrop)'!$S:$S,[3]Indicators!$A65,'[3]Data(perSeason,perCrop)'!$O:$O,[3]Indicators!AA$32,'[3]Data(perSeason,perCrop)'!$C:$C,[3]Indicators!AA$33,'[3]Data(perSeason,perCrop)'!$R:$R,"IRRIGATED")</f>
        <v>#VALUE!</v>
      </c>
      <c r="AB64" s="60" t="e">
        <f>SUMIFS('[3]Data(perSeason,perCrop)'!$A:$A,'[3]Data(perSeason,perCrop)'!$S:$S,[3]Indicators!$A65,'[3]Data(perSeason,perCrop)'!$O:$O,[3]Indicators!AB$32,'[3]Data(perSeason,perCrop)'!$C:$C,[3]Indicators!AB$33,'[3]Data(perSeason,perCrop)'!$R:$R,"IRRIGATED")</f>
        <v>#VALUE!</v>
      </c>
      <c r="AC64" s="60" t="e">
        <f>SUMIFS('[3]Data(perSeason,perCrop)'!$A:$A,'[3]Data(perSeason,perCrop)'!$S:$S,[3]Indicators!$A65,'[3]Data(perSeason,perCrop)'!$O:$O,[3]Indicators!AC$32,'[3]Data(perSeason,perCrop)'!$C:$C,[3]Indicators!AC$33,'[3]Data(perSeason,perCrop)'!$R:$R,"IRRIGATED")</f>
        <v>#VALUE!</v>
      </c>
      <c r="AD64" s="60" t="e">
        <f>SUMIFS('[3]Data(perSeason,perCrop)'!$A:$A,'[3]Data(perSeason,perCrop)'!$S:$S,[3]Indicators!$A65,'[3]Data(perSeason,perCrop)'!$O:$O,[3]Indicators!AD$32,'[3]Data(perSeason,perCrop)'!$C:$C,[3]Indicators!AD$33,'[3]Data(perSeason,perCrop)'!$R:$R,"IRRIGATED")</f>
        <v>#VALUE!</v>
      </c>
      <c r="AE64" s="60" t="e">
        <f>SUMIFS('[3]Data(perSeason,perCrop)'!$A:$A,'[3]Data(perSeason,perCrop)'!$S:$S,[3]Indicators!$A65,'[3]Data(perSeason,perCrop)'!$O:$O,[3]Indicators!AE$32,'[3]Data(perSeason,perCrop)'!$C:$C,[3]Indicators!AE$33,'[3]Data(perSeason,perCrop)'!$R:$R,"IRRIGATED")</f>
        <v>#VALUE!</v>
      </c>
      <c r="AF64" s="60" t="e">
        <f>SUMIFS('[3]Data(perSeason,perCrop)'!$A:$A,'[3]Data(perSeason,perCrop)'!$S:$S,[3]Indicators!$A65,'[3]Data(perSeason,perCrop)'!$O:$O,[3]Indicators!AF$32,'[3]Data(perSeason,perCrop)'!$C:$C,[3]Indicators!AF$33,'[3]Data(perSeason,perCrop)'!$R:$R,"IRRIGATED")</f>
        <v>#VALUE!</v>
      </c>
    </row>
    <row r="65" spans="1:32" ht="18.75" x14ac:dyDescent="0.3">
      <c r="A65" s="42">
        <v>2020</v>
      </c>
      <c r="B65" s="60" t="e">
        <f>SUMIFS('[3]Data(perSeason,perCrop)'!$A:$A,'[3]Data(perSeason,perCrop)'!$S:$S,[3]Indicators!$A66,'[3]Data(perSeason,perCrop)'!$O:$O,[3]Indicators!B$32,'[3]Data(perSeason,perCrop)'!$C:$C,[3]Indicators!B$33,'[3]Data(perSeason,perCrop)'!$R:$R,"IRRIGATED")</f>
        <v>#VALUE!</v>
      </c>
      <c r="C65" s="60" t="e">
        <f>SUMIFS('[3]Data(perSeason,perCrop)'!$A:$A,'[3]Data(perSeason,perCrop)'!$S:$S,[3]Indicators!$A66,'[3]Data(perSeason,perCrop)'!$O:$O,[3]Indicators!C$32,'[3]Data(perSeason,perCrop)'!$C:$C,[3]Indicators!C$33,'[3]Data(perSeason,perCrop)'!$R:$R,"IRRIGATED")</f>
        <v>#VALUE!</v>
      </c>
      <c r="D65" s="60" t="e">
        <f>SUMIFS('[3]Data(perSeason,perCrop)'!$A:$A,'[3]Data(perSeason,perCrop)'!$S:$S,[3]Indicators!$A66,'[3]Data(perSeason,perCrop)'!$O:$O,[3]Indicators!D$32,'[3]Data(perSeason,perCrop)'!$C:$C,[3]Indicators!D$33,'[3]Data(perSeason,perCrop)'!$R:$R,"IRRIGATED")</f>
        <v>#VALUE!</v>
      </c>
      <c r="E65" s="60" t="e">
        <f>SUMIFS('[3]Data(perSeason,perCrop)'!$A:$A,'[3]Data(perSeason,perCrop)'!$S:$S,[3]Indicators!$A66,'[3]Data(perSeason,perCrop)'!$O:$O,[3]Indicators!E$32,'[3]Data(perSeason,perCrop)'!$C:$C,[3]Indicators!E$33,'[3]Data(perSeason,perCrop)'!$R:$R,"IRRIGATED")</f>
        <v>#VALUE!</v>
      </c>
      <c r="F65" s="60" t="e">
        <f>SUMIFS('[3]Data(perSeason,perCrop)'!$A:$A,'[3]Data(perSeason,perCrop)'!$S:$S,[3]Indicators!$A66,'[3]Data(perSeason,perCrop)'!$O:$O,[3]Indicators!F$32,'[3]Data(perSeason,perCrop)'!$C:$C,[3]Indicators!F$33,'[3]Data(perSeason,perCrop)'!$R:$R,"IRRIGATED")</f>
        <v>#VALUE!</v>
      </c>
      <c r="G65" s="60" t="e">
        <f>SUMIFS('[3]Data(perSeason,perCrop)'!$A:$A,'[3]Data(perSeason,perCrop)'!$S:$S,[3]Indicators!$A66,'[3]Data(perSeason,perCrop)'!$O:$O,[3]Indicators!G$32,'[3]Data(perSeason,perCrop)'!$C:$C,[3]Indicators!G$33,'[3]Data(perSeason,perCrop)'!$R:$R,"IRRIGATED")</f>
        <v>#VALUE!</v>
      </c>
      <c r="H65" s="60" t="e">
        <f>SUMIFS('[3]Data(perSeason,perCrop)'!$A:$A,'[3]Data(perSeason,perCrop)'!$S:$S,[3]Indicators!$A66,'[3]Data(perSeason,perCrop)'!$O:$O,[3]Indicators!H$32,'[3]Data(perSeason,perCrop)'!$C:$C,[3]Indicators!H$33,'[3]Data(perSeason,perCrop)'!$R:$R,"IRRIGATED")</f>
        <v>#VALUE!</v>
      </c>
      <c r="I65" s="60" t="e">
        <f>SUMIFS('[3]Data(perSeason,perCrop)'!$A:$A,'[3]Data(perSeason,perCrop)'!$S:$S,[3]Indicators!$A66,'[3]Data(perSeason,perCrop)'!$O:$O,[3]Indicators!I$32,'[3]Data(perSeason,perCrop)'!$C:$C,[3]Indicators!I$33,'[3]Data(perSeason,perCrop)'!$R:$R,"IRRIGATED")</f>
        <v>#VALUE!</v>
      </c>
      <c r="J65" s="60" t="e">
        <f>SUMIFS('[3]Data(perSeason,perCrop)'!$A:$A,'[3]Data(perSeason,perCrop)'!$S:$S,[3]Indicators!$A66,'[3]Data(perSeason,perCrop)'!$O:$O,[3]Indicators!J$32,'[3]Data(perSeason,perCrop)'!$C:$C,[3]Indicators!J$33,'[3]Data(perSeason,perCrop)'!$R:$R,"IRRIGATED")</f>
        <v>#VALUE!</v>
      </c>
      <c r="K65" s="60" t="e">
        <f>SUMIFS('[3]Data(perSeason,perCrop)'!$A:$A,'[3]Data(perSeason,perCrop)'!$S:$S,[3]Indicators!$A66,'[3]Data(perSeason,perCrop)'!$O:$O,[3]Indicators!K$32,'[3]Data(perSeason,perCrop)'!$C:$C,[3]Indicators!K$33,'[3]Data(perSeason,perCrop)'!$R:$R,"IRRIGATED")</f>
        <v>#VALUE!</v>
      </c>
      <c r="L65" s="60" t="e">
        <f>SUMIFS('[3]Data(perSeason,perCrop)'!$A:$A,'[3]Data(perSeason,perCrop)'!$S:$S,[3]Indicators!$A66,'[3]Data(perSeason,perCrop)'!$O:$O,[3]Indicators!L$32,'[3]Data(perSeason,perCrop)'!$C:$C,[3]Indicators!L$33,'[3]Data(perSeason,perCrop)'!$R:$R,"IRRIGATED")</f>
        <v>#VALUE!</v>
      </c>
      <c r="M65" s="60" t="e">
        <f>SUMIFS('[3]Data(perSeason,perCrop)'!$A:$A,'[3]Data(perSeason,perCrop)'!$S:$S,[3]Indicators!$A66,'[3]Data(perSeason,perCrop)'!$O:$O,[3]Indicators!M$32,'[3]Data(perSeason,perCrop)'!$C:$C,[3]Indicators!M$33,'[3]Data(perSeason,perCrop)'!$R:$R,"IRRIGATED")</f>
        <v>#VALUE!</v>
      </c>
      <c r="N65" s="60" t="e">
        <f>SUMIFS('[3]Data(perSeason,perCrop)'!$A:$A,'[3]Data(perSeason,perCrop)'!$S:$S,[3]Indicators!$A66,'[3]Data(perSeason,perCrop)'!$O:$O,[3]Indicators!N$32,'[3]Data(perSeason,perCrop)'!$C:$C,[3]Indicators!N$33,'[3]Data(perSeason,perCrop)'!$R:$R,"IRRIGATED")</f>
        <v>#VALUE!</v>
      </c>
      <c r="O65" s="60" t="e">
        <f>SUMIFS('[3]Data(perSeason,perCrop)'!$A:$A,'[3]Data(perSeason,perCrop)'!$S:$S,[3]Indicators!$A66,'[3]Data(perSeason,perCrop)'!$O:$O,[3]Indicators!O$32,'[3]Data(perSeason,perCrop)'!$C:$C,[3]Indicators!O$33,'[3]Data(perSeason,perCrop)'!$R:$R,"IRRIGATED")</f>
        <v>#VALUE!</v>
      </c>
      <c r="P65" s="60" t="e">
        <f>SUMIFS('[3]Data(perSeason,perCrop)'!$A:$A,'[3]Data(perSeason,perCrop)'!$S:$S,[3]Indicators!$A66,'[3]Data(perSeason,perCrop)'!$O:$O,[3]Indicators!P$32,'[3]Data(perSeason,perCrop)'!$C:$C,[3]Indicators!P$33,'[3]Data(perSeason,perCrop)'!$R:$R,"IRRIGATED")</f>
        <v>#VALUE!</v>
      </c>
      <c r="Q65" s="60" t="e">
        <f>SUMIFS('[3]Data(perSeason,perCrop)'!$A:$A,'[3]Data(perSeason,perCrop)'!$S:$S,[3]Indicators!$A66,'[3]Data(perSeason,perCrop)'!$O:$O,[3]Indicators!Q$32,'[3]Data(perSeason,perCrop)'!$C:$C,[3]Indicators!Q$33,'[3]Data(perSeason,perCrop)'!$R:$R,"IRRIGATED")</f>
        <v>#VALUE!</v>
      </c>
      <c r="R65" s="60" t="e">
        <f>SUMIFS('[3]Data(perSeason,perCrop)'!$A:$A,'[3]Data(perSeason,perCrop)'!$S:$S,[3]Indicators!$A66,'[3]Data(perSeason,perCrop)'!$O:$O,[3]Indicators!R$32,'[3]Data(perSeason,perCrop)'!$C:$C,[3]Indicators!R$33,'[3]Data(perSeason,perCrop)'!$R:$R,"IRRIGATED")</f>
        <v>#VALUE!</v>
      </c>
      <c r="S65" s="60" t="e">
        <f>SUMIFS('[3]Data(perSeason,perCrop)'!$A:$A,'[3]Data(perSeason,perCrop)'!$S:$S,[3]Indicators!$A66,'[3]Data(perSeason,perCrop)'!$O:$O,[3]Indicators!S$32,'[3]Data(perSeason,perCrop)'!$C:$C,[3]Indicators!S$33,'[3]Data(perSeason,perCrop)'!$R:$R,"IRRIGATED")</f>
        <v>#VALUE!</v>
      </c>
      <c r="T65" s="60" t="e">
        <f>SUMIFS('[3]Data(perSeason,perCrop)'!$A:$A,'[3]Data(perSeason,perCrop)'!$S:$S,[3]Indicators!$A66,'[3]Data(perSeason,perCrop)'!$O:$O,[3]Indicators!T$32,'[3]Data(perSeason,perCrop)'!$C:$C,[3]Indicators!T$33,'[3]Data(perSeason,perCrop)'!$R:$R,"IRRIGATED")</f>
        <v>#VALUE!</v>
      </c>
      <c r="U65" s="60" t="e">
        <f>SUMIFS('[3]Data(perSeason,perCrop)'!$A:$A,'[3]Data(perSeason,perCrop)'!$S:$S,[3]Indicators!$A66,'[3]Data(perSeason,perCrop)'!$O:$O,[3]Indicators!U$32,'[3]Data(perSeason,perCrop)'!$C:$C,[3]Indicators!U$33,'[3]Data(perSeason,perCrop)'!$R:$R,"IRRIGATED")</f>
        <v>#VALUE!</v>
      </c>
      <c r="V65" s="60" t="e">
        <f>SUMIFS('[3]Data(perSeason,perCrop)'!$A:$A,'[3]Data(perSeason,perCrop)'!$S:$S,[3]Indicators!$A66,'[3]Data(perSeason,perCrop)'!$O:$O,[3]Indicators!V$32,'[3]Data(perSeason,perCrop)'!$C:$C,[3]Indicators!V$33,'[3]Data(perSeason,perCrop)'!$R:$R,"IRRIGATED")</f>
        <v>#VALUE!</v>
      </c>
      <c r="W65" s="60" t="e">
        <f>SUMIFS('[3]Data(perSeason,perCrop)'!$A:$A,'[3]Data(perSeason,perCrop)'!$S:$S,[3]Indicators!$A66,'[3]Data(perSeason,perCrop)'!$O:$O,[3]Indicators!W$32,'[3]Data(perSeason,perCrop)'!$C:$C,[3]Indicators!W$33,'[3]Data(perSeason,perCrop)'!$R:$R,"IRRIGATED")</f>
        <v>#VALUE!</v>
      </c>
      <c r="X65" s="60" t="e">
        <f>SUMIFS('[3]Data(perSeason,perCrop)'!$A:$A,'[3]Data(perSeason,perCrop)'!$S:$S,[3]Indicators!$A66,'[3]Data(perSeason,perCrop)'!$O:$O,[3]Indicators!X$32,'[3]Data(perSeason,perCrop)'!$C:$C,[3]Indicators!X$33,'[3]Data(perSeason,perCrop)'!$R:$R,"IRRIGATED")</f>
        <v>#VALUE!</v>
      </c>
      <c r="Y65" s="60" t="e">
        <f>SUMIFS('[3]Data(perSeason,perCrop)'!$A:$A,'[3]Data(perSeason,perCrop)'!$S:$S,[3]Indicators!$A66,'[3]Data(perSeason,perCrop)'!$O:$O,[3]Indicators!Y$32,'[3]Data(perSeason,perCrop)'!$C:$C,[3]Indicators!Y$33,'[3]Data(perSeason,perCrop)'!$R:$R,"IRRIGATED")</f>
        <v>#VALUE!</v>
      </c>
      <c r="Z65" s="60" t="e">
        <f>SUMIFS('[3]Data(perSeason,perCrop)'!$A:$A,'[3]Data(perSeason,perCrop)'!$S:$S,[3]Indicators!$A66,'[3]Data(perSeason,perCrop)'!$O:$O,[3]Indicators!Z$32,'[3]Data(perSeason,perCrop)'!$C:$C,[3]Indicators!Z$33,'[3]Data(perSeason,perCrop)'!$R:$R,"IRRIGATED")</f>
        <v>#VALUE!</v>
      </c>
      <c r="AA65" s="60" t="e">
        <f>SUMIFS('[3]Data(perSeason,perCrop)'!$A:$A,'[3]Data(perSeason,perCrop)'!$S:$S,[3]Indicators!$A66,'[3]Data(perSeason,perCrop)'!$O:$O,[3]Indicators!AA$32,'[3]Data(perSeason,perCrop)'!$C:$C,[3]Indicators!AA$33,'[3]Data(perSeason,perCrop)'!$R:$R,"IRRIGATED")</f>
        <v>#VALUE!</v>
      </c>
      <c r="AB65" s="60" t="e">
        <f>SUMIFS('[3]Data(perSeason,perCrop)'!$A:$A,'[3]Data(perSeason,perCrop)'!$S:$S,[3]Indicators!$A66,'[3]Data(perSeason,perCrop)'!$O:$O,[3]Indicators!AB$32,'[3]Data(perSeason,perCrop)'!$C:$C,[3]Indicators!AB$33,'[3]Data(perSeason,perCrop)'!$R:$R,"IRRIGATED")</f>
        <v>#VALUE!</v>
      </c>
      <c r="AC65" s="60" t="e">
        <f>SUMIFS('[3]Data(perSeason,perCrop)'!$A:$A,'[3]Data(perSeason,perCrop)'!$S:$S,[3]Indicators!$A66,'[3]Data(perSeason,perCrop)'!$O:$O,[3]Indicators!AC$32,'[3]Data(perSeason,perCrop)'!$C:$C,[3]Indicators!AC$33,'[3]Data(perSeason,perCrop)'!$R:$R,"IRRIGATED")</f>
        <v>#VALUE!</v>
      </c>
      <c r="AD65" s="60" t="e">
        <f>SUMIFS('[3]Data(perSeason,perCrop)'!$A:$A,'[3]Data(perSeason,perCrop)'!$S:$S,[3]Indicators!$A66,'[3]Data(perSeason,perCrop)'!$O:$O,[3]Indicators!AD$32,'[3]Data(perSeason,perCrop)'!$C:$C,[3]Indicators!AD$33,'[3]Data(perSeason,perCrop)'!$R:$R,"IRRIGATED")</f>
        <v>#VALUE!</v>
      </c>
      <c r="AE65" s="60" t="e">
        <f>SUMIFS('[3]Data(perSeason,perCrop)'!$A:$A,'[3]Data(perSeason,perCrop)'!$S:$S,[3]Indicators!$A66,'[3]Data(perSeason,perCrop)'!$O:$O,[3]Indicators!AE$32,'[3]Data(perSeason,perCrop)'!$C:$C,[3]Indicators!AE$33,'[3]Data(perSeason,perCrop)'!$R:$R,"IRRIGATED")</f>
        <v>#VALUE!</v>
      </c>
      <c r="AF65" s="60" t="e">
        <f>SUMIFS('[3]Data(perSeason,perCrop)'!$A:$A,'[3]Data(perSeason,perCrop)'!$S:$S,[3]Indicators!$A66,'[3]Data(perSeason,perCrop)'!$O:$O,[3]Indicators!AF$32,'[3]Data(perSeason,perCrop)'!$C:$C,[3]Indicators!AF$33,'[3]Data(perSeason,perCrop)'!$R:$R,"IRRIGATED")</f>
        <v>#VALUE!</v>
      </c>
    </row>
    <row r="66" spans="1:32" ht="18.75" x14ac:dyDescent="0.3">
      <c r="A66" s="42">
        <v>2021</v>
      </c>
      <c r="B66" s="60" t="e">
        <f>SUMIFS('[3]Data(perSeason,perCrop)'!$A:$A,'[3]Data(perSeason,perCrop)'!$S:$S,[3]Indicators!$A67,'[3]Data(perSeason,perCrop)'!$O:$O,[3]Indicators!B$32,'[3]Data(perSeason,perCrop)'!$C:$C,[3]Indicators!B$33,'[3]Data(perSeason,perCrop)'!$R:$R,"IRRIGATED")</f>
        <v>#VALUE!</v>
      </c>
      <c r="C66" s="60" t="e">
        <f>SUMIFS('[3]Data(perSeason,perCrop)'!$A:$A,'[3]Data(perSeason,perCrop)'!$S:$S,[3]Indicators!$A67,'[3]Data(perSeason,perCrop)'!$O:$O,[3]Indicators!C$32,'[3]Data(perSeason,perCrop)'!$C:$C,[3]Indicators!C$33,'[3]Data(perSeason,perCrop)'!$R:$R,"IRRIGATED")</f>
        <v>#VALUE!</v>
      </c>
      <c r="D66" s="60" t="e">
        <f>SUMIFS('[3]Data(perSeason,perCrop)'!$A:$A,'[3]Data(perSeason,perCrop)'!$S:$S,[3]Indicators!$A67,'[3]Data(perSeason,perCrop)'!$O:$O,[3]Indicators!D$32,'[3]Data(perSeason,perCrop)'!$C:$C,[3]Indicators!D$33,'[3]Data(perSeason,perCrop)'!$R:$R,"IRRIGATED")</f>
        <v>#VALUE!</v>
      </c>
      <c r="E66" s="60" t="e">
        <f>SUMIFS('[3]Data(perSeason,perCrop)'!$A:$A,'[3]Data(perSeason,perCrop)'!$S:$S,[3]Indicators!$A67,'[3]Data(perSeason,perCrop)'!$O:$O,[3]Indicators!E$32,'[3]Data(perSeason,perCrop)'!$C:$C,[3]Indicators!E$33,'[3]Data(perSeason,perCrop)'!$R:$R,"IRRIGATED")</f>
        <v>#VALUE!</v>
      </c>
      <c r="F66" s="60" t="e">
        <f>SUMIFS('[3]Data(perSeason,perCrop)'!$A:$A,'[3]Data(perSeason,perCrop)'!$S:$S,[3]Indicators!$A67,'[3]Data(perSeason,perCrop)'!$O:$O,[3]Indicators!F$32,'[3]Data(perSeason,perCrop)'!$C:$C,[3]Indicators!F$33,'[3]Data(perSeason,perCrop)'!$R:$R,"IRRIGATED")</f>
        <v>#VALUE!</v>
      </c>
      <c r="G66" s="60" t="e">
        <f>SUMIFS('[3]Data(perSeason,perCrop)'!$A:$A,'[3]Data(perSeason,perCrop)'!$S:$S,[3]Indicators!$A67,'[3]Data(perSeason,perCrop)'!$O:$O,[3]Indicators!G$32,'[3]Data(perSeason,perCrop)'!$C:$C,[3]Indicators!G$33,'[3]Data(perSeason,perCrop)'!$R:$R,"IRRIGATED")</f>
        <v>#VALUE!</v>
      </c>
      <c r="H66" s="60" t="e">
        <f>SUMIFS('[3]Data(perSeason,perCrop)'!$A:$A,'[3]Data(perSeason,perCrop)'!$S:$S,[3]Indicators!$A67,'[3]Data(perSeason,perCrop)'!$O:$O,[3]Indicators!H$32,'[3]Data(perSeason,perCrop)'!$C:$C,[3]Indicators!H$33,'[3]Data(perSeason,perCrop)'!$R:$R,"IRRIGATED")</f>
        <v>#VALUE!</v>
      </c>
      <c r="I66" s="60" t="e">
        <f>SUMIFS('[3]Data(perSeason,perCrop)'!$A:$A,'[3]Data(perSeason,perCrop)'!$S:$S,[3]Indicators!$A67,'[3]Data(perSeason,perCrop)'!$O:$O,[3]Indicators!I$32,'[3]Data(perSeason,perCrop)'!$C:$C,[3]Indicators!I$33,'[3]Data(perSeason,perCrop)'!$R:$R,"IRRIGATED")</f>
        <v>#VALUE!</v>
      </c>
      <c r="J66" s="60" t="e">
        <f>SUMIFS('[3]Data(perSeason,perCrop)'!$A:$A,'[3]Data(perSeason,perCrop)'!$S:$S,[3]Indicators!$A67,'[3]Data(perSeason,perCrop)'!$O:$O,[3]Indicators!J$32,'[3]Data(perSeason,perCrop)'!$C:$C,[3]Indicators!J$33,'[3]Data(perSeason,perCrop)'!$R:$R,"IRRIGATED")</f>
        <v>#VALUE!</v>
      </c>
      <c r="K66" s="60" t="e">
        <f>SUMIFS('[3]Data(perSeason,perCrop)'!$A:$A,'[3]Data(perSeason,perCrop)'!$S:$S,[3]Indicators!$A67,'[3]Data(perSeason,perCrop)'!$O:$O,[3]Indicators!K$32,'[3]Data(perSeason,perCrop)'!$C:$C,[3]Indicators!K$33,'[3]Data(perSeason,perCrop)'!$R:$R,"IRRIGATED")</f>
        <v>#VALUE!</v>
      </c>
      <c r="L66" s="60" t="e">
        <f>SUMIFS('[3]Data(perSeason,perCrop)'!$A:$A,'[3]Data(perSeason,perCrop)'!$S:$S,[3]Indicators!$A67,'[3]Data(perSeason,perCrop)'!$O:$O,[3]Indicators!L$32,'[3]Data(perSeason,perCrop)'!$C:$C,[3]Indicators!L$33,'[3]Data(perSeason,perCrop)'!$R:$R,"IRRIGATED")</f>
        <v>#VALUE!</v>
      </c>
      <c r="M66" s="60" t="e">
        <f>SUMIFS('[3]Data(perSeason,perCrop)'!$A:$A,'[3]Data(perSeason,perCrop)'!$S:$S,[3]Indicators!$A67,'[3]Data(perSeason,perCrop)'!$O:$O,[3]Indicators!M$32,'[3]Data(perSeason,perCrop)'!$C:$C,[3]Indicators!M$33,'[3]Data(perSeason,perCrop)'!$R:$R,"IRRIGATED")</f>
        <v>#VALUE!</v>
      </c>
      <c r="N66" s="60" t="e">
        <f>SUMIFS('[3]Data(perSeason,perCrop)'!$A:$A,'[3]Data(perSeason,perCrop)'!$S:$S,[3]Indicators!$A67,'[3]Data(perSeason,perCrop)'!$O:$O,[3]Indicators!N$32,'[3]Data(perSeason,perCrop)'!$C:$C,[3]Indicators!N$33,'[3]Data(perSeason,perCrop)'!$R:$R,"IRRIGATED")</f>
        <v>#VALUE!</v>
      </c>
      <c r="O66" s="60" t="e">
        <f>SUMIFS('[3]Data(perSeason,perCrop)'!$A:$A,'[3]Data(perSeason,perCrop)'!$S:$S,[3]Indicators!$A67,'[3]Data(perSeason,perCrop)'!$O:$O,[3]Indicators!O$32,'[3]Data(perSeason,perCrop)'!$C:$C,[3]Indicators!O$33,'[3]Data(perSeason,perCrop)'!$R:$R,"IRRIGATED")</f>
        <v>#VALUE!</v>
      </c>
      <c r="P66" s="60" t="e">
        <f>SUMIFS('[3]Data(perSeason,perCrop)'!$A:$A,'[3]Data(perSeason,perCrop)'!$S:$S,[3]Indicators!$A67,'[3]Data(perSeason,perCrop)'!$O:$O,[3]Indicators!P$32,'[3]Data(perSeason,perCrop)'!$C:$C,[3]Indicators!P$33,'[3]Data(perSeason,perCrop)'!$R:$R,"IRRIGATED")</f>
        <v>#VALUE!</v>
      </c>
      <c r="Q66" s="60" t="e">
        <f>SUMIFS('[3]Data(perSeason,perCrop)'!$A:$A,'[3]Data(perSeason,perCrop)'!$S:$S,[3]Indicators!$A67,'[3]Data(perSeason,perCrop)'!$O:$O,[3]Indicators!Q$32,'[3]Data(perSeason,perCrop)'!$C:$C,[3]Indicators!Q$33,'[3]Data(perSeason,perCrop)'!$R:$R,"IRRIGATED")</f>
        <v>#VALUE!</v>
      </c>
      <c r="R66" s="60" t="e">
        <f>SUMIFS('[3]Data(perSeason,perCrop)'!$A:$A,'[3]Data(perSeason,perCrop)'!$S:$S,[3]Indicators!$A67,'[3]Data(perSeason,perCrop)'!$O:$O,[3]Indicators!R$32,'[3]Data(perSeason,perCrop)'!$C:$C,[3]Indicators!R$33,'[3]Data(perSeason,perCrop)'!$R:$R,"IRRIGATED")</f>
        <v>#VALUE!</v>
      </c>
      <c r="S66" s="60" t="e">
        <f>SUMIFS('[3]Data(perSeason,perCrop)'!$A:$A,'[3]Data(perSeason,perCrop)'!$S:$S,[3]Indicators!$A67,'[3]Data(perSeason,perCrop)'!$O:$O,[3]Indicators!S$32,'[3]Data(perSeason,perCrop)'!$C:$C,[3]Indicators!S$33,'[3]Data(perSeason,perCrop)'!$R:$R,"IRRIGATED")</f>
        <v>#VALUE!</v>
      </c>
      <c r="T66" s="60" t="e">
        <f>SUMIFS('[3]Data(perSeason,perCrop)'!$A:$A,'[3]Data(perSeason,perCrop)'!$S:$S,[3]Indicators!$A67,'[3]Data(perSeason,perCrop)'!$O:$O,[3]Indicators!T$32,'[3]Data(perSeason,perCrop)'!$C:$C,[3]Indicators!T$33,'[3]Data(perSeason,perCrop)'!$R:$R,"IRRIGATED")</f>
        <v>#VALUE!</v>
      </c>
      <c r="U66" s="60" t="e">
        <f>SUMIFS('[3]Data(perSeason,perCrop)'!$A:$A,'[3]Data(perSeason,perCrop)'!$S:$S,[3]Indicators!$A67,'[3]Data(perSeason,perCrop)'!$O:$O,[3]Indicators!U$32,'[3]Data(perSeason,perCrop)'!$C:$C,[3]Indicators!U$33,'[3]Data(perSeason,perCrop)'!$R:$R,"IRRIGATED")</f>
        <v>#VALUE!</v>
      </c>
      <c r="V66" s="60" t="e">
        <f>SUMIFS('[3]Data(perSeason,perCrop)'!$A:$A,'[3]Data(perSeason,perCrop)'!$S:$S,[3]Indicators!$A67,'[3]Data(perSeason,perCrop)'!$O:$O,[3]Indicators!V$32,'[3]Data(perSeason,perCrop)'!$C:$C,[3]Indicators!V$33,'[3]Data(perSeason,perCrop)'!$R:$R,"IRRIGATED")</f>
        <v>#VALUE!</v>
      </c>
      <c r="W66" s="60" t="e">
        <f>SUMIFS('[3]Data(perSeason,perCrop)'!$A:$A,'[3]Data(perSeason,perCrop)'!$S:$S,[3]Indicators!$A67,'[3]Data(perSeason,perCrop)'!$O:$O,[3]Indicators!W$32,'[3]Data(perSeason,perCrop)'!$C:$C,[3]Indicators!W$33,'[3]Data(perSeason,perCrop)'!$R:$R,"IRRIGATED")</f>
        <v>#VALUE!</v>
      </c>
      <c r="X66" s="60" t="e">
        <f>SUMIFS('[3]Data(perSeason,perCrop)'!$A:$A,'[3]Data(perSeason,perCrop)'!$S:$S,[3]Indicators!$A67,'[3]Data(perSeason,perCrop)'!$O:$O,[3]Indicators!X$32,'[3]Data(perSeason,perCrop)'!$C:$C,[3]Indicators!X$33,'[3]Data(perSeason,perCrop)'!$R:$R,"IRRIGATED")</f>
        <v>#VALUE!</v>
      </c>
      <c r="Y66" s="60" t="e">
        <f>SUMIFS('[3]Data(perSeason,perCrop)'!$A:$A,'[3]Data(perSeason,perCrop)'!$S:$S,[3]Indicators!$A67,'[3]Data(perSeason,perCrop)'!$O:$O,[3]Indicators!Y$32,'[3]Data(perSeason,perCrop)'!$C:$C,[3]Indicators!Y$33,'[3]Data(perSeason,perCrop)'!$R:$R,"IRRIGATED")</f>
        <v>#VALUE!</v>
      </c>
      <c r="Z66" s="60" t="e">
        <f>SUMIFS('[3]Data(perSeason,perCrop)'!$A:$A,'[3]Data(perSeason,perCrop)'!$S:$S,[3]Indicators!$A67,'[3]Data(perSeason,perCrop)'!$O:$O,[3]Indicators!Z$32,'[3]Data(perSeason,perCrop)'!$C:$C,[3]Indicators!Z$33,'[3]Data(perSeason,perCrop)'!$R:$R,"IRRIGATED")</f>
        <v>#VALUE!</v>
      </c>
      <c r="AA66" s="60" t="e">
        <f>SUMIFS('[3]Data(perSeason,perCrop)'!$A:$A,'[3]Data(perSeason,perCrop)'!$S:$S,[3]Indicators!$A67,'[3]Data(perSeason,perCrop)'!$O:$O,[3]Indicators!AA$32,'[3]Data(perSeason,perCrop)'!$C:$C,[3]Indicators!AA$33,'[3]Data(perSeason,perCrop)'!$R:$R,"IRRIGATED")</f>
        <v>#VALUE!</v>
      </c>
      <c r="AB66" s="60" t="e">
        <f>SUMIFS('[3]Data(perSeason,perCrop)'!$A:$A,'[3]Data(perSeason,perCrop)'!$S:$S,[3]Indicators!$A67,'[3]Data(perSeason,perCrop)'!$O:$O,[3]Indicators!AB$32,'[3]Data(perSeason,perCrop)'!$C:$C,[3]Indicators!AB$33,'[3]Data(perSeason,perCrop)'!$R:$R,"IRRIGATED")</f>
        <v>#VALUE!</v>
      </c>
      <c r="AC66" s="60" t="e">
        <f>SUMIFS('[3]Data(perSeason,perCrop)'!$A:$A,'[3]Data(perSeason,perCrop)'!$S:$S,[3]Indicators!$A67,'[3]Data(perSeason,perCrop)'!$O:$O,[3]Indicators!AC$32,'[3]Data(perSeason,perCrop)'!$C:$C,[3]Indicators!AC$33,'[3]Data(perSeason,perCrop)'!$R:$R,"IRRIGATED")</f>
        <v>#VALUE!</v>
      </c>
      <c r="AD66" s="60" t="e">
        <f>SUMIFS('[3]Data(perSeason,perCrop)'!$A:$A,'[3]Data(perSeason,perCrop)'!$S:$S,[3]Indicators!$A67,'[3]Data(perSeason,perCrop)'!$O:$O,[3]Indicators!AD$32,'[3]Data(perSeason,perCrop)'!$C:$C,[3]Indicators!AD$33,'[3]Data(perSeason,perCrop)'!$R:$R,"IRRIGATED")</f>
        <v>#VALUE!</v>
      </c>
      <c r="AE66" s="60" t="e">
        <f>SUMIFS('[3]Data(perSeason,perCrop)'!$A:$A,'[3]Data(perSeason,perCrop)'!$S:$S,[3]Indicators!$A67,'[3]Data(perSeason,perCrop)'!$O:$O,[3]Indicators!AE$32,'[3]Data(perSeason,perCrop)'!$C:$C,[3]Indicators!AE$33,'[3]Data(perSeason,perCrop)'!$R:$R,"IRRIGATED")</f>
        <v>#VALUE!</v>
      </c>
      <c r="AF66" s="60" t="e">
        <f>SUMIFS('[3]Data(perSeason,perCrop)'!$A:$A,'[3]Data(perSeason,perCrop)'!$S:$S,[3]Indicators!$A67,'[3]Data(perSeason,perCrop)'!$O:$O,[3]Indicators!AF$32,'[3]Data(perSeason,perCrop)'!$C:$C,[3]Indicators!AF$33,'[3]Data(perSeason,perCrop)'!$R:$R,"IRRIGATED")</f>
        <v>#VALUE!</v>
      </c>
    </row>
    <row r="67" spans="1:32" ht="18.75" x14ac:dyDescent="0.3">
      <c r="A67" s="42">
        <v>2022</v>
      </c>
      <c r="B67" s="60" t="e">
        <f>SUMIFS('[3]Data(perSeason,perCrop)'!$A:$A,'[3]Data(perSeason,perCrop)'!$S:$S,[3]Indicators!$A68,'[3]Data(perSeason,perCrop)'!$O:$O,[3]Indicators!B$32,'[3]Data(perSeason,perCrop)'!$C:$C,[3]Indicators!B$33,'[3]Data(perSeason,perCrop)'!$R:$R,"IRRIGATED")</f>
        <v>#VALUE!</v>
      </c>
      <c r="C67" s="60" t="e">
        <f>SUMIFS('[3]Data(perSeason,perCrop)'!$A:$A,'[3]Data(perSeason,perCrop)'!$S:$S,[3]Indicators!$A68,'[3]Data(perSeason,perCrop)'!$O:$O,[3]Indicators!C$32,'[3]Data(perSeason,perCrop)'!$C:$C,[3]Indicators!C$33,'[3]Data(perSeason,perCrop)'!$R:$R,"IRRIGATED")</f>
        <v>#VALUE!</v>
      </c>
      <c r="D67" s="60" t="e">
        <f>SUMIFS('[3]Data(perSeason,perCrop)'!$A:$A,'[3]Data(perSeason,perCrop)'!$S:$S,[3]Indicators!$A68,'[3]Data(perSeason,perCrop)'!$O:$O,[3]Indicators!D$32,'[3]Data(perSeason,perCrop)'!$C:$C,[3]Indicators!D$33,'[3]Data(perSeason,perCrop)'!$R:$R,"IRRIGATED")</f>
        <v>#VALUE!</v>
      </c>
      <c r="E67" s="60" t="e">
        <f>SUMIFS('[3]Data(perSeason,perCrop)'!$A:$A,'[3]Data(perSeason,perCrop)'!$S:$S,[3]Indicators!$A68,'[3]Data(perSeason,perCrop)'!$O:$O,[3]Indicators!E$32,'[3]Data(perSeason,perCrop)'!$C:$C,[3]Indicators!E$33,'[3]Data(perSeason,perCrop)'!$R:$R,"IRRIGATED")</f>
        <v>#VALUE!</v>
      </c>
      <c r="F67" s="60" t="e">
        <f>SUMIFS('[3]Data(perSeason,perCrop)'!$A:$A,'[3]Data(perSeason,perCrop)'!$S:$S,[3]Indicators!$A68,'[3]Data(perSeason,perCrop)'!$O:$O,[3]Indicators!F$32,'[3]Data(perSeason,perCrop)'!$C:$C,[3]Indicators!F$33,'[3]Data(perSeason,perCrop)'!$R:$R,"IRRIGATED")</f>
        <v>#VALUE!</v>
      </c>
      <c r="G67" s="60" t="e">
        <f>SUMIFS('[3]Data(perSeason,perCrop)'!$A:$A,'[3]Data(perSeason,perCrop)'!$S:$S,[3]Indicators!$A68,'[3]Data(perSeason,perCrop)'!$O:$O,[3]Indicators!G$32,'[3]Data(perSeason,perCrop)'!$C:$C,[3]Indicators!G$33,'[3]Data(perSeason,perCrop)'!$R:$R,"IRRIGATED")</f>
        <v>#VALUE!</v>
      </c>
      <c r="H67" s="60" t="e">
        <f>SUMIFS('[3]Data(perSeason,perCrop)'!$A:$A,'[3]Data(perSeason,perCrop)'!$S:$S,[3]Indicators!$A68,'[3]Data(perSeason,perCrop)'!$O:$O,[3]Indicators!H$32,'[3]Data(perSeason,perCrop)'!$C:$C,[3]Indicators!H$33,'[3]Data(perSeason,perCrop)'!$R:$R,"IRRIGATED")</f>
        <v>#VALUE!</v>
      </c>
      <c r="I67" s="60" t="e">
        <f>SUMIFS('[3]Data(perSeason,perCrop)'!$A:$A,'[3]Data(perSeason,perCrop)'!$S:$S,[3]Indicators!$A68,'[3]Data(perSeason,perCrop)'!$O:$O,[3]Indicators!I$32,'[3]Data(perSeason,perCrop)'!$C:$C,[3]Indicators!I$33,'[3]Data(perSeason,perCrop)'!$R:$R,"IRRIGATED")</f>
        <v>#VALUE!</v>
      </c>
      <c r="J67" s="60" t="e">
        <f>SUMIFS('[3]Data(perSeason,perCrop)'!$A:$A,'[3]Data(perSeason,perCrop)'!$S:$S,[3]Indicators!$A68,'[3]Data(perSeason,perCrop)'!$O:$O,[3]Indicators!J$32,'[3]Data(perSeason,perCrop)'!$C:$C,[3]Indicators!J$33,'[3]Data(perSeason,perCrop)'!$R:$R,"IRRIGATED")</f>
        <v>#VALUE!</v>
      </c>
      <c r="K67" s="60" t="e">
        <f>SUMIFS('[3]Data(perSeason,perCrop)'!$A:$A,'[3]Data(perSeason,perCrop)'!$S:$S,[3]Indicators!$A68,'[3]Data(perSeason,perCrop)'!$O:$O,[3]Indicators!K$32,'[3]Data(perSeason,perCrop)'!$C:$C,[3]Indicators!K$33,'[3]Data(perSeason,perCrop)'!$R:$R,"IRRIGATED")</f>
        <v>#VALUE!</v>
      </c>
      <c r="L67" s="60" t="e">
        <f>SUMIFS('[3]Data(perSeason,perCrop)'!$A:$A,'[3]Data(perSeason,perCrop)'!$S:$S,[3]Indicators!$A68,'[3]Data(perSeason,perCrop)'!$O:$O,[3]Indicators!L$32,'[3]Data(perSeason,perCrop)'!$C:$C,[3]Indicators!L$33,'[3]Data(perSeason,perCrop)'!$R:$R,"IRRIGATED")</f>
        <v>#VALUE!</v>
      </c>
      <c r="M67" s="60" t="e">
        <f>SUMIFS('[3]Data(perSeason,perCrop)'!$A:$A,'[3]Data(perSeason,perCrop)'!$S:$S,[3]Indicators!$A68,'[3]Data(perSeason,perCrop)'!$O:$O,[3]Indicators!M$32,'[3]Data(perSeason,perCrop)'!$C:$C,[3]Indicators!M$33,'[3]Data(perSeason,perCrop)'!$R:$R,"IRRIGATED")</f>
        <v>#VALUE!</v>
      </c>
      <c r="N67" s="60" t="e">
        <f>SUMIFS('[3]Data(perSeason,perCrop)'!$A:$A,'[3]Data(perSeason,perCrop)'!$S:$S,[3]Indicators!$A68,'[3]Data(perSeason,perCrop)'!$O:$O,[3]Indicators!N$32,'[3]Data(perSeason,perCrop)'!$C:$C,[3]Indicators!N$33,'[3]Data(perSeason,perCrop)'!$R:$R,"IRRIGATED")</f>
        <v>#VALUE!</v>
      </c>
      <c r="O67" s="60" t="e">
        <f>SUMIFS('[3]Data(perSeason,perCrop)'!$A:$A,'[3]Data(perSeason,perCrop)'!$S:$S,[3]Indicators!$A68,'[3]Data(perSeason,perCrop)'!$O:$O,[3]Indicators!O$32,'[3]Data(perSeason,perCrop)'!$C:$C,[3]Indicators!O$33,'[3]Data(perSeason,perCrop)'!$R:$R,"IRRIGATED")</f>
        <v>#VALUE!</v>
      </c>
      <c r="P67" s="60" t="e">
        <f>SUMIFS('[3]Data(perSeason,perCrop)'!$A:$A,'[3]Data(perSeason,perCrop)'!$S:$S,[3]Indicators!$A68,'[3]Data(perSeason,perCrop)'!$O:$O,[3]Indicators!P$32,'[3]Data(perSeason,perCrop)'!$C:$C,[3]Indicators!P$33,'[3]Data(perSeason,perCrop)'!$R:$R,"IRRIGATED")</f>
        <v>#VALUE!</v>
      </c>
      <c r="Q67" s="60" t="e">
        <f>SUMIFS('[3]Data(perSeason,perCrop)'!$A:$A,'[3]Data(perSeason,perCrop)'!$S:$S,[3]Indicators!$A68,'[3]Data(perSeason,perCrop)'!$O:$O,[3]Indicators!Q$32,'[3]Data(perSeason,perCrop)'!$C:$C,[3]Indicators!Q$33,'[3]Data(perSeason,perCrop)'!$R:$R,"IRRIGATED")</f>
        <v>#VALUE!</v>
      </c>
      <c r="R67" s="60" t="e">
        <f>SUMIFS('[3]Data(perSeason,perCrop)'!$A:$A,'[3]Data(perSeason,perCrop)'!$S:$S,[3]Indicators!$A68,'[3]Data(perSeason,perCrop)'!$O:$O,[3]Indicators!R$32,'[3]Data(perSeason,perCrop)'!$C:$C,[3]Indicators!R$33,'[3]Data(perSeason,perCrop)'!$R:$R,"IRRIGATED")</f>
        <v>#VALUE!</v>
      </c>
      <c r="S67" s="60" t="e">
        <f>SUMIFS('[3]Data(perSeason,perCrop)'!$A:$A,'[3]Data(perSeason,perCrop)'!$S:$S,[3]Indicators!$A68,'[3]Data(perSeason,perCrop)'!$O:$O,[3]Indicators!S$32,'[3]Data(perSeason,perCrop)'!$C:$C,[3]Indicators!S$33,'[3]Data(perSeason,perCrop)'!$R:$R,"IRRIGATED")</f>
        <v>#VALUE!</v>
      </c>
      <c r="T67" s="60" t="e">
        <f>SUMIFS('[3]Data(perSeason,perCrop)'!$A:$A,'[3]Data(perSeason,perCrop)'!$S:$S,[3]Indicators!$A68,'[3]Data(perSeason,perCrop)'!$O:$O,[3]Indicators!T$32,'[3]Data(perSeason,perCrop)'!$C:$C,[3]Indicators!T$33,'[3]Data(perSeason,perCrop)'!$R:$R,"IRRIGATED")</f>
        <v>#VALUE!</v>
      </c>
      <c r="U67" s="60" t="e">
        <f>SUMIFS('[3]Data(perSeason,perCrop)'!$A:$A,'[3]Data(perSeason,perCrop)'!$S:$S,[3]Indicators!$A68,'[3]Data(perSeason,perCrop)'!$O:$O,[3]Indicators!U$32,'[3]Data(perSeason,perCrop)'!$C:$C,[3]Indicators!U$33,'[3]Data(perSeason,perCrop)'!$R:$R,"IRRIGATED")</f>
        <v>#VALUE!</v>
      </c>
      <c r="V67" s="60" t="e">
        <f>SUMIFS('[3]Data(perSeason,perCrop)'!$A:$A,'[3]Data(perSeason,perCrop)'!$S:$S,[3]Indicators!$A68,'[3]Data(perSeason,perCrop)'!$O:$O,[3]Indicators!V$32,'[3]Data(perSeason,perCrop)'!$C:$C,[3]Indicators!V$33,'[3]Data(perSeason,perCrop)'!$R:$R,"IRRIGATED")</f>
        <v>#VALUE!</v>
      </c>
      <c r="W67" s="60" t="e">
        <f>SUMIFS('[3]Data(perSeason,perCrop)'!$A:$A,'[3]Data(perSeason,perCrop)'!$S:$S,[3]Indicators!$A68,'[3]Data(perSeason,perCrop)'!$O:$O,[3]Indicators!W$32,'[3]Data(perSeason,perCrop)'!$C:$C,[3]Indicators!W$33,'[3]Data(perSeason,perCrop)'!$R:$R,"IRRIGATED")</f>
        <v>#VALUE!</v>
      </c>
      <c r="X67" s="60" t="e">
        <f>SUMIFS('[3]Data(perSeason,perCrop)'!$A:$A,'[3]Data(perSeason,perCrop)'!$S:$S,[3]Indicators!$A68,'[3]Data(perSeason,perCrop)'!$O:$O,[3]Indicators!X$32,'[3]Data(perSeason,perCrop)'!$C:$C,[3]Indicators!X$33,'[3]Data(perSeason,perCrop)'!$R:$R,"IRRIGATED")</f>
        <v>#VALUE!</v>
      </c>
      <c r="Y67" s="60" t="e">
        <f>SUMIFS('[3]Data(perSeason,perCrop)'!$A:$A,'[3]Data(perSeason,perCrop)'!$S:$S,[3]Indicators!$A68,'[3]Data(perSeason,perCrop)'!$O:$O,[3]Indicators!Y$32,'[3]Data(perSeason,perCrop)'!$C:$C,[3]Indicators!Y$33,'[3]Data(perSeason,perCrop)'!$R:$R,"IRRIGATED")</f>
        <v>#VALUE!</v>
      </c>
      <c r="Z67" s="60" t="e">
        <f>SUMIFS('[3]Data(perSeason,perCrop)'!$A:$A,'[3]Data(perSeason,perCrop)'!$S:$S,[3]Indicators!$A68,'[3]Data(perSeason,perCrop)'!$O:$O,[3]Indicators!Z$32,'[3]Data(perSeason,perCrop)'!$C:$C,[3]Indicators!Z$33,'[3]Data(perSeason,perCrop)'!$R:$R,"IRRIGATED")</f>
        <v>#VALUE!</v>
      </c>
      <c r="AA67" s="60" t="e">
        <f>SUMIFS('[3]Data(perSeason,perCrop)'!$A:$A,'[3]Data(perSeason,perCrop)'!$S:$S,[3]Indicators!$A68,'[3]Data(perSeason,perCrop)'!$O:$O,[3]Indicators!AA$32,'[3]Data(perSeason,perCrop)'!$C:$C,[3]Indicators!AA$33,'[3]Data(perSeason,perCrop)'!$R:$R,"IRRIGATED")</f>
        <v>#VALUE!</v>
      </c>
      <c r="AB67" s="60" t="e">
        <f>SUMIFS('[3]Data(perSeason,perCrop)'!$A:$A,'[3]Data(perSeason,perCrop)'!$S:$S,[3]Indicators!$A68,'[3]Data(perSeason,perCrop)'!$O:$O,[3]Indicators!AB$32,'[3]Data(perSeason,perCrop)'!$C:$C,[3]Indicators!AB$33,'[3]Data(perSeason,perCrop)'!$R:$R,"IRRIGATED")</f>
        <v>#VALUE!</v>
      </c>
      <c r="AC67" s="60" t="e">
        <f>SUMIFS('[3]Data(perSeason,perCrop)'!$A:$A,'[3]Data(perSeason,perCrop)'!$S:$S,[3]Indicators!$A68,'[3]Data(perSeason,perCrop)'!$O:$O,[3]Indicators!AC$32,'[3]Data(perSeason,perCrop)'!$C:$C,[3]Indicators!AC$33,'[3]Data(perSeason,perCrop)'!$R:$R,"IRRIGATED")</f>
        <v>#VALUE!</v>
      </c>
      <c r="AD67" s="60" t="e">
        <f>SUMIFS('[3]Data(perSeason,perCrop)'!$A:$A,'[3]Data(perSeason,perCrop)'!$S:$S,[3]Indicators!$A68,'[3]Data(perSeason,perCrop)'!$O:$O,[3]Indicators!AD$32,'[3]Data(perSeason,perCrop)'!$C:$C,[3]Indicators!AD$33,'[3]Data(perSeason,perCrop)'!$R:$R,"IRRIGATED")</f>
        <v>#VALUE!</v>
      </c>
      <c r="AE67" s="60" t="e">
        <f>SUMIFS('[3]Data(perSeason,perCrop)'!$A:$A,'[3]Data(perSeason,perCrop)'!$S:$S,[3]Indicators!$A68,'[3]Data(perSeason,perCrop)'!$O:$O,[3]Indicators!AE$32,'[3]Data(perSeason,perCrop)'!$C:$C,[3]Indicators!AE$33,'[3]Data(perSeason,perCrop)'!$R:$R,"IRRIGATED")</f>
        <v>#VALUE!</v>
      </c>
      <c r="AF67" s="60" t="e">
        <f>SUMIFS('[3]Data(perSeason,perCrop)'!$A:$A,'[3]Data(perSeason,perCrop)'!$S:$S,[3]Indicators!$A68,'[3]Data(perSeason,perCrop)'!$O:$O,[3]Indicators!AF$32,'[3]Data(perSeason,perCrop)'!$C:$C,[3]Indicators!AF$33,'[3]Data(perSeason,perCrop)'!$R:$R,"IRRIGATED")</f>
        <v>#VALUE!</v>
      </c>
    </row>
    <row r="68" spans="1:32" ht="18.75" x14ac:dyDescent="0.3">
      <c r="A68" s="47" t="s">
        <v>184</v>
      </c>
      <c r="B68" s="48" t="e">
        <f>AVERAGE(B63:B67)</f>
        <v>#VALUE!</v>
      </c>
      <c r="C68" s="48" t="e">
        <f t="shared" ref="C68:AF68" si="4">AVERAGE(C63:C67)</f>
        <v>#VALUE!</v>
      </c>
      <c r="D68" s="48" t="e">
        <f t="shared" si="4"/>
        <v>#VALUE!</v>
      </c>
      <c r="E68" s="48" t="e">
        <f t="shared" si="4"/>
        <v>#VALUE!</v>
      </c>
      <c r="F68" s="48" t="e">
        <f t="shared" si="4"/>
        <v>#VALUE!</v>
      </c>
      <c r="G68" s="48" t="e">
        <f t="shared" si="4"/>
        <v>#VALUE!</v>
      </c>
      <c r="H68" s="48" t="e">
        <f t="shared" si="4"/>
        <v>#VALUE!</v>
      </c>
      <c r="I68" s="48" t="e">
        <f t="shared" si="4"/>
        <v>#VALUE!</v>
      </c>
      <c r="J68" s="48" t="e">
        <f t="shared" si="4"/>
        <v>#VALUE!</v>
      </c>
      <c r="K68" s="48" t="e">
        <f t="shared" si="4"/>
        <v>#VALUE!</v>
      </c>
      <c r="L68" s="48" t="e">
        <f t="shared" si="4"/>
        <v>#VALUE!</v>
      </c>
      <c r="M68" s="48" t="e">
        <f t="shared" si="4"/>
        <v>#VALUE!</v>
      </c>
      <c r="N68" s="48" t="e">
        <f t="shared" si="4"/>
        <v>#VALUE!</v>
      </c>
      <c r="O68" s="48" t="e">
        <f t="shared" si="4"/>
        <v>#VALUE!</v>
      </c>
      <c r="P68" s="48" t="e">
        <f t="shared" si="4"/>
        <v>#VALUE!</v>
      </c>
      <c r="Q68" s="48" t="e">
        <f t="shared" si="4"/>
        <v>#VALUE!</v>
      </c>
      <c r="R68" s="48" t="e">
        <f t="shared" si="4"/>
        <v>#VALUE!</v>
      </c>
      <c r="S68" s="48" t="e">
        <f t="shared" si="4"/>
        <v>#VALUE!</v>
      </c>
      <c r="T68" s="48" t="e">
        <f t="shared" si="4"/>
        <v>#VALUE!</v>
      </c>
      <c r="U68" s="48" t="e">
        <f t="shared" si="4"/>
        <v>#VALUE!</v>
      </c>
      <c r="V68" s="48" t="e">
        <f t="shared" si="4"/>
        <v>#VALUE!</v>
      </c>
      <c r="W68" s="48" t="e">
        <f t="shared" si="4"/>
        <v>#VALUE!</v>
      </c>
      <c r="X68" s="48" t="e">
        <f t="shared" si="4"/>
        <v>#VALUE!</v>
      </c>
      <c r="Y68" s="48" t="e">
        <f t="shared" si="4"/>
        <v>#VALUE!</v>
      </c>
      <c r="Z68" s="48" t="e">
        <f t="shared" si="4"/>
        <v>#VALUE!</v>
      </c>
      <c r="AA68" s="48" t="e">
        <f t="shared" si="4"/>
        <v>#VALUE!</v>
      </c>
      <c r="AB68" s="48" t="e">
        <f t="shared" si="4"/>
        <v>#VALUE!</v>
      </c>
      <c r="AC68" s="48" t="e">
        <f t="shared" si="4"/>
        <v>#VALUE!</v>
      </c>
      <c r="AD68" s="48" t="e">
        <f t="shared" si="4"/>
        <v>#VALUE!</v>
      </c>
      <c r="AE68" s="48" t="e">
        <f t="shared" si="4"/>
        <v>#VALUE!</v>
      </c>
      <c r="AF68" s="48" t="e">
        <f t="shared" si="4"/>
        <v>#VALUE!</v>
      </c>
    </row>
    <row r="69" spans="1:32" ht="18.75" x14ac:dyDescent="0.3">
      <c r="A69" s="47" t="s">
        <v>185</v>
      </c>
      <c r="B69" s="48" t="e">
        <f>B68/SUM($B68:$AF68)</f>
        <v>#VALUE!</v>
      </c>
      <c r="C69" s="52" t="e">
        <f>C68/SUM($B68:$Q68)</f>
        <v>#VALUE!</v>
      </c>
      <c r="D69" s="48" t="e">
        <f t="shared" ref="D69:AF69" si="5">D68/SUM($B68:$Q68)</f>
        <v>#VALUE!</v>
      </c>
      <c r="E69" s="48" t="e">
        <f t="shared" si="5"/>
        <v>#VALUE!</v>
      </c>
      <c r="F69" s="48" t="e">
        <f t="shared" si="5"/>
        <v>#VALUE!</v>
      </c>
      <c r="G69" s="48" t="e">
        <f t="shared" si="5"/>
        <v>#VALUE!</v>
      </c>
      <c r="H69" s="48" t="e">
        <f t="shared" si="5"/>
        <v>#VALUE!</v>
      </c>
      <c r="I69" s="48" t="e">
        <f t="shared" si="5"/>
        <v>#VALUE!</v>
      </c>
      <c r="J69" s="48" t="e">
        <f t="shared" si="5"/>
        <v>#VALUE!</v>
      </c>
      <c r="K69" s="48" t="e">
        <f t="shared" si="5"/>
        <v>#VALUE!</v>
      </c>
      <c r="L69" s="48" t="e">
        <f t="shared" si="5"/>
        <v>#VALUE!</v>
      </c>
      <c r="M69" s="48" t="e">
        <f t="shared" si="5"/>
        <v>#VALUE!</v>
      </c>
      <c r="N69" s="48" t="e">
        <f t="shared" si="5"/>
        <v>#VALUE!</v>
      </c>
      <c r="O69" s="52" t="e">
        <f t="shared" si="5"/>
        <v>#VALUE!</v>
      </c>
      <c r="P69" s="52" t="e">
        <f t="shared" si="5"/>
        <v>#VALUE!</v>
      </c>
      <c r="Q69" s="48" t="e">
        <f t="shared" si="5"/>
        <v>#VALUE!</v>
      </c>
      <c r="R69" s="61" t="e">
        <f t="shared" si="5"/>
        <v>#VALUE!</v>
      </c>
      <c r="S69" s="48" t="e">
        <f t="shared" si="5"/>
        <v>#VALUE!</v>
      </c>
      <c r="T69" s="48" t="e">
        <f t="shared" si="5"/>
        <v>#VALUE!</v>
      </c>
      <c r="U69" s="52" t="e">
        <f t="shared" si="5"/>
        <v>#VALUE!</v>
      </c>
      <c r="V69" s="48" t="e">
        <f t="shared" si="5"/>
        <v>#VALUE!</v>
      </c>
      <c r="W69" s="48" t="e">
        <f t="shared" si="5"/>
        <v>#VALUE!</v>
      </c>
      <c r="X69" s="48" t="e">
        <f t="shared" si="5"/>
        <v>#VALUE!</v>
      </c>
      <c r="Y69" s="48" t="e">
        <f t="shared" si="5"/>
        <v>#VALUE!</v>
      </c>
      <c r="Z69" s="48" t="e">
        <f t="shared" si="5"/>
        <v>#VALUE!</v>
      </c>
      <c r="AA69" s="48" t="e">
        <f t="shared" si="5"/>
        <v>#VALUE!</v>
      </c>
      <c r="AB69" s="48" t="e">
        <f t="shared" si="5"/>
        <v>#VALUE!</v>
      </c>
      <c r="AC69" s="48" t="e">
        <f t="shared" si="5"/>
        <v>#VALUE!</v>
      </c>
      <c r="AD69" s="48" t="e">
        <f t="shared" si="5"/>
        <v>#VALUE!</v>
      </c>
      <c r="AE69" s="48" t="e">
        <f t="shared" si="5"/>
        <v>#VALUE!</v>
      </c>
      <c r="AF69" s="48" t="e">
        <f t="shared" si="5"/>
        <v>#VALUE!</v>
      </c>
    </row>
    <row r="72" spans="1:32" ht="18.75" x14ac:dyDescent="0.3">
      <c r="A72" s="42" t="s">
        <v>186</v>
      </c>
      <c r="B72" s="42">
        <v>1</v>
      </c>
      <c r="C72" s="42">
        <v>2</v>
      </c>
      <c r="D72" s="42">
        <v>3</v>
      </c>
      <c r="E72" s="42">
        <v>4</v>
      </c>
      <c r="F72" s="42">
        <v>5</v>
      </c>
      <c r="G72" s="42">
        <v>6</v>
      </c>
      <c r="H72" s="42">
        <v>7</v>
      </c>
      <c r="I72" s="42">
        <v>8</v>
      </c>
      <c r="J72" s="42">
        <v>9</v>
      </c>
      <c r="K72" s="42">
        <v>10</v>
      </c>
      <c r="L72" s="42">
        <v>11</v>
      </c>
      <c r="M72" s="42">
        <v>12</v>
      </c>
      <c r="N72" s="42">
        <v>13</v>
      </c>
      <c r="O72" s="42">
        <v>14</v>
      </c>
      <c r="P72" s="42">
        <v>15</v>
      </c>
      <c r="Q72" s="42">
        <v>16</v>
      </c>
      <c r="R72" s="42">
        <v>17</v>
      </c>
      <c r="S72" s="42">
        <v>18</v>
      </c>
      <c r="T72" s="42">
        <v>19</v>
      </c>
      <c r="U72" s="42">
        <v>20</v>
      </c>
      <c r="V72" s="42">
        <v>21</v>
      </c>
      <c r="W72" s="42">
        <v>22</v>
      </c>
      <c r="X72" s="42">
        <v>23</v>
      </c>
      <c r="Y72" s="42">
        <v>24</v>
      </c>
      <c r="Z72" s="42">
        <v>25</v>
      </c>
      <c r="AA72" s="42">
        <v>40</v>
      </c>
      <c r="AB72" s="42">
        <v>41</v>
      </c>
      <c r="AC72" s="42">
        <v>42</v>
      </c>
      <c r="AD72" s="42">
        <v>43</v>
      </c>
      <c r="AE72" s="42">
        <v>44</v>
      </c>
      <c r="AF72" s="42">
        <v>45</v>
      </c>
    </row>
    <row r="73" spans="1:32" ht="18.75" x14ac:dyDescent="0.3">
      <c r="A73" s="42">
        <v>2018</v>
      </c>
      <c r="B73" s="62" t="e">
        <f>IF(B63&gt;0,1-AVERAGEIFS('[3]Data(perSeason,perCrop)'!$E:$E,'[3]Data(perSeason,perCrop)'!$S:$S,$A63,'[3]Data(perSeason,perCrop)'!$O:$O,B60,'[3]Data(perSeason,perCrop)'!$C:$C,B$32,'[3]Data(perSeason,perCrop)'!$R:$R,"IRRIGATED")/AVERAGEIFS('[3]Data(perSeason,perCrop)'!$F:$F,'[3]Data(perSeason,perCrop)'!$S:$S,$A63,'[3]Data(perSeason,perCrop)'!$O:$O,B$31,'[3]Data(perSeason,perCrop)'!$C:$C,[3]Indicators!B$3,'[3]Data(perSeason,perCrop)'!$R:$R,"IRRIGATED"),"")</f>
        <v>#VALUE!</v>
      </c>
      <c r="C73" s="62" t="e">
        <f>IF(C63&gt;0,1-AVERAGEIFS('[3]Data(perSeason,perCrop)'!$E:$E,'[3]Data(perSeason,perCrop)'!$S:$S,$A63,'[3]Data(perSeason,perCrop)'!$O:$O,C60,'[3]Data(perSeason,perCrop)'!$C:$C,C$32,'[3]Data(perSeason,perCrop)'!$R:$R,"IRRIGATED")/AVERAGEIFS('[3]Data(perSeason,perCrop)'!$F:$F,'[3]Data(perSeason,perCrop)'!$S:$S,$A63,'[3]Data(perSeason,perCrop)'!$O:$O,C$31,'[3]Data(perSeason,perCrop)'!$C:$C,[3]Indicators!C$3,'[3]Data(perSeason,perCrop)'!$R:$R,"IRRIGATED"),"")</f>
        <v>#VALUE!</v>
      </c>
      <c r="D73" s="62" t="e">
        <f>IF(D63&gt;0,1-AVERAGEIFS('[3]Data(perSeason,perCrop)'!$E:$E,'[3]Data(perSeason,perCrop)'!$S:$S,$A63,'[3]Data(perSeason,perCrop)'!$O:$O,D60,'[3]Data(perSeason,perCrop)'!$C:$C,D$32,'[3]Data(perSeason,perCrop)'!$R:$R,"IRRIGATED")/AVERAGEIFS('[3]Data(perSeason,perCrop)'!$F:$F,'[3]Data(perSeason,perCrop)'!$S:$S,$A63,'[3]Data(perSeason,perCrop)'!$O:$O,D$31,'[3]Data(perSeason,perCrop)'!$C:$C,[3]Indicators!D$3,'[3]Data(perSeason,perCrop)'!$R:$R,"IRRIGATED"),"")</f>
        <v>#VALUE!</v>
      </c>
      <c r="E73" s="62" t="e">
        <f>IF(E63&gt;0,1-AVERAGEIFS('[3]Data(perSeason,perCrop)'!$E:$E,'[3]Data(perSeason,perCrop)'!$S:$S,$A63,'[3]Data(perSeason,perCrop)'!$O:$O,E60,'[3]Data(perSeason,perCrop)'!$C:$C,E$32,'[3]Data(perSeason,perCrop)'!$R:$R,"IRRIGATED")/AVERAGEIFS('[3]Data(perSeason,perCrop)'!$F:$F,'[3]Data(perSeason,perCrop)'!$S:$S,$A63,'[3]Data(perSeason,perCrop)'!$O:$O,E$31,'[3]Data(perSeason,perCrop)'!$C:$C,[3]Indicators!E$3,'[3]Data(perSeason,perCrop)'!$R:$R,"IRRIGATED"),"")</f>
        <v>#VALUE!</v>
      </c>
      <c r="F73" s="62" t="e">
        <f>IF(F63&gt;0,1-AVERAGEIFS('[3]Data(perSeason,perCrop)'!$E:$E,'[3]Data(perSeason,perCrop)'!$S:$S,$A63,'[3]Data(perSeason,perCrop)'!$O:$O,F60,'[3]Data(perSeason,perCrop)'!$C:$C,F$32,'[3]Data(perSeason,perCrop)'!$R:$R,"IRRIGATED")/AVERAGEIFS('[3]Data(perSeason,perCrop)'!$F:$F,'[3]Data(perSeason,perCrop)'!$S:$S,$A63,'[3]Data(perSeason,perCrop)'!$O:$O,F$31,'[3]Data(perSeason,perCrop)'!$C:$C,[3]Indicators!F$3,'[3]Data(perSeason,perCrop)'!$R:$R,"IRRIGATED"),"")</f>
        <v>#VALUE!</v>
      </c>
      <c r="G73" s="62" t="e">
        <f>IF(G63&gt;0,1-AVERAGEIFS('[3]Data(perSeason,perCrop)'!$E:$E,'[3]Data(perSeason,perCrop)'!$S:$S,$A63,'[3]Data(perSeason,perCrop)'!$O:$O,G60,'[3]Data(perSeason,perCrop)'!$C:$C,G$32,'[3]Data(perSeason,perCrop)'!$R:$R,"IRRIGATED")/AVERAGEIFS('[3]Data(perSeason,perCrop)'!$F:$F,'[3]Data(perSeason,perCrop)'!$S:$S,$A63,'[3]Data(perSeason,perCrop)'!$O:$O,G$31,'[3]Data(perSeason,perCrop)'!$C:$C,[3]Indicators!G$3,'[3]Data(perSeason,perCrop)'!$R:$R,"IRRIGATED"),"")</f>
        <v>#VALUE!</v>
      </c>
      <c r="H73" s="62" t="e">
        <f>IF(H63&gt;0,1-AVERAGEIFS('[3]Data(perSeason,perCrop)'!$E:$E,'[3]Data(perSeason,perCrop)'!$S:$S,$A63,'[3]Data(perSeason,perCrop)'!$O:$O,H60,'[3]Data(perSeason,perCrop)'!$C:$C,H$32,'[3]Data(perSeason,perCrop)'!$R:$R,"IRRIGATED")/AVERAGEIFS('[3]Data(perSeason,perCrop)'!$F:$F,'[3]Data(perSeason,perCrop)'!$S:$S,$A63,'[3]Data(perSeason,perCrop)'!$O:$O,H$31,'[3]Data(perSeason,perCrop)'!$C:$C,[3]Indicators!H$3,'[3]Data(perSeason,perCrop)'!$R:$R,"IRRIGATED"),"")</f>
        <v>#VALUE!</v>
      </c>
      <c r="I73" s="62" t="e">
        <f>IF(I63&gt;0,1-AVERAGEIFS('[3]Data(perSeason,perCrop)'!$E:$E,'[3]Data(perSeason,perCrop)'!$S:$S,$A63,'[3]Data(perSeason,perCrop)'!$O:$O,I60,'[3]Data(perSeason,perCrop)'!$C:$C,I$32,'[3]Data(perSeason,perCrop)'!$R:$R,"IRRIGATED")/AVERAGEIFS('[3]Data(perSeason,perCrop)'!$F:$F,'[3]Data(perSeason,perCrop)'!$S:$S,$A63,'[3]Data(perSeason,perCrop)'!$O:$O,I$31,'[3]Data(perSeason,perCrop)'!$C:$C,[3]Indicators!I$3,'[3]Data(perSeason,perCrop)'!$R:$R,"IRRIGATED"),"")</f>
        <v>#VALUE!</v>
      </c>
      <c r="J73" s="62" t="e">
        <f>IF(J63&gt;0,1-AVERAGEIFS('[3]Data(perSeason,perCrop)'!$E:$E,'[3]Data(perSeason,perCrop)'!$S:$S,$A63,'[3]Data(perSeason,perCrop)'!$O:$O,J60,'[3]Data(perSeason,perCrop)'!$C:$C,J$32,'[3]Data(perSeason,perCrop)'!$R:$R,"IRRIGATED")/AVERAGEIFS('[3]Data(perSeason,perCrop)'!$F:$F,'[3]Data(perSeason,perCrop)'!$S:$S,$A63,'[3]Data(perSeason,perCrop)'!$O:$O,J$31,'[3]Data(perSeason,perCrop)'!$C:$C,[3]Indicators!J$3,'[3]Data(perSeason,perCrop)'!$R:$R,"IRRIGATED"),"")</f>
        <v>#VALUE!</v>
      </c>
      <c r="K73" s="62" t="e">
        <f>IF(K63&gt;0,1-AVERAGEIFS('[3]Data(perSeason,perCrop)'!$E:$E,'[3]Data(perSeason,perCrop)'!$S:$S,$A63,'[3]Data(perSeason,perCrop)'!$O:$O,K60,'[3]Data(perSeason,perCrop)'!$C:$C,K$32,'[3]Data(perSeason,perCrop)'!$R:$R,"IRRIGATED")/AVERAGEIFS('[3]Data(perSeason,perCrop)'!$F:$F,'[3]Data(perSeason,perCrop)'!$S:$S,$A63,'[3]Data(perSeason,perCrop)'!$O:$O,K$31,'[3]Data(perSeason,perCrop)'!$C:$C,[3]Indicators!K$3,'[3]Data(perSeason,perCrop)'!$R:$R,"IRRIGATED"),"")</f>
        <v>#VALUE!</v>
      </c>
      <c r="L73" s="62" t="e">
        <f>IF(L63&gt;0,1-AVERAGEIFS('[3]Data(perSeason,perCrop)'!$E:$E,'[3]Data(perSeason,perCrop)'!$S:$S,$A63,'[3]Data(perSeason,perCrop)'!$O:$O,L60,'[3]Data(perSeason,perCrop)'!$C:$C,L$32,'[3]Data(perSeason,perCrop)'!$R:$R,"IRRIGATED")/AVERAGEIFS('[3]Data(perSeason,perCrop)'!$F:$F,'[3]Data(perSeason,perCrop)'!$S:$S,$A63,'[3]Data(perSeason,perCrop)'!$O:$O,L$31,'[3]Data(perSeason,perCrop)'!$C:$C,[3]Indicators!L$3,'[3]Data(perSeason,perCrop)'!$R:$R,"IRRIGATED"),"")</f>
        <v>#VALUE!</v>
      </c>
      <c r="M73" s="62" t="e">
        <f>IF(M63&gt;0,1-AVERAGEIFS('[3]Data(perSeason,perCrop)'!$E:$E,'[3]Data(perSeason,perCrop)'!$S:$S,$A63,'[3]Data(perSeason,perCrop)'!$O:$O,M60,'[3]Data(perSeason,perCrop)'!$C:$C,M$32,'[3]Data(perSeason,perCrop)'!$R:$R,"IRRIGATED")/AVERAGEIFS('[3]Data(perSeason,perCrop)'!$F:$F,'[3]Data(perSeason,perCrop)'!$S:$S,$A63,'[3]Data(perSeason,perCrop)'!$O:$O,M$31,'[3]Data(perSeason,perCrop)'!$C:$C,[3]Indicators!M$3,'[3]Data(perSeason,perCrop)'!$R:$R,"IRRIGATED"),"")</f>
        <v>#VALUE!</v>
      </c>
      <c r="N73" s="62" t="e">
        <f>IF(N63&gt;0,1-AVERAGEIFS('[3]Data(perSeason,perCrop)'!$E:$E,'[3]Data(perSeason,perCrop)'!$S:$S,$A63,'[3]Data(perSeason,perCrop)'!$O:$O,N60,'[3]Data(perSeason,perCrop)'!$C:$C,N$32,'[3]Data(perSeason,perCrop)'!$R:$R,"IRRIGATED")/AVERAGEIFS('[3]Data(perSeason,perCrop)'!$F:$F,'[3]Data(perSeason,perCrop)'!$S:$S,$A63,'[3]Data(perSeason,perCrop)'!$O:$O,N$31,'[3]Data(perSeason,perCrop)'!$C:$C,[3]Indicators!N$3,'[3]Data(perSeason,perCrop)'!$R:$R,"IRRIGATED"),"")</f>
        <v>#VALUE!</v>
      </c>
      <c r="O73" s="62" t="e">
        <f>IF(O63&gt;0,1-AVERAGEIFS('[3]Data(perSeason,perCrop)'!$E:$E,'[3]Data(perSeason,perCrop)'!$S:$S,$A63,'[3]Data(perSeason,perCrop)'!$O:$O,O60,'[3]Data(perSeason,perCrop)'!$C:$C,O$32,'[3]Data(perSeason,perCrop)'!$R:$R,"IRRIGATED")/AVERAGEIFS('[3]Data(perSeason,perCrop)'!$F:$F,'[3]Data(perSeason,perCrop)'!$S:$S,$A63,'[3]Data(perSeason,perCrop)'!$O:$O,O$31,'[3]Data(perSeason,perCrop)'!$C:$C,[3]Indicators!O$3,'[3]Data(perSeason,perCrop)'!$R:$R,"IRRIGATED"),"")</f>
        <v>#VALUE!</v>
      </c>
      <c r="P73" s="62" t="e">
        <f>IF(P63&gt;0,1-AVERAGEIFS('[3]Data(perSeason,perCrop)'!$E:$E,'[3]Data(perSeason,perCrop)'!$S:$S,$A63,'[3]Data(perSeason,perCrop)'!$O:$O,P60,'[3]Data(perSeason,perCrop)'!$C:$C,P$32,'[3]Data(perSeason,perCrop)'!$R:$R,"IRRIGATED")/AVERAGEIFS('[3]Data(perSeason,perCrop)'!$F:$F,'[3]Data(perSeason,perCrop)'!$S:$S,$A63,'[3]Data(perSeason,perCrop)'!$O:$O,P$31,'[3]Data(perSeason,perCrop)'!$C:$C,[3]Indicators!P$3,'[3]Data(perSeason,perCrop)'!$R:$R,"IRRIGATED"),"")</f>
        <v>#VALUE!</v>
      </c>
      <c r="Q73" s="62" t="e">
        <f>IF(Q63&gt;0,1-AVERAGEIFS('[3]Data(perSeason,perCrop)'!$E:$E,'[3]Data(perSeason,perCrop)'!$S:$S,$A63,'[3]Data(perSeason,perCrop)'!$O:$O,Q60,'[3]Data(perSeason,perCrop)'!$C:$C,Q$32,'[3]Data(perSeason,perCrop)'!$R:$R,"IRRIGATED")/AVERAGEIFS('[3]Data(perSeason,perCrop)'!$F:$F,'[3]Data(perSeason,perCrop)'!$S:$S,$A63,'[3]Data(perSeason,perCrop)'!$O:$O,Q$31,'[3]Data(perSeason,perCrop)'!$C:$C,[3]Indicators!Q$3,'[3]Data(perSeason,perCrop)'!$R:$R,"IRRIGATED"),"")</f>
        <v>#VALUE!</v>
      </c>
      <c r="R73" s="62" t="e">
        <f>IF(R63&gt;0,1-AVERAGEIFS('[3]Data(perSeason,perCrop)'!$E:$E,'[3]Data(perSeason,perCrop)'!$S:$S,$A63,'[3]Data(perSeason,perCrop)'!$O:$O,R60,'[3]Data(perSeason,perCrop)'!$C:$C,R$32,'[3]Data(perSeason,perCrop)'!$R:$R,"IRRIGATED")/AVERAGEIFS('[3]Data(perSeason,perCrop)'!$F:$F,'[3]Data(perSeason,perCrop)'!$S:$S,$A63,'[3]Data(perSeason,perCrop)'!$O:$O,R$31,'[3]Data(perSeason,perCrop)'!$C:$C,[3]Indicators!R$3,'[3]Data(perSeason,perCrop)'!$R:$R,"IRRIGATED"),"")</f>
        <v>#VALUE!</v>
      </c>
      <c r="S73" s="62" t="e">
        <f>IF(S63&gt;0,1-AVERAGEIFS('[3]Data(perSeason,perCrop)'!$E:$E,'[3]Data(perSeason,perCrop)'!$S:$S,$A63,'[3]Data(perSeason,perCrop)'!$O:$O,S60,'[3]Data(perSeason,perCrop)'!$C:$C,S$32,'[3]Data(perSeason,perCrop)'!$R:$R,"IRRIGATED")/AVERAGEIFS('[3]Data(perSeason,perCrop)'!$F:$F,'[3]Data(perSeason,perCrop)'!$S:$S,$A63,'[3]Data(perSeason,perCrop)'!$O:$O,S$31,'[3]Data(perSeason,perCrop)'!$C:$C,[3]Indicators!S$3,'[3]Data(perSeason,perCrop)'!$R:$R,"IRRIGATED"),"")</f>
        <v>#VALUE!</v>
      </c>
      <c r="T73" s="62" t="e">
        <f>IF(T63&gt;0,1-AVERAGEIFS('[3]Data(perSeason,perCrop)'!$E:$E,'[3]Data(perSeason,perCrop)'!$S:$S,$A63,'[3]Data(perSeason,perCrop)'!$O:$O,T60,'[3]Data(perSeason,perCrop)'!$C:$C,T$32,'[3]Data(perSeason,perCrop)'!$R:$R,"IRRIGATED")/AVERAGEIFS('[3]Data(perSeason,perCrop)'!$F:$F,'[3]Data(perSeason,perCrop)'!$S:$S,$A63,'[3]Data(perSeason,perCrop)'!$O:$O,T$31,'[3]Data(perSeason,perCrop)'!$C:$C,[3]Indicators!T$3,'[3]Data(perSeason,perCrop)'!$R:$R,"IRRIGATED"),"")</f>
        <v>#VALUE!</v>
      </c>
      <c r="U73" s="62" t="e">
        <f>IF(U63&gt;0,1-AVERAGEIFS('[3]Data(perSeason,perCrop)'!$E:$E,'[3]Data(perSeason,perCrop)'!$S:$S,$A63,'[3]Data(perSeason,perCrop)'!$O:$O,U60,'[3]Data(perSeason,perCrop)'!$C:$C,U$32,'[3]Data(perSeason,perCrop)'!$R:$R,"IRRIGATED")/AVERAGEIFS('[3]Data(perSeason,perCrop)'!$F:$F,'[3]Data(perSeason,perCrop)'!$S:$S,$A63,'[3]Data(perSeason,perCrop)'!$O:$O,U$31,'[3]Data(perSeason,perCrop)'!$C:$C,[3]Indicators!U$3,'[3]Data(perSeason,perCrop)'!$R:$R,"IRRIGATED"),"")</f>
        <v>#VALUE!</v>
      </c>
      <c r="V73" s="62" t="e">
        <f>IF(V63&gt;0,1-AVERAGEIFS('[3]Data(perSeason,perCrop)'!$E:$E,'[3]Data(perSeason,perCrop)'!$S:$S,$A63,'[3]Data(perSeason,perCrop)'!$O:$O,V60,'[3]Data(perSeason,perCrop)'!$C:$C,V$32,'[3]Data(perSeason,perCrop)'!$R:$R,"IRRIGATED")/AVERAGEIFS('[3]Data(perSeason,perCrop)'!$F:$F,'[3]Data(perSeason,perCrop)'!$S:$S,$A63,'[3]Data(perSeason,perCrop)'!$O:$O,V$31,'[3]Data(perSeason,perCrop)'!$C:$C,[3]Indicators!V$3,'[3]Data(perSeason,perCrop)'!$R:$R,"IRRIGATED"),"")</f>
        <v>#VALUE!</v>
      </c>
      <c r="W73" s="62" t="e">
        <f>IF(W63&gt;0,1-AVERAGEIFS('[3]Data(perSeason,perCrop)'!$E:$E,'[3]Data(perSeason,perCrop)'!$S:$S,$A63,'[3]Data(perSeason,perCrop)'!$O:$O,W60,'[3]Data(perSeason,perCrop)'!$C:$C,W$32,'[3]Data(perSeason,perCrop)'!$R:$R,"IRRIGATED")/AVERAGEIFS('[3]Data(perSeason,perCrop)'!$F:$F,'[3]Data(perSeason,perCrop)'!$S:$S,$A63,'[3]Data(perSeason,perCrop)'!$O:$O,W$31,'[3]Data(perSeason,perCrop)'!$C:$C,[3]Indicators!W$3,'[3]Data(perSeason,perCrop)'!$R:$R,"IRRIGATED"),"")</f>
        <v>#VALUE!</v>
      </c>
      <c r="X73" s="62" t="e">
        <f>IF(X63&gt;0,1-AVERAGEIFS('[3]Data(perSeason,perCrop)'!$E:$E,'[3]Data(perSeason,perCrop)'!$S:$S,$A63,'[3]Data(perSeason,perCrop)'!$O:$O,X60,'[3]Data(perSeason,perCrop)'!$C:$C,X$32,'[3]Data(perSeason,perCrop)'!$R:$R,"IRRIGATED")/AVERAGEIFS('[3]Data(perSeason,perCrop)'!$F:$F,'[3]Data(perSeason,perCrop)'!$S:$S,$A63,'[3]Data(perSeason,perCrop)'!$O:$O,X$31,'[3]Data(perSeason,perCrop)'!$C:$C,[3]Indicators!X$3,'[3]Data(perSeason,perCrop)'!$R:$R,"IRRIGATED"),"")</f>
        <v>#VALUE!</v>
      </c>
      <c r="Y73" s="62" t="e">
        <f>IF(Y63&gt;0,1-AVERAGEIFS('[3]Data(perSeason,perCrop)'!$E:$E,'[3]Data(perSeason,perCrop)'!$S:$S,$A63,'[3]Data(perSeason,perCrop)'!$O:$O,Y60,'[3]Data(perSeason,perCrop)'!$C:$C,Y$32,'[3]Data(perSeason,perCrop)'!$R:$R,"IRRIGATED")/AVERAGEIFS('[3]Data(perSeason,perCrop)'!$F:$F,'[3]Data(perSeason,perCrop)'!$S:$S,$A63,'[3]Data(perSeason,perCrop)'!$O:$O,Y$31,'[3]Data(perSeason,perCrop)'!$C:$C,[3]Indicators!Y$3,'[3]Data(perSeason,perCrop)'!$R:$R,"IRRIGATED"),"")</f>
        <v>#VALUE!</v>
      </c>
      <c r="Z73" s="62" t="e">
        <f>IF(Z63&gt;0,1-AVERAGEIFS('[3]Data(perSeason,perCrop)'!$E:$E,'[3]Data(perSeason,perCrop)'!$S:$S,$A63,'[3]Data(perSeason,perCrop)'!$O:$O,Z60,'[3]Data(perSeason,perCrop)'!$C:$C,Z$32,'[3]Data(perSeason,perCrop)'!$R:$R,"IRRIGATED")/AVERAGEIFS('[3]Data(perSeason,perCrop)'!$F:$F,'[3]Data(perSeason,perCrop)'!$S:$S,$A63,'[3]Data(perSeason,perCrop)'!$O:$O,Z$31,'[3]Data(perSeason,perCrop)'!$C:$C,[3]Indicators!Z$3,'[3]Data(perSeason,perCrop)'!$R:$R,"IRRIGATED"),"")</f>
        <v>#VALUE!</v>
      </c>
      <c r="AA73" s="62" t="e">
        <f>IF(AA63&gt;0,1-AVERAGEIFS('[3]Data(perSeason,perCrop)'!$E:$E,'[3]Data(perSeason,perCrop)'!$S:$S,$A63,'[3]Data(perSeason,perCrop)'!$O:$O,AA60,'[3]Data(perSeason,perCrop)'!$C:$C,AA$32,'[3]Data(perSeason,perCrop)'!$R:$R,"IRRIGATED")/AVERAGEIFS('[3]Data(perSeason,perCrop)'!$F:$F,'[3]Data(perSeason,perCrop)'!$S:$S,$A63,'[3]Data(perSeason,perCrop)'!$O:$O,AA$31,'[3]Data(perSeason,perCrop)'!$C:$C,[3]Indicators!AA$3,'[3]Data(perSeason,perCrop)'!$R:$R,"IRRIGATED"),"")</f>
        <v>#VALUE!</v>
      </c>
      <c r="AB73" s="62" t="e">
        <f>IF(AB63&gt;0,1-AVERAGEIFS('[3]Data(perSeason,perCrop)'!$E:$E,'[3]Data(perSeason,perCrop)'!$S:$S,$A63,'[3]Data(perSeason,perCrop)'!$O:$O,AB60,'[3]Data(perSeason,perCrop)'!$C:$C,AB$32,'[3]Data(perSeason,perCrop)'!$R:$R,"IRRIGATED")/AVERAGEIFS('[3]Data(perSeason,perCrop)'!$F:$F,'[3]Data(perSeason,perCrop)'!$S:$S,$A63,'[3]Data(perSeason,perCrop)'!$O:$O,AB$31,'[3]Data(perSeason,perCrop)'!$C:$C,[3]Indicators!AB$3,'[3]Data(perSeason,perCrop)'!$R:$R,"IRRIGATED"),"")</f>
        <v>#VALUE!</v>
      </c>
      <c r="AC73" s="62" t="e">
        <f>IF(AC63&gt;0,1-AVERAGEIFS('[3]Data(perSeason,perCrop)'!$E:$E,'[3]Data(perSeason,perCrop)'!$S:$S,$A63,'[3]Data(perSeason,perCrop)'!$O:$O,AC60,'[3]Data(perSeason,perCrop)'!$C:$C,AC$32,'[3]Data(perSeason,perCrop)'!$R:$R,"IRRIGATED")/AVERAGEIFS('[3]Data(perSeason,perCrop)'!$F:$F,'[3]Data(perSeason,perCrop)'!$S:$S,$A63,'[3]Data(perSeason,perCrop)'!$O:$O,AC$31,'[3]Data(perSeason,perCrop)'!$C:$C,[3]Indicators!AC$3,'[3]Data(perSeason,perCrop)'!$R:$R,"IRRIGATED"),"")</f>
        <v>#VALUE!</v>
      </c>
      <c r="AD73" s="62" t="e">
        <f>IF(AD63&gt;0,1-AVERAGEIFS('[3]Data(perSeason,perCrop)'!$E:$E,'[3]Data(perSeason,perCrop)'!$S:$S,$A63,'[3]Data(perSeason,perCrop)'!$O:$O,AD60,'[3]Data(perSeason,perCrop)'!$C:$C,AD$32,'[3]Data(perSeason,perCrop)'!$R:$R,"IRRIGATED")/AVERAGEIFS('[3]Data(perSeason,perCrop)'!$F:$F,'[3]Data(perSeason,perCrop)'!$S:$S,$A63,'[3]Data(perSeason,perCrop)'!$O:$O,AD$31,'[3]Data(perSeason,perCrop)'!$C:$C,[3]Indicators!AD$3,'[3]Data(perSeason,perCrop)'!$R:$R,"IRRIGATED"),"")</f>
        <v>#VALUE!</v>
      </c>
      <c r="AE73" s="62" t="e">
        <f>IF(AE63&gt;0,1-AVERAGEIFS('[3]Data(perSeason,perCrop)'!$E:$E,'[3]Data(perSeason,perCrop)'!$S:$S,$A63,'[3]Data(perSeason,perCrop)'!$O:$O,AE60,'[3]Data(perSeason,perCrop)'!$C:$C,AE$32,'[3]Data(perSeason,perCrop)'!$R:$R,"IRRIGATED")/AVERAGEIFS('[3]Data(perSeason,perCrop)'!$F:$F,'[3]Data(perSeason,perCrop)'!$S:$S,$A63,'[3]Data(perSeason,perCrop)'!$O:$O,AE$31,'[3]Data(perSeason,perCrop)'!$C:$C,[3]Indicators!AE$3,'[3]Data(perSeason,perCrop)'!$R:$R,"IRRIGATED"),"")</f>
        <v>#VALUE!</v>
      </c>
      <c r="AF73" s="62" t="e">
        <f>IF(AF63&gt;0,1-AVERAGEIFS('[3]Data(perSeason,perCrop)'!$E:$E,'[3]Data(perSeason,perCrop)'!$S:$S,$A63,'[3]Data(perSeason,perCrop)'!$O:$O,AF60,'[3]Data(perSeason,perCrop)'!$C:$C,AF$32,'[3]Data(perSeason,perCrop)'!$R:$R,"IRRIGATED")/AVERAGEIFS('[3]Data(perSeason,perCrop)'!$F:$F,'[3]Data(perSeason,perCrop)'!$S:$S,$A63,'[3]Data(perSeason,perCrop)'!$O:$O,AF$31,'[3]Data(perSeason,perCrop)'!$C:$C,[3]Indicators!AF$3,'[3]Data(perSeason,perCrop)'!$R:$R,"IRRIGATED"),"")</f>
        <v>#VALUE!</v>
      </c>
    </row>
    <row r="74" spans="1:32" ht="18.75" x14ac:dyDescent="0.3">
      <c r="A74" s="42">
        <v>2019</v>
      </c>
      <c r="B74" s="62" t="e">
        <f>IF(B64&gt;0,1-AVERAGEIFS('[3]Data(perSeason,perCrop)'!$E:$E,'[3]Data(perSeason,perCrop)'!$S:$S,$A64,'[3]Data(perSeason,perCrop)'!$O:$O,B60,'[3]Data(perSeason,perCrop)'!$C:$C,[3]Indicators!B$33,'[3]Data(perSeason,perCrop)'!$R:$R,"IRRIGATED")/AVERAGEIFS('[3]Data(perSeason,perCrop)'!$F:$F,'[3]Data(perSeason,perCrop)'!$S:$S,$A64,'[3]Data(perSeason,perCrop)'!$O:$O,B$31,'[3]Data(perSeason,perCrop)'!$C:$C,[3]Indicators!B$33,'[3]Data(perSeason,perCrop)'!$R:$R,"IRRIGATED"),"")</f>
        <v>#VALUE!</v>
      </c>
      <c r="C74" s="62" t="e">
        <f>IF(C64&gt;0,1-AVERAGEIFS('[3]Data(perSeason,perCrop)'!$E:$E,'[3]Data(perSeason,perCrop)'!$S:$S,$A64,'[3]Data(perSeason,perCrop)'!$O:$O,C60,'[3]Data(perSeason,perCrop)'!$C:$C,[3]Indicators!C$33,'[3]Data(perSeason,perCrop)'!$R:$R,"IRRIGATED")/AVERAGEIFS('[3]Data(perSeason,perCrop)'!$F:$F,'[3]Data(perSeason,perCrop)'!$S:$S,$A64,'[3]Data(perSeason,perCrop)'!$O:$O,C$31,'[3]Data(perSeason,perCrop)'!$C:$C,[3]Indicators!C$33,'[3]Data(perSeason,perCrop)'!$R:$R,"IRRIGATED"),"")</f>
        <v>#VALUE!</v>
      </c>
      <c r="D74" s="62" t="e">
        <f>IF(D64&gt;0,1-AVERAGEIFS('[3]Data(perSeason,perCrop)'!$E:$E,'[3]Data(perSeason,perCrop)'!$S:$S,$A64,'[3]Data(perSeason,perCrop)'!$O:$O,D60,'[3]Data(perSeason,perCrop)'!$C:$C,[3]Indicators!D$33,'[3]Data(perSeason,perCrop)'!$R:$R,"IRRIGATED")/AVERAGEIFS('[3]Data(perSeason,perCrop)'!$F:$F,'[3]Data(perSeason,perCrop)'!$S:$S,$A64,'[3]Data(perSeason,perCrop)'!$O:$O,D$31,'[3]Data(perSeason,perCrop)'!$C:$C,[3]Indicators!D$33,'[3]Data(perSeason,perCrop)'!$R:$R,"IRRIGATED"),"")</f>
        <v>#VALUE!</v>
      </c>
      <c r="E74" s="62" t="e">
        <f>IF(E64&gt;0,1-AVERAGEIFS('[3]Data(perSeason,perCrop)'!$E:$E,'[3]Data(perSeason,perCrop)'!$S:$S,$A64,'[3]Data(perSeason,perCrop)'!$O:$O,E60,'[3]Data(perSeason,perCrop)'!$C:$C,[3]Indicators!E$33,'[3]Data(perSeason,perCrop)'!$R:$R,"IRRIGATED")/AVERAGEIFS('[3]Data(perSeason,perCrop)'!$F:$F,'[3]Data(perSeason,perCrop)'!$S:$S,$A64,'[3]Data(perSeason,perCrop)'!$O:$O,E$31,'[3]Data(perSeason,perCrop)'!$C:$C,[3]Indicators!E$33,'[3]Data(perSeason,perCrop)'!$R:$R,"IRRIGATED"),"")</f>
        <v>#VALUE!</v>
      </c>
      <c r="F74" s="62" t="e">
        <f>IF(F64&gt;0,1-AVERAGEIFS('[3]Data(perSeason,perCrop)'!$E:$E,'[3]Data(perSeason,perCrop)'!$S:$S,$A64,'[3]Data(perSeason,perCrop)'!$O:$O,F60,'[3]Data(perSeason,perCrop)'!$C:$C,[3]Indicators!F$33,'[3]Data(perSeason,perCrop)'!$R:$R,"IRRIGATED")/AVERAGEIFS('[3]Data(perSeason,perCrop)'!$F:$F,'[3]Data(perSeason,perCrop)'!$S:$S,$A64,'[3]Data(perSeason,perCrop)'!$O:$O,F$31,'[3]Data(perSeason,perCrop)'!$C:$C,[3]Indicators!F$33,'[3]Data(perSeason,perCrop)'!$R:$R,"IRRIGATED"),"")</f>
        <v>#VALUE!</v>
      </c>
      <c r="G74" s="62" t="e">
        <f>IF(G64&gt;0,1-AVERAGEIFS('[3]Data(perSeason,perCrop)'!$E:$E,'[3]Data(perSeason,perCrop)'!$S:$S,$A64,'[3]Data(perSeason,perCrop)'!$O:$O,G60,'[3]Data(perSeason,perCrop)'!$C:$C,[3]Indicators!G$33,'[3]Data(perSeason,perCrop)'!$R:$R,"IRRIGATED")/AVERAGEIFS('[3]Data(perSeason,perCrop)'!$F:$F,'[3]Data(perSeason,perCrop)'!$S:$S,$A64,'[3]Data(perSeason,perCrop)'!$O:$O,G$31,'[3]Data(perSeason,perCrop)'!$C:$C,[3]Indicators!G$33,'[3]Data(perSeason,perCrop)'!$R:$R,"IRRIGATED"),"")</f>
        <v>#VALUE!</v>
      </c>
      <c r="H74" s="62" t="e">
        <f>IF(H64&gt;0,1-AVERAGEIFS('[3]Data(perSeason,perCrop)'!$E:$E,'[3]Data(perSeason,perCrop)'!$S:$S,$A64,'[3]Data(perSeason,perCrop)'!$O:$O,H60,'[3]Data(perSeason,perCrop)'!$C:$C,[3]Indicators!H$33,'[3]Data(perSeason,perCrop)'!$R:$R,"IRRIGATED")/AVERAGEIFS('[3]Data(perSeason,perCrop)'!$F:$F,'[3]Data(perSeason,perCrop)'!$S:$S,$A64,'[3]Data(perSeason,perCrop)'!$O:$O,H$31,'[3]Data(perSeason,perCrop)'!$C:$C,[3]Indicators!H$33,'[3]Data(perSeason,perCrop)'!$R:$R,"IRRIGATED"),"")</f>
        <v>#VALUE!</v>
      </c>
      <c r="I74" s="62" t="e">
        <f>IF(I64&gt;0,1-AVERAGEIFS('[3]Data(perSeason,perCrop)'!$E:$E,'[3]Data(perSeason,perCrop)'!$S:$S,$A64,'[3]Data(perSeason,perCrop)'!$O:$O,I60,'[3]Data(perSeason,perCrop)'!$C:$C,[3]Indicators!I$33,'[3]Data(perSeason,perCrop)'!$R:$R,"IRRIGATED")/AVERAGEIFS('[3]Data(perSeason,perCrop)'!$F:$F,'[3]Data(perSeason,perCrop)'!$S:$S,$A64,'[3]Data(perSeason,perCrop)'!$O:$O,I$31,'[3]Data(perSeason,perCrop)'!$C:$C,[3]Indicators!I$33,'[3]Data(perSeason,perCrop)'!$R:$R,"IRRIGATED"),"")</f>
        <v>#VALUE!</v>
      </c>
      <c r="J74" s="62" t="e">
        <f>IF(J64&gt;0,1-AVERAGEIFS('[3]Data(perSeason,perCrop)'!$E:$E,'[3]Data(perSeason,perCrop)'!$S:$S,$A64,'[3]Data(perSeason,perCrop)'!$O:$O,J60,'[3]Data(perSeason,perCrop)'!$C:$C,[3]Indicators!J$33,'[3]Data(perSeason,perCrop)'!$R:$R,"IRRIGATED")/AVERAGEIFS('[3]Data(perSeason,perCrop)'!$F:$F,'[3]Data(perSeason,perCrop)'!$S:$S,$A64,'[3]Data(perSeason,perCrop)'!$O:$O,J$31,'[3]Data(perSeason,perCrop)'!$C:$C,[3]Indicators!J$33,'[3]Data(perSeason,perCrop)'!$R:$R,"IRRIGATED"),"")</f>
        <v>#VALUE!</v>
      </c>
      <c r="K74" s="62" t="e">
        <f>IF(K64&gt;0,1-AVERAGEIFS('[3]Data(perSeason,perCrop)'!$E:$E,'[3]Data(perSeason,perCrop)'!$S:$S,$A64,'[3]Data(perSeason,perCrop)'!$O:$O,K60,'[3]Data(perSeason,perCrop)'!$C:$C,[3]Indicators!K$33,'[3]Data(perSeason,perCrop)'!$R:$R,"IRRIGATED")/AVERAGEIFS('[3]Data(perSeason,perCrop)'!$F:$F,'[3]Data(perSeason,perCrop)'!$S:$S,$A64,'[3]Data(perSeason,perCrop)'!$O:$O,K$31,'[3]Data(perSeason,perCrop)'!$C:$C,[3]Indicators!K$33,'[3]Data(perSeason,perCrop)'!$R:$R,"IRRIGATED"),"")</f>
        <v>#VALUE!</v>
      </c>
      <c r="L74" s="62" t="e">
        <f>IF(L64&gt;0,1-AVERAGEIFS('[3]Data(perSeason,perCrop)'!$E:$E,'[3]Data(perSeason,perCrop)'!$S:$S,$A64,'[3]Data(perSeason,perCrop)'!$O:$O,L60,'[3]Data(perSeason,perCrop)'!$C:$C,[3]Indicators!L$33,'[3]Data(perSeason,perCrop)'!$R:$R,"IRRIGATED")/AVERAGEIFS('[3]Data(perSeason,perCrop)'!$F:$F,'[3]Data(perSeason,perCrop)'!$S:$S,$A64,'[3]Data(perSeason,perCrop)'!$O:$O,L$31,'[3]Data(perSeason,perCrop)'!$C:$C,[3]Indicators!L$33,'[3]Data(perSeason,perCrop)'!$R:$R,"IRRIGATED"),"")</f>
        <v>#VALUE!</v>
      </c>
      <c r="M74" s="62" t="e">
        <f>IF(M64&gt;0,1-AVERAGEIFS('[3]Data(perSeason,perCrop)'!$E:$E,'[3]Data(perSeason,perCrop)'!$S:$S,$A64,'[3]Data(perSeason,perCrop)'!$O:$O,M60,'[3]Data(perSeason,perCrop)'!$C:$C,[3]Indicators!M$33,'[3]Data(perSeason,perCrop)'!$R:$R,"IRRIGATED")/AVERAGEIFS('[3]Data(perSeason,perCrop)'!$F:$F,'[3]Data(perSeason,perCrop)'!$S:$S,$A64,'[3]Data(perSeason,perCrop)'!$O:$O,M$31,'[3]Data(perSeason,perCrop)'!$C:$C,[3]Indicators!M$33,'[3]Data(perSeason,perCrop)'!$R:$R,"IRRIGATED"),"")</f>
        <v>#VALUE!</v>
      </c>
      <c r="N74" s="62" t="e">
        <f>IF(N64&gt;0,1-AVERAGEIFS('[3]Data(perSeason,perCrop)'!$E:$E,'[3]Data(perSeason,perCrop)'!$S:$S,$A64,'[3]Data(perSeason,perCrop)'!$O:$O,N60,'[3]Data(perSeason,perCrop)'!$C:$C,[3]Indicators!N$33,'[3]Data(perSeason,perCrop)'!$R:$R,"IRRIGATED")/AVERAGEIFS('[3]Data(perSeason,perCrop)'!$F:$F,'[3]Data(perSeason,perCrop)'!$S:$S,$A64,'[3]Data(perSeason,perCrop)'!$O:$O,N$31,'[3]Data(perSeason,perCrop)'!$C:$C,[3]Indicators!N$33,'[3]Data(perSeason,perCrop)'!$R:$R,"IRRIGATED"),"")</f>
        <v>#VALUE!</v>
      </c>
      <c r="O74" s="62" t="e">
        <f>IF(O64&gt;0,1-AVERAGEIFS('[3]Data(perSeason,perCrop)'!$E:$E,'[3]Data(perSeason,perCrop)'!$S:$S,$A64,'[3]Data(perSeason,perCrop)'!$O:$O,O60,'[3]Data(perSeason,perCrop)'!$C:$C,[3]Indicators!O$33,'[3]Data(perSeason,perCrop)'!$R:$R,"IRRIGATED")/AVERAGEIFS('[3]Data(perSeason,perCrop)'!$F:$F,'[3]Data(perSeason,perCrop)'!$S:$S,$A64,'[3]Data(perSeason,perCrop)'!$O:$O,O$31,'[3]Data(perSeason,perCrop)'!$C:$C,[3]Indicators!O$33,'[3]Data(perSeason,perCrop)'!$R:$R,"IRRIGATED"),"")</f>
        <v>#VALUE!</v>
      </c>
      <c r="P74" s="62" t="e">
        <f>IF(P64&gt;0,1-AVERAGEIFS('[3]Data(perSeason,perCrop)'!$E:$E,'[3]Data(perSeason,perCrop)'!$S:$S,$A64,'[3]Data(perSeason,perCrop)'!$O:$O,P60,'[3]Data(perSeason,perCrop)'!$C:$C,[3]Indicators!P$33,'[3]Data(perSeason,perCrop)'!$R:$R,"IRRIGATED")/AVERAGEIFS('[3]Data(perSeason,perCrop)'!$F:$F,'[3]Data(perSeason,perCrop)'!$S:$S,$A64,'[3]Data(perSeason,perCrop)'!$O:$O,P$31,'[3]Data(perSeason,perCrop)'!$C:$C,[3]Indicators!P$33,'[3]Data(perSeason,perCrop)'!$R:$R,"IRRIGATED"),"")</f>
        <v>#VALUE!</v>
      </c>
      <c r="Q74" s="62" t="e">
        <f>IF(Q64&gt;0,1-AVERAGEIFS('[3]Data(perSeason,perCrop)'!$E:$E,'[3]Data(perSeason,perCrop)'!$S:$S,$A64,'[3]Data(perSeason,perCrop)'!$O:$O,Q60,'[3]Data(perSeason,perCrop)'!$C:$C,[3]Indicators!Q$33,'[3]Data(perSeason,perCrop)'!$R:$R,"IRRIGATED")/AVERAGEIFS('[3]Data(perSeason,perCrop)'!$F:$F,'[3]Data(perSeason,perCrop)'!$S:$S,$A64,'[3]Data(perSeason,perCrop)'!$O:$O,Q$31,'[3]Data(perSeason,perCrop)'!$C:$C,[3]Indicators!Q$33,'[3]Data(perSeason,perCrop)'!$R:$R,"IRRIGATED"),"")</f>
        <v>#VALUE!</v>
      </c>
      <c r="R74" s="62" t="e">
        <f>IF(R64&gt;0,1-AVERAGEIFS('[3]Data(perSeason,perCrop)'!$E:$E,'[3]Data(perSeason,perCrop)'!$S:$S,$A64,'[3]Data(perSeason,perCrop)'!$O:$O,R60,'[3]Data(perSeason,perCrop)'!$C:$C,[3]Indicators!R$33,'[3]Data(perSeason,perCrop)'!$R:$R,"IRRIGATED")/AVERAGEIFS('[3]Data(perSeason,perCrop)'!$F:$F,'[3]Data(perSeason,perCrop)'!$S:$S,$A64,'[3]Data(perSeason,perCrop)'!$O:$O,R$31,'[3]Data(perSeason,perCrop)'!$C:$C,[3]Indicators!R$33,'[3]Data(perSeason,perCrop)'!$R:$R,"IRRIGATED"),"")</f>
        <v>#VALUE!</v>
      </c>
      <c r="S74" s="62" t="e">
        <f>IF(S64&gt;0,1-AVERAGEIFS('[3]Data(perSeason,perCrop)'!$E:$E,'[3]Data(perSeason,perCrop)'!$S:$S,$A64,'[3]Data(perSeason,perCrop)'!$O:$O,S60,'[3]Data(perSeason,perCrop)'!$C:$C,[3]Indicators!S$33,'[3]Data(perSeason,perCrop)'!$R:$R,"IRRIGATED")/AVERAGEIFS('[3]Data(perSeason,perCrop)'!$F:$F,'[3]Data(perSeason,perCrop)'!$S:$S,$A64,'[3]Data(perSeason,perCrop)'!$O:$O,S$31,'[3]Data(perSeason,perCrop)'!$C:$C,[3]Indicators!S$33,'[3]Data(perSeason,perCrop)'!$R:$R,"IRRIGATED"),"")</f>
        <v>#VALUE!</v>
      </c>
      <c r="T74" s="62" t="e">
        <f>IF(T64&gt;0,1-AVERAGEIFS('[3]Data(perSeason,perCrop)'!$E:$E,'[3]Data(perSeason,perCrop)'!$S:$S,$A64,'[3]Data(perSeason,perCrop)'!$O:$O,T60,'[3]Data(perSeason,perCrop)'!$C:$C,[3]Indicators!T$33,'[3]Data(perSeason,perCrop)'!$R:$R,"IRRIGATED")/AVERAGEIFS('[3]Data(perSeason,perCrop)'!$F:$F,'[3]Data(perSeason,perCrop)'!$S:$S,$A64,'[3]Data(perSeason,perCrop)'!$O:$O,T$31,'[3]Data(perSeason,perCrop)'!$C:$C,[3]Indicators!T$33,'[3]Data(perSeason,perCrop)'!$R:$R,"IRRIGATED"),"")</f>
        <v>#VALUE!</v>
      </c>
      <c r="U74" s="62" t="e">
        <f>IF(U64&gt;0,1-AVERAGEIFS('[3]Data(perSeason,perCrop)'!$E:$E,'[3]Data(perSeason,perCrop)'!$S:$S,$A64,'[3]Data(perSeason,perCrop)'!$O:$O,U60,'[3]Data(perSeason,perCrop)'!$C:$C,[3]Indicators!U$33,'[3]Data(perSeason,perCrop)'!$R:$R,"IRRIGATED")/AVERAGEIFS('[3]Data(perSeason,perCrop)'!$F:$F,'[3]Data(perSeason,perCrop)'!$S:$S,$A64,'[3]Data(perSeason,perCrop)'!$O:$O,U$31,'[3]Data(perSeason,perCrop)'!$C:$C,[3]Indicators!U$33,'[3]Data(perSeason,perCrop)'!$R:$R,"IRRIGATED"),"")</f>
        <v>#VALUE!</v>
      </c>
      <c r="V74" s="62" t="e">
        <f>IF(V64&gt;0,1-AVERAGEIFS('[3]Data(perSeason,perCrop)'!$E:$E,'[3]Data(perSeason,perCrop)'!$S:$S,$A64,'[3]Data(perSeason,perCrop)'!$O:$O,V60,'[3]Data(perSeason,perCrop)'!$C:$C,[3]Indicators!V$33,'[3]Data(perSeason,perCrop)'!$R:$R,"IRRIGATED")/AVERAGEIFS('[3]Data(perSeason,perCrop)'!$F:$F,'[3]Data(perSeason,perCrop)'!$S:$S,$A64,'[3]Data(perSeason,perCrop)'!$O:$O,V$31,'[3]Data(perSeason,perCrop)'!$C:$C,[3]Indicators!V$33,'[3]Data(perSeason,perCrop)'!$R:$R,"IRRIGATED"),"")</f>
        <v>#VALUE!</v>
      </c>
      <c r="W74" s="62" t="e">
        <f>IF(W64&gt;0,1-AVERAGEIFS('[3]Data(perSeason,perCrop)'!$E:$E,'[3]Data(perSeason,perCrop)'!$S:$S,$A64,'[3]Data(perSeason,perCrop)'!$O:$O,W60,'[3]Data(perSeason,perCrop)'!$C:$C,[3]Indicators!W$33,'[3]Data(perSeason,perCrop)'!$R:$R,"IRRIGATED")/AVERAGEIFS('[3]Data(perSeason,perCrop)'!$F:$F,'[3]Data(perSeason,perCrop)'!$S:$S,$A64,'[3]Data(perSeason,perCrop)'!$O:$O,W$31,'[3]Data(perSeason,perCrop)'!$C:$C,[3]Indicators!W$33,'[3]Data(perSeason,perCrop)'!$R:$R,"IRRIGATED"),"")</f>
        <v>#VALUE!</v>
      </c>
      <c r="X74" s="62" t="e">
        <f>IF(X64&gt;0,1-AVERAGEIFS('[3]Data(perSeason,perCrop)'!$E:$E,'[3]Data(perSeason,perCrop)'!$S:$S,$A64,'[3]Data(perSeason,perCrop)'!$O:$O,X60,'[3]Data(perSeason,perCrop)'!$C:$C,[3]Indicators!X$33,'[3]Data(perSeason,perCrop)'!$R:$R,"IRRIGATED")/AVERAGEIFS('[3]Data(perSeason,perCrop)'!$F:$F,'[3]Data(perSeason,perCrop)'!$S:$S,$A64,'[3]Data(perSeason,perCrop)'!$O:$O,X$31,'[3]Data(perSeason,perCrop)'!$C:$C,[3]Indicators!X$33,'[3]Data(perSeason,perCrop)'!$R:$R,"IRRIGATED"),"")</f>
        <v>#VALUE!</v>
      </c>
      <c r="Y74" s="62" t="e">
        <f>IF(Y64&gt;0,1-AVERAGEIFS('[3]Data(perSeason,perCrop)'!$E:$E,'[3]Data(perSeason,perCrop)'!$S:$S,$A64,'[3]Data(perSeason,perCrop)'!$O:$O,Y60,'[3]Data(perSeason,perCrop)'!$C:$C,[3]Indicators!Y$33,'[3]Data(perSeason,perCrop)'!$R:$R,"IRRIGATED")/AVERAGEIFS('[3]Data(perSeason,perCrop)'!$F:$F,'[3]Data(perSeason,perCrop)'!$S:$S,$A64,'[3]Data(perSeason,perCrop)'!$O:$O,Y$31,'[3]Data(perSeason,perCrop)'!$C:$C,[3]Indicators!Y$33,'[3]Data(perSeason,perCrop)'!$R:$R,"IRRIGATED"),"")</f>
        <v>#VALUE!</v>
      </c>
      <c r="Z74" s="62" t="e">
        <f>IF(Z64&gt;0,1-AVERAGEIFS('[3]Data(perSeason,perCrop)'!$E:$E,'[3]Data(perSeason,perCrop)'!$S:$S,$A64,'[3]Data(perSeason,perCrop)'!$O:$O,Z60,'[3]Data(perSeason,perCrop)'!$C:$C,[3]Indicators!Z$33,'[3]Data(perSeason,perCrop)'!$R:$R,"IRRIGATED")/AVERAGEIFS('[3]Data(perSeason,perCrop)'!$F:$F,'[3]Data(perSeason,perCrop)'!$S:$S,$A64,'[3]Data(perSeason,perCrop)'!$O:$O,Z$31,'[3]Data(perSeason,perCrop)'!$C:$C,[3]Indicators!Z$33,'[3]Data(perSeason,perCrop)'!$R:$R,"IRRIGATED"),"")</f>
        <v>#VALUE!</v>
      </c>
      <c r="AA74" s="62" t="e">
        <f>IF(AA64&gt;0,1-AVERAGEIFS('[3]Data(perSeason,perCrop)'!$E:$E,'[3]Data(perSeason,perCrop)'!$S:$S,$A64,'[3]Data(perSeason,perCrop)'!$O:$O,AA60,'[3]Data(perSeason,perCrop)'!$C:$C,[3]Indicators!AA$33,'[3]Data(perSeason,perCrop)'!$R:$R,"IRRIGATED")/AVERAGEIFS('[3]Data(perSeason,perCrop)'!$F:$F,'[3]Data(perSeason,perCrop)'!$S:$S,$A64,'[3]Data(perSeason,perCrop)'!$O:$O,AA$31,'[3]Data(perSeason,perCrop)'!$C:$C,[3]Indicators!AA$33,'[3]Data(perSeason,perCrop)'!$R:$R,"IRRIGATED"),"")</f>
        <v>#VALUE!</v>
      </c>
      <c r="AB74" s="62" t="e">
        <f>IF(AB64&gt;0,1-AVERAGEIFS('[3]Data(perSeason,perCrop)'!$E:$E,'[3]Data(perSeason,perCrop)'!$S:$S,$A64,'[3]Data(perSeason,perCrop)'!$O:$O,AB60,'[3]Data(perSeason,perCrop)'!$C:$C,[3]Indicators!AB$33,'[3]Data(perSeason,perCrop)'!$R:$R,"IRRIGATED")/AVERAGEIFS('[3]Data(perSeason,perCrop)'!$F:$F,'[3]Data(perSeason,perCrop)'!$S:$S,$A64,'[3]Data(perSeason,perCrop)'!$O:$O,AB$31,'[3]Data(perSeason,perCrop)'!$C:$C,[3]Indicators!AB$33,'[3]Data(perSeason,perCrop)'!$R:$R,"IRRIGATED"),"")</f>
        <v>#VALUE!</v>
      </c>
      <c r="AC74" s="62" t="e">
        <f>IF(AC64&gt;0,1-AVERAGEIFS('[3]Data(perSeason,perCrop)'!$E:$E,'[3]Data(perSeason,perCrop)'!$S:$S,$A64,'[3]Data(perSeason,perCrop)'!$O:$O,AC60,'[3]Data(perSeason,perCrop)'!$C:$C,[3]Indicators!AC$33,'[3]Data(perSeason,perCrop)'!$R:$R,"IRRIGATED")/AVERAGEIFS('[3]Data(perSeason,perCrop)'!$F:$F,'[3]Data(perSeason,perCrop)'!$S:$S,$A64,'[3]Data(perSeason,perCrop)'!$O:$O,AC$31,'[3]Data(perSeason,perCrop)'!$C:$C,[3]Indicators!AC$33,'[3]Data(perSeason,perCrop)'!$R:$R,"IRRIGATED"),"")</f>
        <v>#VALUE!</v>
      </c>
      <c r="AD74" s="62" t="e">
        <f>IF(AD64&gt;0,1-AVERAGEIFS('[3]Data(perSeason,perCrop)'!$E:$E,'[3]Data(perSeason,perCrop)'!$S:$S,$A64,'[3]Data(perSeason,perCrop)'!$O:$O,AD60,'[3]Data(perSeason,perCrop)'!$C:$C,[3]Indicators!AD$33,'[3]Data(perSeason,perCrop)'!$R:$R,"IRRIGATED")/AVERAGEIFS('[3]Data(perSeason,perCrop)'!$F:$F,'[3]Data(perSeason,perCrop)'!$S:$S,$A64,'[3]Data(perSeason,perCrop)'!$O:$O,AD$31,'[3]Data(perSeason,perCrop)'!$C:$C,[3]Indicators!AD$33,'[3]Data(perSeason,perCrop)'!$R:$R,"IRRIGATED"),"")</f>
        <v>#VALUE!</v>
      </c>
      <c r="AE74" s="62" t="e">
        <f>IF(AE64&gt;0,1-AVERAGEIFS('[3]Data(perSeason,perCrop)'!$E:$E,'[3]Data(perSeason,perCrop)'!$S:$S,$A64,'[3]Data(perSeason,perCrop)'!$O:$O,AE60,'[3]Data(perSeason,perCrop)'!$C:$C,[3]Indicators!AE$33,'[3]Data(perSeason,perCrop)'!$R:$R,"IRRIGATED")/AVERAGEIFS('[3]Data(perSeason,perCrop)'!$F:$F,'[3]Data(perSeason,perCrop)'!$S:$S,$A64,'[3]Data(perSeason,perCrop)'!$O:$O,AE$31,'[3]Data(perSeason,perCrop)'!$C:$C,[3]Indicators!AE$33,'[3]Data(perSeason,perCrop)'!$R:$R,"IRRIGATED"),"")</f>
        <v>#VALUE!</v>
      </c>
      <c r="AF74" s="62" t="e">
        <f>IF(AF64&gt;0,1-AVERAGEIFS('[3]Data(perSeason,perCrop)'!$E:$E,'[3]Data(perSeason,perCrop)'!$S:$S,$A64,'[3]Data(perSeason,perCrop)'!$O:$O,AF60,'[3]Data(perSeason,perCrop)'!$C:$C,[3]Indicators!AF$33,'[3]Data(perSeason,perCrop)'!$R:$R,"IRRIGATED")/AVERAGEIFS('[3]Data(perSeason,perCrop)'!$F:$F,'[3]Data(perSeason,perCrop)'!$S:$S,$A64,'[3]Data(perSeason,perCrop)'!$O:$O,AF$31,'[3]Data(perSeason,perCrop)'!$C:$C,[3]Indicators!AF$33,'[3]Data(perSeason,perCrop)'!$R:$R,"IRRIGATED"),"")</f>
        <v>#VALUE!</v>
      </c>
    </row>
    <row r="75" spans="1:32" ht="18.75" x14ac:dyDescent="0.3">
      <c r="A75" s="42">
        <v>2020</v>
      </c>
      <c r="B75" s="62" t="e">
        <f>IF(B65&gt;0,1-AVERAGEIFS('[3]Data(perSeason,perCrop)'!$E:$E,'[3]Data(perSeason,perCrop)'!$S:$S,$A65,'[3]Data(perSeason,perCrop)'!$O:$O,B60,'[3]Data(perSeason,perCrop)'!$C:$C,[3]Indicators!B$33,'[3]Data(perSeason,perCrop)'!$R:$R,"IRRIGATED")/AVERAGEIFS('[3]Data(perSeason,perCrop)'!$F:$F,'[3]Data(perSeason,perCrop)'!$S:$S,$A65,'[3]Data(perSeason,perCrop)'!$O:$O,B$31,'[3]Data(perSeason,perCrop)'!$C:$C,[3]Indicators!B$33,'[3]Data(perSeason,perCrop)'!$R:$R,"IRRIGATED"),"")</f>
        <v>#VALUE!</v>
      </c>
      <c r="C75" s="62" t="e">
        <f>IF(C65&gt;0,1-AVERAGEIFS('[3]Data(perSeason,perCrop)'!$E:$E,'[3]Data(perSeason,perCrop)'!$S:$S,$A65,'[3]Data(perSeason,perCrop)'!$O:$O,C60,'[3]Data(perSeason,perCrop)'!$C:$C,[3]Indicators!C$33,'[3]Data(perSeason,perCrop)'!$R:$R,"IRRIGATED")/AVERAGEIFS('[3]Data(perSeason,perCrop)'!$F:$F,'[3]Data(perSeason,perCrop)'!$S:$S,$A65,'[3]Data(perSeason,perCrop)'!$O:$O,C$31,'[3]Data(perSeason,perCrop)'!$C:$C,[3]Indicators!C$33,'[3]Data(perSeason,perCrop)'!$R:$R,"IRRIGATED"),"")</f>
        <v>#VALUE!</v>
      </c>
      <c r="D75" s="62" t="e">
        <f>IF(D65&gt;0,1-AVERAGEIFS('[3]Data(perSeason,perCrop)'!$E:$E,'[3]Data(perSeason,perCrop)'!$S:$S,$A65,'[3]Data(perSeason,perCrop)'!$O:$O,D60,'[3]Data(perSeason,perCrop)'!$C:$C,[3]Indicators!D$33,'[3]Data(perSeason,perCrop)'!$R:$R,"IRRIGATED")/AVERAGEIFS('[3]Data(perSeason,perCrop)'!$F:$F,'[3]Data(perSeason,perCrop)'!$S:$S,$A65,'[3]Data(perSeason,perCrop)'!$O:$O,D$31,'[3]Data(perSeason,perCrop)'!$C:$C,[3]Indicators!D$33,'[3]Data(perSeason,perCrop)'!$R:$R,"IRRIGATED"),"")</f>
        <v>#VALUE!</v>
      </c>
      <c r="E75" s="62" t="e">
        <f>IF(E65&gt;0,1-AVERAGEIFS('[3]Data(perSeason,perCrop)'!$E:$E,'[3]Data(perSeason,perCrop)'!$S:$S,$A65,'[3]Data(perSeason,perCrop)'!$O:$O,E60,'[3]Data(perSeason,perCrop)'!$C:$C,[3]Indicators!E$33,'[3]Data(perSeason,perCrop)'!$R:$R,"IRRIGATED")/AVERAGEIFS('[3]Data(perSeason,perCrop)'!$F:$F,'[3]Data(perSeason,perCrop)'!$S:$S,$A65,'[3]Data(perSeason,perCrop)'!$O:$O,E$31,'[3]Data(perSeason,perCrop)'!$C:$C,[3]Indicators!E$33,'[3]Data(perSeason,perCrop)'!$R:$R,"IRRIGATED"),"")</f>
        <v>#VALUE!</v>
      </c>
      <c r="F75" s="62" t="e">
        <f>IF(F65&gt;0,1-AVERAGEIFS('[3]Data(perSeason,perCrop)'!$E:$E,'[3]Data(perSeason,perCrop)'!$S:$S,$A65,'[3]Data(perSeason,perCrop)'!$O:$O,F60,'[3]Data(perSeason,perCrop)'!$C:$C,[3]Indicators!F$33,'[3]Data(perSeason,perCrop)'!$R:$R,"IRRIGATED")/AVERAGEIFS('[3]Data(perSeason,perCrop)'!$F:$F,'[3]Data(perSeason,perCrop)'!$S:$S,$A65,'[3]Data(perSeason,perCrop)'!$O:$O,F$31,'[3]Data(perSeason,perCrop)'!$C:$C,[3]Indicators!F$33,'[3]Data(perSeason,perCrop)'!$R:$R,"IRRIGATED"),"")</f>
        <v>#VALUE!</v>
      </c>
      <c r="G75" s="62" t="e">
        <f>IF(G65&gt;0,1-AVERAGEIFS('[3]Data(perSeason,perCrop)'!$E:$E,'[3]Data(perSeason,perCrop)'!$S:$S,$A65,'[3]Data(perSeason,perCrop)'!$O:$O,G60,'[3]Data(perSeason,perCrop)'!$C:$C,[3]Indicators!G$33,'[3]Data(perSeason,perCrop)'!$R:$R,"IRRIGATED")/AVERAGEIFS('[3]Data(perSeason,perCrop)'!$F:$F,'[3]Data(perSeason,perCrop)'!$S:$S,$A65,'[3]Data(perSeason,perCrop)'!$O:$O,G$31,'[3]Data(perSeason,perCrop)'!$C:$C,[3]Indicators!G$33,'[3]Data(perSeason,perCrop)'!$R:$R,"IRRIGATED"),"")</f>
        <v>#VALUE!</v>
      </c>
      <c r="H75" s="62" t="e">
        <f>IF(H65&gt;0,1-AVERAGEIFS('[3]Data(perSeason,perCrop)'!$E:$E,'[3]Data(perSeason,perCrop)'!$S:$S,$A65,'[3]Data(perSeason,perCrop)'!$O:$O,H60,'[3]Data(perSeason,perCrop)'!$C:$C,[3]Indicators!H$33,'[3]Data(perSeason,perCrop)'!$R:$R,"IRRIGATED")/AVERAGEIFS('[3]Data(perSeason,perCrop)'!$F:$F,'[3]Data(perSeason,perCrop)'!$S:$S,$A65,'[3]Data(perSeason,perCrop)'!$O:$O,H$31,'[3]Data(perSeason,perCrop)'!$C:$C,[3]Indicators!H$33,'[3]Data(perSeason,perCrop)'!$R:$R,"IRRIGATED"),"")</f>
        <v>#VALUE!</v>
      </c>
      <c r="I75" s="62" t="e">
        <f>IF(I65&gt;0,1-AVERAGEIFS('[3]Data(perSeason,perCrop)'!$E:$E,'[3]Data(perSeason,perCrop)'!$S:$S,$A65,'[3]Data(perSeason,perCrop)'!$O:$O,I60,'[3]Data(perSeason,perCrop)'!$C:$C,[3]Indicators!I$33,'[3]Data(perSeason,perCrop)'!$R:$R,"IRRIGATED")/AVERAGEIFS('[3]Data(perSeason,perCrop)'!$F:$F,'[3]Data(perSeason,perCrop)'!$S:$S,$A65,'[3]Data(perSeason,perCrop)'!$O:$O,I$31,'[3]Data(perSeason,perCrop)'!$C:$C,[3]Indicators!I$33,'[3]Data(perSeason,perCrop)'!$R:$R,"IRRIGATED"),"")</f>
        <v>#VALUE!</v>
      </c>
      <c r="J75" s="62" t="e">
        <f>IF(J65&gt;0,1-AVERAGEIFS('[3]Data(perSeason,perCrop)'!$E:$E,'[3]Data(perSeason,perCrop)'!$S:$S,$A65,'[3]Data(perSeason,perCrop)'!$O:$O,J60,'[3]Data(perSeason,perCrop)'!$C:$C,[3]Indicators!J$33,'[3]Data(perSeason,perCrop)'!$R:$R,"IRRIGATED")/AVERAGEIFS('[3]Data(perSeason,perCrop)'!$F:$F,'[3]Data(perSeason,perCrop)'!$S:$S,$A65,'[3]Data(perSeason,perCrop)'!$O:$O,J$31,'[3]Data(perSeason,perCrop)'!$C:$C,[3]Indicators!J$33,'[3]Data(perSeason,perCrop)'!$R:$R,"IRRIGATED"),"")</f>
        <v>#VALUE!</v>
      </c>
      <c r="K75" s="62" t="e">
        <f>IF(K65&gt;0,1-AVERAGEIFS('[3]Data(perSeason,perCrop)'!$E:$E,'[3]Data(perSeason,perCrop)'!$S:$S,$A65,'[3]Data(perSeason,perCrop)'!$O:$O,K60,'[3]Data(perSeason,perCrop)'!$C:$C,[3]Indicators!K$33,'[3]Data(perSeason,perCrop)'!$R:$R,"IRRIGATED")/AVERAGEIFS('[3]Data(perSeason,perCrop)'!$F:$F,'[3]Data(perSeason,perCrop)'!$S:$S,$A65,'[3]Data(perSeason,perCrop)'!$O:$O,K$31,'[3]Data(perSeason,perCrop)'!$C:$C,[3]Indicators!K$33,'[3]Data(perSeason,perCrop)'!$R:$R,"IRRIGATED"),"")</f>
        <v>#VALUE!</v>
      </c>
      <c r="L75" s="62" t="e">
        <f>IF(L65&gt;0,1-AVERAGEIFS('[3]Data(perSeason,perCrop)'!$E:$E,'[3]Data(perSeason,perCrop)'!$S:$S,$A65,'[3]Data(perSeason,perCrop)'!$O:$O,L60,'[3]Data(perSeason,perCrop)'!$C:$C,[3]Indicators!L$33,'[3]Data(perSeason,perCrop)'!$R:$R,"IRRIGATED")/AVERAGEIFS('[3]Data(perSeason,perCrop)'!$F:$F,'[3]Data(perSeason,perCrop)'!$S:$S,$A65,'[3]Data(perSeason,perCrop)'!$O:$O,L$31,'[3]Data(perSeason,perCrop)'!$C:$C,[3]Indicators!L$33,'[3]Data(perSeason,perCrop)'!$R:$R,"IRRIGATED"),"")</f>
        <v>#VALUE!</v>
      </c>
      <c r="M75" s="62" t="e">
        <f>IF(M65&gt;0,1-AVERAGEIFS('[3]Data(perSeason,perCrop)'!$E:$E,'[3]Data(perSeason,perCrop)'!$S:$S,$A65,'[3]Data(perSeason,perCrop)'!$O:$O,M60,'[3]Data(perSeason,perCrop)'!$C:$C,[3]Indicators!M$33,'[3]Data(perSeason,perCrop)'!$R:$R,"IRRIGATED")/AVERAGEIFS('[3]Data(perSeason,perCrop)'!$F:$F,'[3]Data(perSeason,perCrop)'!$S:$S,$A65,'[3]Data(perSeason,perCrop)'!$O:$O,M$31,'[3]Data(perSeason,perCrop)'!$C:$C,[3]Indicators!M$33,'[3]Data(perSeason,perCrop)'!$R:$R,"IRRIGATED"),"")</f>
        <v>#VALUE!</v>
      </c>
      <c r="N75" s="62" t="e">
        <f>IF(N65&gt;0,1-AVERAGEIFS('[3]Data(perSeason,perCrop)'!$E:$E,'[3]Data(perSeason,perCrop)'!$S:$S,$A65,'[3]Data(perSeason,perCrop)'!$O:$O,N60,'[3]Data(perSeason,perCrop)'!$C:$C,[3]Indicators!N$33,'[3]Data(perSeason,perCrop)'!$R:$R,"IRRIGATED")/AVERAGEIFS('[3]Data(perSeason,perCrop)'!$F:$F,'[3]Data(perSeason,perCrop)'!$S:$S,$A65,'[3]Data(perSeason,perCrop)'!$O:$O,N$31,'[3]Data(perSeason,perCrop)'!$C:$C,[3]Indicators!N$33,'[3]Data(perSeason,perCrop)'!$R:$R,"IRRIGATED"),"")</f>
        <v>#VALUE!</v>
      </c>
      <c r="O75" s="62" t="e">
        <f>IF(O65&gt;0,1-AVERAGEIFS('[3]Data(perSeason,perCrop)'!$E:$E,'[3]Data(perSeason,perCrop)'!$S:$S,$A65,'[3]Data(perSeason,perCrop)'!$O:$O,O60,'[3]Data(perSeason,perCrop)'!$C:$C,[3]Indicators!O$33,'[3]Data(perSeason,perCrop)'!$R:$R,"IRRIGATED")/AVERAGEIFS('[3]Data(perSeason,perCrop)'!$F:$F,'[3]Data(perSeason,perCrop)'!$S:$S,$A65,'[3]Data(perSeason,perCrop)'!$O:$O,O$31,'[3]Data(perSeason,perCrop)'!$C:$C,[3]Indicators!O$33,'[3]Data(perSeason,perCrop)'!$R:$R,"IRRIGATED"),"")</f>
        <v>#VALUE!</v>
      </c>
      <c r="P75" s="62" t="e">
        <f>IF(P65&gt;0,1-AVERAGEIFS('[3]Data(perSeason,perCrop)'!$E:$E,'[3]Data(perSeason,perCrop)'!$S:$S,$A65,'[3]Data(perSeason,perCrop)'!$O:$O,P60,'[3]Data(perSeason,perCrop)'!$C:$C,[3]Indicators!P$33,'[3]Data(perSeason,perCrop)'!$R:$R,"IRRIGATED")/AVERAGEIFS('[3]Data(perSeason,perCrop)'!$F:$F,'[3]Data(perSeason,perCrop)'!$S:$S,$A65,'[3]Data(perSeason,perCrop)'!$O:$O,P$31,'[3]Data(perSeason,perCrop)'!$C:$C,[3]Indicators!P$33,'[3]Data(perSeason,perCrop)'!$R:$R,"IRRIGATED"),"")</f>
        <v>#VALUE!</v>
      </c>
      <c r="Q75" s="62" t="e">
        <f>IF(Q65&gt;0,1-AVERAGEIFS('[3]Data(perSeason,perCrop)'!$E:$E,'[3]Data(perSeason,perCrop)'!$S:$S,$A65,'[3]Data(perSeason,perCrop)'!$O:$O,Q60,'[3]Data(perSeason,perCrop)'!$C:$C,[3]Indicators!Q$33,'[3]Data(perSeason,perCrop)'!$R:$R,"IRRIGATED")/AVERAGEIFS('[3]Data(perSeason,perCrop)'!$F:$F,'[3]Data(perSeason,perCrop)'!$S:$S,$A65,'[3]Data(perSeason,perCrop)'!$O:$O,Q$31,'[3]Data(perSeason,perCrop)'!$C:$C,[3]Indicators!Q$33,'[3]Data(perSeason,perCrop)'!$R:$R,"IRRIGATED"),"")</f>
        <v>#VALUE!</v>
      </c>
      <c r="R75" s="62" t="e">
        <f>IF(R65&gt;0,1-AVERAGEIFS('[3]Data(perSeason,perCrop)'!$E:$E,'[3]Data(perSeason,perCrop)'!$S:$S,$A65,'[3]Data(perSeason,perCrop)'!$O:$O,R60,'[3]Data(perSeason,perCrop)'!$C:$C,[3]Indicators!R$33,'[3]Data(perSeason,perCrop)'!$R:$R,"IRRIGATED")/AVERAGEIFS('[3]Data(perSeason,perCrop)'!$F:$F,'[3]Data(perSeason,perCrop)'!$S:$S,$A65,'[3]Data(perSeason,perCrop)'!$O:$O,R$31,'[3]Data(perSeason,perCrop)'!$C:$C,[3]Indicators!R$33,'[3]Data(perSeason,perCrop)'!$R:$R,"IRRIGATED"),"")</f>
        <v>#VALUE!</v>
      </c>
      <c r="S75" s="62" t="e">
        <f>IF(S65&gt;0,1-AVERAGEIFS('[3]Data(perSeason,perCrop)'!$E:$E,'[3]Data(perSeason,perCrop)'!$S:$S,$A65,'[3]Data(perSeason,perCrop)'!$O:$O,S60,'[3]Data(perSeason,perCrop)'!$C:$C,[3]Indicators!S$33,'[3]Data(perSeason,perCrop)'!$R:$R,"IRRIGATED")/AVERAGEIFS('[3]Data(perSeason,perCrop)'!$F:$F,'[3]Data(perSeason,perCrop)'!$S:$S,$A65,'[3]Data(perSeason,perCrop)'!$O:$O,S$31,'[3]Data(perSeason,perCrop)'!$C:$C,[3]Indicators!S$33,'[3]Data(perSeason,perCrop)'!$R:$R,"IRRIGATED"),"")</f>
        <v>#VALUE!</v>
      </c>
      <c r="T75" s="62" t="e">
        <f>IF(T65&gt;0,1-AVERAGEIFS('[3]Data(perSeason,perCrop)'!$E:$E,'[3]Data(perSeason,perCrop)'!$S:$S,$A65,'[3]Data(perSeason,perCrop)'!$O:$O,T60,'[3]Data(perSeason,perCrop)'!$C:$C,[3]Indicators!T$33,'[3]Data(perSeason,perCrop)'!$R:$R,"IRRIGATED")/AVERAGEIFS('[3]Data(perSeason,perCrop)'!$F:$F,'[3]Data(perSeason,perCrop)'!$S:$S,$A65,'[3]Data(perSeason,perCrop)'!$O:$O,T$31,'[3]Data(perSeason,perCrop)'!$C:$C,[3]Indicators!T$33,'[3]Data(perSeason,perCrop)'!$R:$R,"IRRIGATED"),"")</f>
        <v>#VALUE!</v>
      </c>
      <c r="U75" s="62" t="e">
        <f>IF(U65&gt;0,1-AVERAGEIFS('[3]Data(perSeason,perCrop)'!$E:$E,'[3]Data(perSeason,perCrop)'!$S:$S,$A65,'[3]Data(perSeason,perCrop)'!$O:$O,U60,'[3]Data(perSeason,perCrop)'!$C:$C,[3]Indicators!U$33,'[3]Data(perSeason,perCrop)'!$R:$R,"IRRIGATED")/AVERAGEIFS('[3]Data(perSeason,perCrop)'!$F:$F,'[3]Data(perSeason,perCrop)'!$S:$S,$A65,'[3]Data(perSeason,perCrop)'!$O:$O,U$31,'[3]Data(perSeason,perCrop)'!$C:$C,[3]Indicators!U$33,'[3]Data(perSeason,perCrop)'!$R:$R,"IRRIGATED"),"")</f>
        <v>#VALUE!</v>
      </c>
      <c r="V75" s="62" t="e">
        <f>IF(V65&gt;0,1-AVERAGEIFS('[3]Data(perSeason,perCrop)'!$E:$E,'[3]Data(perSeason,perCrop)'!$S:$S,$A65,'[3]Data(perSeason,perCrop)'!$O:$O,V60,'[3]Data(perSeason,perCrop)'!$C:$C,[3]Indicators!V$33,'[3]Data(perSeason,perCrop)'!$R:$R,"IRRIGATED")/AVERAGEIFS('[3]Data(perSeason,perCrop)'!$F:$F,'[3]Data(perSeason,perCrop)'!$S:$S,$A65,'[3]Data(perSeason,perCrop)'!$O:$O,V$31,'[3]Data(perSeason,perCrop)'!$C:$C,[3]Indicators!V$33,'[3]Data(perSeason,perCrop)'!$R:$R,"IRRIGATED"),"")</f>
        <v>#VALUE!</v>
      </c>
      <c r="W75" s="62" t="e">
        <f>IF(W65&gt;0,1-AVERAGEIFS('[3]Data(perSeason,perCrop)'!$E:$E,'[3]Data(perSeason,perCrop)'!$S:$S,$A65,'[3]Data(perSeason,perCrop)'!$O:$O,W60,'[3]Data(perSeason,perCrop)'!$C:$C,[3]Indicators!W$33,'[3]Data(perSeason,perCrop)'!$R:$R,"IRRIGATED")/AVERAGEIFS('[3]Data(perSeason,perCrop)'!$F:$F,'[3]Data(perSeason,perCrop)'!$S:$S,$A65,'[3]Data(perSeason,perCrop)'!$O:$O,W$31,'[3]Data(perSeason,perCrop)'!$C:$C,[3]Indicators!W$33,'[3]Data(perSeason,perCrop)'!$R:$R,"IRRIGATED"),"")</f>
        <v>#VALUE!</v>
      </c>
      <c r="X75" s="62" t="e">
        <f>IF(X65&gt;0,1-AVERAGEIFS('[3]Data(perSeason,perCrop)'!$E:$E,'[3]Data(perSeason,perCrop)'!$S:$S,$A65,'[3]Data(perSeason,perCrop)'!$O:$O,X60,'[3]Data(perSeason,perCrop)'!$C:$C,[3]Indicators!X$33,'[3]Data(perSeason,perCrop)'!$R:$R,"IRRIGATED")/AVERAGEIFS('[3]Data(perSeason,perCrop)'!$F:$F,'[3]Data(perSeason,perCrop)'!$S:$S,$A65,'[3]Data(perSeason,perCrop)'!$O:$O,X$31,'[3]Data(perSeason,perCrop)'!$C:$C,[3]Indicators!X$33,'[3]Data(perSeason,perCrop)'!$R:$R,"IRRIGATED"),"")</f>
        <v>#VALUE!</v>
      </c>
      <c r="Y75" s="62" t="e">
        <f>IF(Y65&gt;0,1-AVERAGEIFS('[3]Data(perSeason,perCrop)'!$E:$E,'[3]Data(perSeason,perCrop)'!$S:$S,$A65,'[3]Data(perSeason,perCrop)'!$O:$O,Y60,'[3]Data(perSeason,perCrop)'!$C:$C,[3]Indicators!Y$33,'[3]Data(perSeason,perCrop)'!$R:$R,"IRRIGATED")/AVERAGEIFS('[3]Data(perSeason,perCrop)'!$F:$F,'[3]Data(perSeason,perCrop)'!$S:$S,$A65,'[3]Data(perSeason,perCrop)'!$O:$O,Y$31,'[3]Data(perSeason,perCrop)'!$C:$C,[3]Indicators!Y$33,'[3]Data(perSeason,perCrop)'!$R:$R,"IRRIGATED"),"")</f>
        <v>#VALUE!</v>
      </c>
      <c r="Z75" s="62" t="e">
        <f>IF(Z65&gt;0,1-AVERAGEIFS('[3]Data(perSeason,perCrop)'!$E:$E,'[3]Data(perSeason,perCrop)'!$S:$S,$A65,'[3]Data(perSeason,perCrop)'!$O:$O,Z60,'[3]Data(perSeason,perCrop)'!$C:$C,[3]Indicators!Z$33,'[3]Data(perSeason,perCrop)'!$R:$R,"IRRIGATED")/AVERAGEIFS('[3]Data(perSeason,perCrop)'!$F:$F,'[3]Data(perSeason,perCrop)'!$S:$S,$A65,'[3]Data(perSeason,perCrop)'!$O:$O,Z$31,'[3]Data(perSeason,perCrop)'!$C:$C,[3]Indicators!Z$33,'[3]Data(perSeason,perCrop)'!$R:$R,"IRRIGATED"),"")</f>
        <v>#VALUE!</v>
      </c>
      <c r="AA75" s="62" t="e">
        <f>IF(AA65&gt;0,1-AVERAGEIFS('[3]Data(perSeason,perCrop)'!$E:$E,'[3]Data(perSeason,perCrop)'!$S:$S,$A65,'[3]Data(perSeason,perCrop)'!$O:$O,AA60,'[3]Data(perSeason,perCrop)'!$C:$C,[3]Indicators!AA$33,'[3]Data(perSeason,perCrop)'!$R:$R,"IRRIGATED")/AVERAGEIFS('[3]Data(perSeason,perCrop)'!$F:$F,'[3]Data(perSeason,perCrop)'!$S:$S,$A65,'[3]Data(perSeason,perCrop)'!$O:$O,AA$31,'[3]Data(perSeason,perCrop)'!$C:$C,[3]Indicators!AA$33,'[3]Data(perSeason,perCrop)'!$R:$R,"IRRIGATED"),"")</f>
        <v>#VALUE!</v>
      </c>
      <c r="AB75" s="62" t="e">
        <f>IF(AB65&gt;0,1-AVERAGEIFS('[3]Data(perSeason,perCrop)'!$E:$E,'[3]Data(perSeason,perCrop)'!$S:$S,$A65,'[3]Data(perSeason,perCrop)'!$O:$O,AB60,'[3]Data(perSeason,perCrop)'!$C:$C,[3]Indicators!AB$33,'[3]Data(perSeason,perCrop)'!$R:$R,"IRRIGATED")/AVERAGEIFS('[3]Data(perSeason,perCrop)'!$F:$F,'[3]Data(perSeason,perCrop)'!$S:$S,$A65,'[3]Data(perSeason,perCrop)'!$O:$O,AB$31,'[3]Data(perSeason,perCrop)'!$C:$C,[3]Indicators!AB$33,'[3]Data(perSeason,perCrop)'!$R:$R,"IRRIGATED"),"")</f>
        <v>#VALUE!</v>
      </c>
      <c r="AC75" s="62" t="e">
        <f>IF(AC65&gt;0,1-AVERAGEIFS('[3]Data(perSeason,perCrop)'!$E:$E,'[3]Data(perSeason,perCrop)'!$S:$S,$A65,'[3]Data(perSeason,perCrop)'!$O:$O,AC60,'[3]Data(perSeason,perCrop)'!$C:$C,[3]Indicators!AC$33,'[3]Data(perSeason,perCrop)'!$R:$R,"IRRIGATED")/AVERAGEIFS('[3]Data(perSeason,perCrop)'!$F:$F,'[3]Data(perSeason,perCrop)'!$S:$S,$A65,'[3]Data(perSeason,perCrop)'!$O:$O,AC$31,'[3]Data(perSeason,perCrop)'!$C:$C,[3]Indicators!AC$33,'[3]Data(perSeason,perCrop)'!$R:$R,"IRRIGATED"),"")</f>
        <v>#VALUE!</v>
      </c>
      <c r="AD75" s="62" t="e">
        <f>IF(AD65&gt;0,1-AVERAGEIFS('[3]Data(perSeason,perCrop)'!$E:$E,'[3]Data(perSeason,perCrop)'!$S:$S,$A65,'[3]Data(perSeason,perCrop)'!$O:$O,AD60,'[3]Data(perSeason,perCrop)'!$C:$C,[3]Indicators!AD$33,'[3]Data(perSeason,perCrop)'!$R:$R,"IRRIGATED")/AVERAGEIFS('[3]Data(perSeason,perCrop)'!$F:$F,'[3]Data(perSeason,perCrop)'!$S:$S,$A65,'[3]Data(perSeason,perCrop)'!$O:$O,AD$31,'[3]Data(perSeason,perCrop)'!$C:$C,[3]Indicators!AD$33,'[3]Data(perSeason,perCrop)'!$R:$R,"IRRIGATED"),"")</f>
        <v>#VALUE!</v>
      </c>
      <c r="AE75" s="62" t="e">
        <f>IF(AE65&gt;0,1-AVERAGEIFS('[3]Data(perSeason,perCrop)'!$E:$E,'[3]Data(perSeason,perCrop)'!$S:$S,$A65,'[3]Data(perSeason,perCrop)'!$O:$O,AE60,'[3]Data(perSeason,perCrop)'!$C:$C,[3]Indicators!AE$33,'[3]Data(perSeason,perCrop)'!$R:$R,"IRRIGATED")/AVERAGEIFS('[3]Data(perSeason,perCrop)'!$F:$F,'[3]Data(perSeason,perCrop)'!$S:$S,$A65,'[3]Data(perSeason,perCrop)'!$O:$O,AE$31,'[3]Data(perSeason,perCrop)'!$C:$C,[3]Indicators!AE$33,'[3]Data(perSeason,perCrop)'!$R:$R,"IRRIGATED"),"")</f>
        <v>#VALUE!</v>
      </c>
      <c r="AF75" s="62" t="e">
        <f>IF(AF65&gt;0,1-AVERAGEIFS('[3]Data(perSeason,perCrop)'!$E:$E,'[3]Data(perSeason,perCrop)'!$S:$S,$A65,'[3]Data(perSeason,perCrop)'!$O:$O,AF60,'[3]Data(perSeason,perCrop)'!$C:$C,[3]Indicators!AF$33,'[3]Data(perSeason,perCrop)'!$R:$R,"IRRIGATED")/AVERAGEIFS('[3]Data(perSeason,perCrop)'!$F:$F,'[3]Data(perSeason,perCrop)'!$S:$S,$A65,'[3]Data(perSeason,perCrop)'!$O:$O,AF$31,'[3]Data(perSeason,perCrop)'!$C:$C,[3]Indicators!AF$33,'[3]Data(perSeason,perCrop)'!$R:$R,"IRRIGATED"),"")</f>
        <v>#VALUE!</v>
      </c>
    </row>
    <row r="76" spans="1:32" ht="18.75" x14ac:dyDescent="0.3">
      <c r="A76" s="42">
        <v>2021</v>
      </c>
      <c r="B76" s="62" t="e">
        <f>IF(B66&gt;0,1-AVERAGEIFS('[3]Data(perSeason,perCrop)'!$E:$E,'[3]Data(perSeason,perCrop)'!$S:$S,$A66,'[3]Data(perSeason,perCrop)'!$O:$O,B60,'[3]Data(perSeason,perCrop)'!$C:$C,[3]Indicators!B$33,'[3]Data(perSeason,perCrop)'!$R:$R,"IRRIGATED")/AVERAGEIFS('[3]Data(perSeason,perCrop)'!$F:$F,'[3]Data(perSeason,perCrop)'!$S:$S,$A66,'[3]Data(perSeason,perCrop)'!$O:$O,B$31,'[3]Data(perSeason,perCrop)'!$C:$C,[3]Indicators!B$33,'[3]Data(perSeason,perCrop)'!$R:$R,"IRRIGATED"),"")</f>
        <v>#VALUE!</v>
      </c>
      <c r="C76" s="62" t="e">
        <f>IF(C66&gt;0,1-AVERAGEIFS('[3]Data(perSeason,perCrop)'!$E:$E,'[3]Data(perSeason,perCrop)'!$S:$S,$A66,'[3]Data(perSeason,perCrop)'!$O:$O,C60,'[3]Data(perSeason,perCrop)'!$C:$C,[3]Indicators!C$33,'[3]Data(perSeason,perCrop)'!$R:$R,"IRRIGATED")/AVERAGEIFS('[3]Data(perSeason,perCrop)'!$F:$F,'[3]Data(perSeason,perCrop)'!$S:$S,$A66,'[3]Data(perSeason,perCrop)'!$O:$O,C$31,'[3]Data(perSeason,perCrop)'!$C:$C,[3]Indicators!C$33,'[3]Data(perSeason,perCrop)'!$R:$R,"IRRIGATED"),"")</f>
        <v>#VALUE!</v>
      </c>
      <c r="D76" s="62" t="e">
        <f>IF(D66&gt;0,1-AVERAGEIFS('[3]Data(perSeason,perCrop)'!$E:$E,'[3]Data(perSeason,perCrop)'!$S:$S,$A66,'[3]Data(perSeason,perCrop)'!$O:$O,D60,'[3]Data(perSeason,perCrop)'!$C:$C,[3]Indicators!D$33,'[3]Data(perSeason,perCrop)'!$R:$R,"IRRIGATED")/AVERAGEIFS('[3]Data(perSeason,perCrop)'!$F:$F,'[3]Data(perSeason,perCrop)'!$S:$S,$A66,'[3]Data(perSeason,perCrop)'!$O:$O,D$31,'[3]Data(perSeason,perCrop)'!$C:$C,[3]Indicators!D$33,'[3]Data(perSeason,perCrop)'!$R:$R,"IRRIGATED"),"")</f>
        <v>#VALUE!</v>
      </c>
      <c r="E76" s="62" t="e">
        <f>IF(E66&gt;0,1-AVERAGEIFS('[3]Data(perSeason,perCrop)'!$E:$E,'[3]Data(perSeason,perCrop)'!$S:$S,$A66,'[3]Data(perSeason,perCrop)'!$O:$O,E60,'[3]Data(perSeason,perCrop)'!$C:$C,[3]Indicators!E$33,'[3]Data(perSeason,perCrop)'!$R:$R,"IRRIGATED")/AVERAGEIFS('[3]Data(perSeason,perCrop)'!$F:$F,'[3]Data(perSeason,perCrop)'!$S:$S,$A66,'[3]Data(perSeason,perCrop)'!$O:$O,E$31,'[3]Data(perSeason,perCrop)'!$C:$C,[3]Indicators!E$33,'[3]Data(perSeason,perCrop)'!$R:$R,"IRRIGATED"),"")</f>
        <v>#VALUE!</v>
      </c>
      <c r="F76" s="62" t="e">
        <f>IF(F66&gt;0,1-AVERAGEIFS('[3]Data(perSeason,perCrop)'!$E:$E,'[3]Data(perSeason,perCrop)'!$S:$S,$A66,'[3]Data(perSeason,perCrop)'!$O:$O,F60,'[3]Data(perSeason,perCrop)'!$C:$C,[3]Indicators!F$33,'[3]Data(perSeason,perCrop)'!$R:$R,"IRRIGATED")/AVERAGEIFS('[3]Data(perSeason,perCrop)'!$F:$F,'[3]Data(perSeason,perCrop)'!$S:$S,$A66,'[3]Data(perSeason,perCrop)'!$O:$O,F$31,'[3]Data(perSeason,perCrop)'!$C:$C,[3]Indicators!F$33,'[3]Data(perSeason,perCrop)'!$R:$R,"IRRIGATED"),"")</f>
        <v>#VALUE!</v>
      </c>
      <c r="G76" s="62" t="e">
        <f>IF(G66&gt;0,1-AVERAGEIFS('[3]Data(perSeason,perCrop)'!$E:$E,'[3]Data(perSeason,perCrop)'!$S:$S,$A66,'[3]Data(perSeason,perCrop)'!$O:$O,G60,'[3]Data(perSeason,perCrop)'!$C:$C,[3]Indicators!G$33,'[3]Data(perSeason,perCrop)'!$R:$R,"IRRIGATED")/AVERAGEIFS('[3]Data(perSeason,perCrop)'!$F:$F,'[3]Data(perSeason,perCrop)'!$S:$S,$A66,'[3]Data(perSeason,perCrop)'!$O:$O,G$31,'[3]Data(perSeason,perCrop)'!$C:$C,[3]Indicators!G$33,'[3]Data(perSeason,perCrop)'!$R:$R,"IRRIGATED"),"")</f>
        <v>#VALUE!</v>
      </c>
      <c r="H76" s="62" t="e">
        <f>IF(H66&gt;0,1-AVERAGEIFS('[3]Data(perSeason,perCrop)'!$E:$E,'[3]Data(perSeason,perCrop)'!$S:$S,$A66,'[3]Data(perSeason,perCrop)'!$O:$O,H60,'[3]Data(perSeason,perCrop)'!$C:$C,[3]Indicators!H$33,'[3]Data(perSeason,perCrop)'!$R:$R,"IRRIGATED")/AVERAGEIFS('[3]Data(perSeason,perCrop)'!$F:$F,'[3]Data(perSeason,perCrop)'!$S:$S,$A66,'[3]Data(perSeason,perCrop)'!$O:$O,H$31,'[3]Data(perSeason,perCrop)'!$C:$C,[3]Indicators!H$33,'[3]Data(perSeason,perCrop)'!$R:$R,"IRRIGATED"),"")</f>
        <v>#VALUE!</v>
      </c>
      <c r="I76" s="62" t="e">
        <f>IF(I66&gt;0,1-AVERAGEIFS('[3]Data(perSeason,perCrop)'!$E:$E,'[3]Data(perSeason,perCrop)'!$S:$S,$A66,'[3]Data(perSeason,perCrop)'!$O:$O,I60,'[3]Data(perSeason,perCrop)'!$C:$C,[3]Indicators!I$33,'[3]Data(perSeason,perCrop)'!$R:$R,"IRRIGATED")/AVERAGEIFS('[3]Data(perSeason,perCrop)'!$F:$F,'[3]Data(perSeason,perCrop)'!$S:$S,$A66,'[3]Data(perSeason,perCrop)'!$O:$O,I$31,'[3]Data(perSeason,perCrop)'!$C:$C,[3]Indicators!I$33,'[3]Data(perSeason,perCrop)'!$R:$R,"IRRIGATED"),"")</f>
        <v>#VALUE!</v>
      </c>
      <c r="J76" s="62" t="e">
        <f>IF(J66&gt;0,1-AVERAGEIFS('[3]Data(perSeason,perCrop)'!$E:$E,'[3]Data(perSeason,perCrop)'!$S:$S,$A66,'[3]Data(perSeason,perCrop)'!$O:$O,J60,'[3]Data(perSeason,perCrop)'!$C:$C,[3]Indicators!J$33,'[3]Data(perSeason,perCrop)'!$R:$R,"IRRIGATED")/AVERAGEIFS('[3]Data(perSeason,perCrop)'!$F:$F,'[3]Data(perSeason,perCrop)'!$S:$S,$A66,'[3]Data(perSeason,perCrop)'!$O:$O,J$31,'[3]Data(perSeason,perCrop)'!$C:$C,[3]Indicators!J$33,'[3]Data(perSeason,perCrop)'!$R:$R,"IRRIGATED"),"")</f>
        <v>#VALUE!</v>
      </c>
      <c r="K76" s="62" t="e">
        <f>IF(K66&gt;0,1-AVERAGEIFS('[3]Data(perSeason,perCrop)'!$E:$E,'[3]Data(perSeason,perCrop)'!$S:$S,$A66,'[3]Data(perSeason,perCrop)'!$O:$O,K60,'[3]Data(perSeason,perCrop)'!$C:$C,[3]Indicators!K$33,'[3]Data(perSeason,perCrop)'!$R:$R,"IRRIGATED")/AVERAGEIFS('[3]Data(perSeason,perCrop)'!$F:$F,'[3]Data(perSeason,perCrop)'!$S:$S,$A66,'[3]Data(perSeason,perCrop)'!$O:$O,K$31,'[3]Data(perSeason,perCrop)'!$C:$C,[3]Indicators!K$33,'[3]Data(perSeason,perCrop)'!$R:$R,"IRRIGATED"),"")</f>
        <v>#VALUE!</v>
      </c>
      <c r="L76" s="62" t="e">
        <f>IF(L66&gt;0,1-AVERAGEIFS('[3]Data(perSeason,perCrop)'!$E:$E,'[3]Data(perSeason,perCrop)'!$S:$S,$A66,'[3]Data(perSeason,perCrop)'!$O:$O,L60,'[3]Data(perSeason,perCrop)'!$C:$C,[3]Indicators!L$33,'[3]Data(perSeason,perCrop)'!$R:$R,"IRRIGATED")/AVERAGEIFS('[3]Data(perSeason,perCrop)'!$F:$F,'[3]Data(perSeason,perCrop)'!$S:$S,$A66,'[3]Data(perSeason,perCrop)'!$O:$O,L$31,'[3]Data(perSeason,perCrop)'!$C:$C,[3]Indicators!L$33,'[3]Data(perSeason,perCrop)'!$R:$R,"IRRIGATED"),"")</f>
        <v>#VALUE!</v>
      </c>
      <c r="M76" s="62" t="e">
        <f>IF(M66&gt;0,1-AVERAGEIFS('[3]Data(perSeason,perCrop)'!$E:$E,'[3]Data(perSeason,perCrop)'!$S:$S,$A66,'[3]Data(perSeason,perCrop)'!$O:$O,M60,'[3]Data(perSeason,perCrop)'!$C:$C,[3]Indicators!M$33,'[3]Data(perSeason,perCrop)'!$R:$R,"IRRIGATED")/AVERAGEIFS('[3]Data(perSeason,perCrop)'!$F:$F,'[3]Data(perSeason,perCrop)'!$S:$S,$A66,'[3]Data(perSeason,perCrop)'!$O:$O,M$31,'[3]Data(perSeason,perCrop)'!$C:$C,[3]Indicators!M$33,'[3]Data(perSeason,perCrop)'!$R:$R,"IRRIGATED"),"")</f>
        <v>#VALUE!</v>
      </c>
      <c r="N76" s="62" t="e">
        <f>IF(N66&gt;0,1-AVERAGEIFS('[3]Data(perSeason,perCrop)'!$E:$E,'[3]Data(perSeason,perCrop)'!$S:$S,$A66,'[3]Data(perSeason,perCrop)'!$O:$O,N60,'[3]Data(perSeason,perCrop)'!$C:$C,[3]Indicators!N$33,'[3]Data(perSeason,perCrop)'!$R:$R,"IRRIGATED")/AVERAGEIFS('[3]Data(perSeason,perCrop)'!$F:$F,'[3]Data(perSeason,perCrop)'!$S:$S,$A66,'[3]Data(perSeason,perCrop)'!$O:$O,N$31,'[3]Data(perSeason,perCrop)'!$C:$C,[3]Indicators!N$33,'[3]Data(perSeason,perCrop)'!$R:$R,"IRRIGATED"),"")</f>
        <v>#VALUE!</v>
      </c>
      <c r="O76" s="62" t="e">
        <f>IF(O66&gt;0,1-AVERAGEIFS('[3]Data(perSeason,perCrop)'!$E:$E,'[3]Data(perSeason,perCrop)'!$S:$S,$A66,'[3]Data(perSeason,perCrop)'!$O:$O,O60,'[3]Data(perSeason,perCrop)'!$C:$C,[3]Indicators!O$33,'[3]Data(perSeason,perCrop)'!$R:$R,"IRRIGATED")/AVERAGEIFS('[3]Data(perSeason,perCrop)'!$F:$F,'[3]Data(perSeason,perCrop)'!$S:$S,$A66,'[3]Data(perSeason,perCrop)'!$O:$O,O$31,'[3]Data(perSeason,perCrop)'!$C:$C,[3]Indicators!O$33,'[3]Data(perSeason,perCrop)'!$R:$R,"IRRIGATED"),"")</f>
        <v>#VALUE!</v>
      </c>
      <c r="P76" s="62" t="e">
        <f>IF(P66&gt;0,1-AVERAGEIFS('[3]Data(perSeason,perCrop)'!$E:$E,'[3]Data(perSeason,perCrop)'!$S:$S,$A66,'[3]Data(perSeason,perCrop)'!$O:$O,P60,'[3]Data(perSeason,perCrop)'!$C:$C,[3]Indicators!P$33,'[3]Data(perSeason,perCrop)'!$R:$R,"IRRIGATED")/AVERAGEIFS('[3]Data(perSeason,perCrop)'!$F:$F,'[3]Data(perSeason,perCrop)'!$S:$S,$A66,'[3]Data(perSeason,perCrop)'!$O:$O,P$31,'[3]Data(perSeason,perCrop)'!$C:$C,[3]Indicators!P$33,'[3]Data(perSeason,perCrop)'!$R:$R,"IRRIGATED"),"")</f>
        <v>#VALUE!</v>
      </c>
      <c r="Q76" s="62" t="e">
        <f>IF(Q66&gt;0,1-AVERAGEIFS('[3]Data(perSeason,perCrop)'!$E:$E,'[3]Data(perSeason,perCrop)'!$S:$S,$A66,'[3]Data(perSeason,perCrop)'!$O:$O,Q60,'[3]Data(perSeason,perCrop)'!$C:$C,[3]Indicators!Q$33,'[3]Data(perSeason,perCrop)'!$R:$R,"IRRIGATED")/AVERAGEIFS('[3]Data(perSeason,perCrop)'!$F:$F,'[3]Data(perSeason,perCrop)'!$S:$S,$A66,'[3]Data(perSeason,perCrop)'!$O:$O,Q$31,'[3]Data(perSeason,perCrop)'!$C:$C,[3]Indicators!Q$33,'[3]Data(perSeason,perCrop)'!$R:$R,"IRRIGATED"),"")</f>
        <v>#VALUE!</v>
      </c>
      <c r="R76" s="62" t="e">
        <f>IF(R66&gt;0,1-AVERAGEIFS('[3]Data(perSeason,perCrop)'!$E:$E,'[3]Data(perSeason,perCrop)'!$S:$S,$A66,'[3]Data(perSeason,perCrop)'!$O:$O,R60,'[3]Data(perSeason,perCrop)'!$C:$C,[3]Indicators!R$33,'[3]Data(perSeason,perCrop)'!$R:$R,"IRRIGATED")/AVERAGEIFS('[3]Data(perSeason,perCrop)'!$F:$F,'[3]Data(perSeason,perCrop)'!$S:$S,$A66,'[3]Data(perSeason,perCrop)'!$O:$O,R$31,'[3]Data(perSeason,perCrop)'!$C:$C,[3]Indicators!R$33,'[3]Data(perSeason,perCrop)'!$R:$R,"IRRIGATED"),"")</f>
        <v>#VALUE!</v>
      </c>
      <c r="S76" s="62" t="e">
        <f>IF(S66&gt;0,1-AVERAGEIFS('[3]Data(perSeason,perCrop)'!$E:$E,'[3]Data(perSeason,perCrop)'!$S:$S,$A66,'[3]Data(perSeason,perCrop)'!$O:$O,S60,'[3]Data(perSeason,perCrop)'!$C:$C,[3]Indicators!S$33,'[3]Data(perSeason,perCrop)'!$R:$R,"IRRIGATED")/AVERAGEIFS('[3]Data(perSeason,perCrop)'!$F:$F,'[3]Data(perSeason,perCrop)'!$S:$S,$A66,'[3]Data(perSeason,perCrop)'!$O:$O,S$31,'[3]Data(perSeason,perCrop)'!$C:$C,[3]Indicators!S$33,'[3]Data(perSeason,perCrop)'!$R:$R,"IRRIGATED"),"")</f>
        <v>#VALUE!</v>
      </c>
      <c r="T76" s="62" t="e">
        <f>IF(T66&gt;0,1-AVERAGEIFS('[3]Data(perSeason,perCrop)'!$E:$E,'[3]Data(perSeason,perCrop)'!$S:$S,$A66,'[3]Data(perSeason,perCrop)'!$O:$O,T60,'[3]Data(perSeason,perCrop)'!$C:$C,[3]Indicators!T$33,'[3]Data(perSeason,perCrop)'!$R:$R,"IRRIGATED")/AVERAGEIFS('[3]Data(perSeason,perCrop)'!$F:$F,'[3]Data(perSeason,perCrop)'!$S:$S,$A66,'[3]Data(perSeason,perCrop)'!$O:$O,T$31,'[3]Data(perSeason,perCrop)'!$C:$C,[3]Indicators!T$33,'[3]Data(perSeason,perCrop)'!$R:$R,"IRRIGATED"),"")</f>
        <v>#VALUE!</v>
      </c>
      <c r="U76" s="62" t="e">
        <f>IF(U66&gt;0,1-AVERAGEIFS('[3]Data(perSeason,perCrop)'!$E:$E,'[3]Data(perSeason,perCrop)'!$S:$S,$A66,'[3]Data(perSeason,perCrop)'!$O:$O,U60,'[3]Data(perSeason,perCrop)'!$C:$C,[3]Indicators!U$33,'[3]Data(perSeason,perCrop)'!$R:$R,"IRRIGATED")/AVERAGEIFS('[3]Data(perSeason,perCrop)'!$F:$F,'[3]Data(perSeason,perCrop)'!$S:$S,$A66,'[3]Data(perSeason,perCrop)'!$O:$O,U$31,'[3]Data(perSeason,perCrop)'!$C:$C,[3]Indicators!U$33,'[3]Data(perSeason,perCrop)'!$R:$R,"IRRIGATED"),"")</f>
        <v>#VALUE!</v>
      </c>
      <c r="V76" s="62" t="e">
        <f>IF(V66&gt;0,1-AVERAGEIFS('[3]Data(perSeason,perCrop)'!$E:$E,'[3]Data(perSeason,perCrop)'!$S:$S,$A66,'[3]Data(perSeason,perCrop)'!$O:$O,V60,'[3]Data(perSeason,perCrop)'!$C:$C,[3]Indicators!V$33,'[3]Data(perSeason,perCrop)'!$R:$R,"IRRIGATED")/AVERAGEIFS('[3]Data(perSeason,perCrop)'!$F:$F,'[3]Data(perSeason,perCrop)'!$S:$S,$A66,'[3]Data(perSeason,perCrop)'!$O:$O,V$31,'[3]Data(perSeason,perCrop)'!$C:$C,[3]Indicators!V$33,'[3]Data(perSeason,perCrop)'!$R:$R,"IRRIGATED"),"")</f>
        <v>#VALUE!</v>
      </c>
      <c r="W76" s="62" t="e">
        <f>IF(W66&gt;0,1-AVERAGEIFS('[3]Data(perSeason,perCrop)'!$E:$E,'[3]Data(perSeason,perCrop)'!$S:$S,$A66,'[3]Data(perSeason,perCrop)'!$O:$O,W60,'[3]Data(perSeason,perCrop)'!$C:$C,[3]Indicators!W$33,'[3]Data(perSeason,perCrop)'!$R:$R,"IRRIGATED")/AVERAGEIFS('[3]Data(perSeason,perCrop)'!$F:$F,'[3]Data(perSeason,perCrop)'!$S:$S,$A66,'[3]Data(perSeason,perCrop)'!$O:$O,W$31,'[3]Data(perSeason,perCrop)'!$C:$C,[3]Indicators!W$33,'[3]Data(perSeason,perCrop)'!$R:$R,"IRRIGATED"),"")</f>
        <v>#VALUE!</v>
      </c>
      <c r="X76" s="62" t="e">
        <f>IF(X66&gt;0,1-AVERAGEIFS('[3]Data(perSeason,perCrop)'!$E:$E,'[3]Data(perSeason,perCrop)'!$S:$S,$A66,'[3]Data(perSeason,perCrop)'!$O:$O,X60,'[3]Data(perSeason,perCrop)'!$C:$C,[3]Indicators!X$33,'[3]Data(perSeason,perCrop)'!$R:$R,"IRRIGATED")/AVERAGEIFS('[3]Data(perSeason,perCrop)'!$F:$F,'[3]Data(perSeason,perCrop)'!$S:$S,$A66,'[3]Data(perSeason,perCrop)'!$O:$O,X$31,'[3]Data(perSeason,perCrop)'!$C:$C,[3]Indicators!X$33,'[3]Data(perSeason,perCrop)'!$R:$R,"IRRIGATED"),"")</f>
        <v>#VALUE!</v>
      </c>
      <c r="Y76" s="62" t="e">
        <f>IF(Y66&gt;0,1-AVERAGEIFS('[3]Data(perSeason,perCrop)'!$E:$E,'[3]Data(perSeason,perCrop)'!$S:$S,$A66,'[3]Data(perSeason,perCrop)'!$O:$O,Y60,'[3]Data(perSeason,perCrop)'!$C:$C,[3]Indicators!Y$33,'[3]Data(perSeason,perCrop)'!$R:$R,"IRRIGATED")/AVERAGEIFS('[3]Data(perSeason,perCrop)'!$F:$F,'[3]Data(perSeason,perCrop)'!$S:$S,$A66,'[3]Data(perSeason,perCrop)'!$O:$O,Y$31,'[3]Data(perSeason,perCrop)'!$C:$C,[3]Indicators!Y$33,'[3]Data(perSeason,perCrop)'!$R:$R,"IRRIGATED"),"")</f>
        <v>#VALUE!</v>
      </c>
      <c r="Z76" s="62" t="e">
        <f>IF(Z66&gt;0,1-AVERAGEIFS('[3]Data(perSeason,perCrop)'!$E:$E,'[3]Data(perSeason,perCrop)'!$S:$S,$A66,'[3]Data(perSeason,perCrop)'!$O:$O,Z60,'[3]Data(perSeason,perCrop)'!$C:$C,[3]Indicators!Z$33,'[3]Data(perSeason,perCrop)'!$R:$R,"IRRIGATED")/AVERAGEIFS('[3]Data(perSeason,perCrop)'!$F:$F,'[3]Data(perSeason,perCrop)'!$S:$S,$A66,'[3]Data(perSeason,perCrop)'!$O:$O,Z$31,'[3]Data(perSeason,perCrop)'!$C:$C,[3]Indicators!Z$33,'[3]Data(perSeason,perCrop)'!$R:$R,"IRRIGATED"),"")</f>
        <v>#VALUE!</v>
      </c>
      <c r="AA76" s="62" t="e">
        <f>IF(AA66&gt;0,1-AVERAGEIFS('[3]Data(perSeason,perCrop)'!$E:$E,'[3]Data(perSeason,perCrop)'!$S:$S,$A66,'[3]Data(perSeason,perCrop)'!$O:$O,AA60,'[3]Data(perSeason,perCrop)'!$C:$C,[3]Indicators!AA$33,'[3]Data(perSeason,perCrop)'!$R:$R,"IRRIGATED")/AVERAGEIFS('[3]Data(perSeason,perCrop)'!$F:$F,'[3]Data(perSeason,perCrop)'!$S:$S,$A66,'[3]Data(perSeason,perCrop)'!$O:$O,AA$31,'[3]Data(perSeason,perCrop)'!$C:$C,[3]Indicators!AA$33,'[3]Data(perSeason,perCrop)'!$R:$R,"IRRIGATED"),"")</f>
        <v>#VALUE!</v>
      </c>
      <c r="AB76" s="62" t="e">
        <f>IF(AB66&gt;0,1-AVERAGEIFS('[3]Data(perSeason,perCrop)'!$E:$E,'[3]Data(perSeason,perCrop)'!$S:$S,$A66,'[3]Data(perSeason,perCrop)'!$O:$O,AB60,'[3]Data(perSeason,perCrop)'!$C:$C,[3]Indicators!AB$33,'[3]Data(perSeason,perCrop)'!$R:$R,"IRRIGATED")/AVERAGEIFS('[3]Data(perSeason,perCrop)'!$F:$F,'[3]Data(perSeason,perCrop)'!$S:$S,$A66,'[3]Data(perSeason,perCrop)'!$O:$O,AB$31,'[3]Data(perSeason,perCrop)'!$C:$C,[3]Indicators!AB$33,'[3]Data(perSeason,perCrop)'!$R:$R,"IRRIGATED"),"")</f>
        <v>#VALUE!</v>
      </c>
      <c r="AC76" s="62" t="e">
        <f>IF(AC66&gt;0,1-AVERAGEIFS('[3]Data(perSeason,perCrop)'!$E:$E,'[3]Data(perSeason,perCrop)'!$S:$S,$A66,'[3]Data(perSeason,perCrop)'!$O:$O,AC60,'[3]Data(perSeason,perCrop)'!$C:$C,[3]Indicators!AC$33,'[3]Data(perSeason,perCrop)'!$R:$R,"IRRIGATED")/AVERAGEIFS('[3]Data(perSeason,perCrop)'!$F:$F,'[3]Data(perSeason,perCrop)'!$S:$S,$A66,'[3]Data(perSeason,perCrop)'!$O:$O,AC$31,'[3]Data(perSeason,perCrop)'!$C:$C,[3]Indicators!AC$33,'[3]Data(perSeason,perCrop)'!$R:$R,"IRRIGATED"),"")</f>
        <v>#VALUE!</v>
      </c>
      <c r="AD76" s="62" t="e">
        <f>IF(AD66&gt;0,1-AVERAGEIFS('[3]Data(perSeason,perCrop)'!$E:$E,'[3]Data(perSeason,perCrop)'!$S:$S,$A66,'[3]Data(perSeason,perCrop)'!$O:$O,AD60,'[3]Data(perSeason,perCrop)'!$C:$C,[3]Indicators!AD$33,'[3]Data(perSeason,perCrop)'!$R:$R,"IRRIGATED")/AVERAGEIFS('[3]Data(perSeason,perCrop)'!$F:$F,'[3]Data(perSeason,perCrop)'!$S:$S,$A66,'[3]Data(perSeason,perCrop)'!$O:$O,AD$31,'[3]Data(perSeason,perCrop)'!$C:$C,[3]Indicators!AD$33,'[3]Data(perSeason,perCrop)'!$R:$R,"IRRIGATED"),"")</f>
        <v>#VALUE!</v>
      </c>
      <c r="AE76" s="62" t="e">
        <f>IF(AE66&gt;0,1-AVERAGEIFS('[3]Data(perSeason,perCrop)'!$E:$E,'[3]Data(perSeason,perCrop)'!$S:$S,$A66,'[3]Data(perSeason,perCrop)'!$O:$O,AE60,'[3]Data(perSeason,perCrop)'!$C:$C,[3]Indicators!AE$33,'[3]Data(perSeason,perCrop)'!$R:$R,"IRRIGATED")/AVERAGEIFS('[3]Data(perSeason,perCrop)'!$F:$F,'[3]Data(perSeason,perCrop)'!$S:$S,$A66,'[3]Data(perSeason,perCrop)'!$O:$O,AE$31,'[3]Data(perSeason,perCrop)'!$C:$C,[3]Indicators!AE$33,'[3]Data(perSeason,perCrop)'!$R:$R,"IRRIGATED"),"")</f>
        <v>#VALUE!</v>
      </c>
      <c r="AF76" s="62" t="e">
        <f>IF(AF66&gt;0,1-AVERAGEIFS('[3]Data(perSeason,perCrop)'!$E:$E,'[3]Data(perSeason,perCrop)'!$S:$S,$A66,'[3]Data(perSeason,perCrop)'!$O:$O,AF60,'[3]Data(perSeason,perCrop)'!$C:$C,[3]Indicators!AF$33,'[3]Data(perSeason,perCrop)'!$R:$R,"IRRIGATED")/AVERAGEIFS('[3]Data(perSeason,perCrop)'!$F:$F,'[3]Data(perSeason,perCrop)'!$S:$S,$A66,'[3]Data(perSeason,perCrop)'!$O:$O,AF$31,'[3]Data(perSeason,perCrop)'!$C:$C,[3]Indicators!AF$33,'[3]Data(perSeason,perCrop)'!$R:$R,"IRRIGATED"),"")</f>
        <v>#VALUE!</v>
      </c>
    </row>
    <row r="77" spans="1:32" ht="18.75" x14ac:dyDescent="0.3">
      <c r="A77" s="42">
        <v>2022</v>
      </c>
      <c r="B77" s="62" t="e">
        <f>IF(B67&gt;0,1-AVERAGEIFS('[3]Data(perSeason,perCrop)'!$E:$E,'[3]Data(perSeason,perCrop)'!$S:$S,$A67,'[3]Data(perSeason,perCrop)'!$O:$O,B60,'[3]Data(perSeason,perCrop)'!$C:$C,[3]Indicators!B$33,'[3]Data(perSeason,perCrop)'!$R:$R,"IRRIGATED")/AVERAGEIFS('[3]Data(perSeason,perCrop)'!$F:$F,'[3]Data(perSeason,perCrop)'!$S:$S,$A67,'[3]Data(perSeason,perCrop)'!$O:$O,B$31,'[3]Data(perSeason,perCrop)'!$C:$C,[3]Indicators!B$33,'[3]Data(perSeason,perCrop)'!$R:$R,"IRRIGATED"),"")</f>
        <v>#VALUE!</v>
      </c>
      <c r="C77" s="62" t="e">
        <f>IF(C67&gt;0,1-AVERAGEIFS('[3]Data(perSeason,perCrop)'!$E:$E,'[3]Data(perSeason,perCrop)'!$S:$S,$A67,'[3]Data(perSeason,perCrop)'!$O:$O,C60,'[3]Data(perSeason,perCrop)'!$C:$C,[3]Indicators!C$33,'[3]Data(perSeason,perCrop)'!$R:$R,"IRRIGATED")/AVERAGEIFS('[3]Data(perSeason,perCrop)'!$F:$F,'[3]Data(perSeason,perCrop)'!$S:$S,$A67,'[3]Data(perSeason,perCrop)'!$O:$O,C$31,'[3]Data(perSeason,perCrop)'!$C:$C,[3]Indicators!C$33,'[3]Data(perSeason,perCrop)'!$R:$R,"IRRIGATED"),"")</f>
        <v>#VALUE!</v>
      </c>
      <c r="D77" s="62" t="e">
        <f>IF(D67&gt;0,1-AVERAGEIFS('[3]Data(perSeason,perCrop)'!$E:$E,'[3]Data(perSeason,perCrop)'!$S:$S,$A67,'[3]Data(perSeason,perCrop)'!$O:$O,D60,'[3]Data(perSeason,perCrop)'!$C:$C,[3]Indicators!D$33,'[3]Data(perSeason,perCrop)'!$R:$R,"IRRIGATED")/AVERAGEIFS('[3]Data(perSeason,perCrop)'!$F:$F,'[3]Data(perSeason,perCrop)'!$S:$S,$A67,'[3]Data(perSeason,perCrop)'!$O:$O,D$31,'[3]Data(perSeason,perCrop)'!$C:$C,[3]Indicators!D$33,'[3]Data(perSeason,perCrop)'!$R:$R,"IRRIGATED"),"")</f>
        <v>#VALUE!</v>
      </c>
      <c r="E77" s="62" t="e">
        <f>IF(E67&gt;0,1-AVERAGEIFS('[3]Data(perSeason,perCrop)'!$E:$E,'[3]Data(perSeason,perCrop)'!$S:$S,$A67,'[3]Data(perSeason,perCrop)'!$O:$O,E60,'[3]Data(perSeason,perCrop)'!$C:$C,[3]Indicators!E$33,'[3]Data(perSeason,perCrop)'!$R:$R,"IRRIGATED")/AVERAGEIFS('[3]Data(perSeason,perCrop)'!$F:$F,'[3]Data(perSeason,perCrop)'!$S:$S,$A67,'[3]Data(perSeason,perCrop)'!$O:$O,E$31,'[3]Data(perSeason,perCrop)'!$C:$C,[3]Indicators!E$33,'[3]Data(perSeason,perCrop)'!$R:$R,"IRRIGATED"),"")</f>
        <v>#VALUE!</v>
      </c>
      <c r="F77" s="62" t="e">
        <f>IF(F67&gt;0,1-AVERAGEIFS('[3]Data(perSeason,perCrop)'!$E:$E,'[3]Data(perSeason,perCrop)'!$S:$S,$A67,'[3]Data(perSeason,perCrop)'!$O:$O,F60,'[3]Data(perSeason,perCrop)'!$C:$C,[3]Indicators!F$33,'[3]Data(perSeason,perCrop)'!$R:$R,"IRRIGATED")/AVERAGEIFS('[3]Data(perSeason,perCrop)'!$F:$F,'[3]Data(perSeason,perCrop)'!$S:$S,$A67,'[3]Data(perSeason,perCrop)'!$O:$O,F$31,'[3]Data(perSeason,perCrop)'!$C:$C,[3]Indicators!F$33,'[3]Data(perSeason,perCrop)'!$R:$R,"IRRIGATED"),"")</f>
        <v>#VALUE!</v>
      </c>
      <c r="G77" s="62" t="e">
        <f>IF(G67&gt;0,1-AVERAGEIFS('[3]Data(perSeason,perCrop)'!$E:$E,'[3]Data(perSeason,perCrop)'!$S:$S,$A67,'[3]Data(perSeason,perCrop)'!$O:$O,G60,'[3]Data(perSeason,perCrop)'!$C:$C,[3]Indicators!G$33,'[3]Data(perSeason,perCrop)'!$R:$R,"IRRIGATED")/AVERAGEIFS('[3]Data(perSeason,perCrop)'!$F:$F,'[3]Data(perSeason,perCrop)'!$S:$S,$A67,'[3]Data(perSeason,perCrop)'!$O:$O,G$31,'[3]Data(perSeason,perCrop)'!$C:$C,[3]Indicators!G$33,'[3]Data(perSeason,perCrop)'!$R:$R,"IRRIGATED"),"")</f>
        <v>#VALUE!</v>
      </c>
      <c r="H77" s="62" t="e">
        <f>IF(H67&gt;0,1-AVERAGEIFS('[3]Data(perSeason,perCrop)'!$E:$E,'[3]Data(perSeason,perCrop)'!$S:$S,$A67,'[3]Data(perSeason,perCrop)'!$O:$O,H60,'[3]Data(perSeason,perCrop)'!$C:$C,[3]Indicators!H$33,'[3]Data(perSeason,perCrop)'!$R:$R,"IRRIGATED")/AVERAGEIFS('[3]Data(perSeason,perCrop)'!$F:$F,'[3]Data(perSeason,perCrop)'!$S:$S,$A67,'[3]Data(perSeason,perCrop)'!$O:$O,H$31,'[3]Data(perSeason,perCrop)'!$C:$C,[3]Indicators!H$33,'[3]Data(perSeason,perCrop)'!$R:$R,"IRRIGATED"),"")</f>
        <v>#VALUE!</v>
      </c>
      <c r="I77" s="62" t="e">
        <f>IF(I67&gt;0,1-AVERAGEIFS('[3]Data(perSeason,perCrop)'!$E:$E,'[3]Data(perSeason,perCrop)'!$S:$S,$A67,'[3]Data(perSeason,perCrop)'!$O:$O,I60,'[3]Data(perSeason,perCrop)'!$C:$C,[3]Indicators!I$33,'[3]Data(perSeason,perCrop)'!$R:$R,"IRRIGATED")/AVERAGEIFS('[3]Data(perSeason,perCrop)'!$F:$F,'[3]Data(perSeason,perCrop)'!$S:$S,$A67,'[3]Data(perSeason,perCrop)'!$O:$O,I$31,'[3]Data(perSeason,perCrop)'!$C:$C,[3]Indicators!I$33,'[3]Data(perSeason,perCrop)'!$R:$R,"IRRIGATED"),"")</f>
        <v>#VALUE!</v>
      </c>
      <c r="J77" s="62" t="e">
        <f>IF(J67&gt;0,1-AVERAGEIFS('[3]Data(perSeason,perCrop)'!$E:$E,'[3]Data(perSeason,perCrop)'!$S:$S,$A67,'[3]Data(perSeason,perCrop)'!$O:$O,J60,'[3]Data(perSeason,perCrop)'!$C:$C,[3]Indicators!J$33,'[3]Data(perSeason,perCrop)'!$R:$R,"IRRIGATED")/AVERAGEIFS('[3]Data(perSeason,perCrop)'!$F:$F,'[3]Data(perSeason,perCrop)'!$S:$S,$A67,'[3]Data(perSeason,perCrop)'!$O:$O,J$31,'[3]Data(perSeason,perCrop)'!$C:$C,[3]Indicators!J$33,'[3]Data(perSeason,perCrop)'!$R:$R,"IRRIGATED"),"")</f>
        <v>#VALUE!</v>
      </c>
      <c r="K77" s="62" t="e">
        <f>IF(K67&gt;0,1-AVERAGEIFS('[3]Data(perSeason,perCrop)'!$E:$E,'[3]Data(perSeason,perCrop)'!$S:$S,$A67,'[3]Data(perSeason,perCrop)'!$O:$O,K60,'[3]Data(perSeason,perCrop)'!$C:$C,[3]Indicators!K$33,'[3]Data(perSeason,perCrop)'!$R:$R,"IRRIGATED")/AVERAGEIFS('[3]Data(perSeason,perCrop)'!$F:$F,'[3]Data(perSeason,perCrop)'!$S:$S,$A67,'[3]Data(perSeason,perCrop)'!$O:$O,K$31,'[3]Data(perSeason,perCrop)'!$C:$C,[3]Indicators!K$33,'[3]Data(perSeason,perCrop)'!$R:$R,"IRRIGATED"),"")</f>
        <v>#VALUE!</v>
      </c>
      <c r="L77" s="62" t="e">
        <f>IF(L67&gt;0,1-AVERAGEIFS('[3]Data(perSeason,perCrop)'!$E:$E,'[3]Data(perSeason,perCrop)'!$S:$S,$A67,'[3]Data(perSeason,perCrop)'!$O:$O,L60,'[3]Data(perSeason,perCrop)'!$C:$C,[3]Indicators!L$33,'[3]Data(perSeason,perCrop)'!$R:$R,"IRRIGATED")/AVERAGEIFS('[3]Data(perSeason,perCrop)'!$F:$F,'[3]Data(perSeason,perCrop)'!$S:$S,$A67,'[3]Data(perSeason,perCrop)'!$O:$O,L$31,'[3]Data(perSeason,perCrop)'!$C:$C,[3]Indicators!L$33,'[3]Data(perSeason,perCrop)'!$R:$R,"IRRIGATED"),"")</f>
        <v>#VALUE!</v>
      </c>
      <c r="M77" s="62" t="e">
        <f>IF(M67&gt;0,1-AVERAGEIFS('[3]Data(perSeason,perCrop)'!$E:$E,'[3]Data(perSeason,perCrop)'!$S:$S,$A67,'[3]Data(perSeason,perCrop)'!$O:$O,M60,'[3]Data(perSeason,perCrop)'!$C:$C,[3]Indicators!M$33,'[3]Data(perSeason,perCrop)'!$R:$R,"IRRIGATED")/AVERAGEIFS('[3]Data(perSeason,perCrop)'!$F:$F,'[3]Data(perSeason,perCrop)'!$S:$S,$A67,'[3]Data(perSeason,perCrop)'!$O:$O,M$31,'[3]Data(perSeason,perCrop)'!$C:$C,[3]Indicators!M$33,'[3]Data(perSeason,perCrop)'!$R:$R,"IRRIGATED"),"")</f>
        <v>#VALUE!</v>
      </c>
      <c r="N77" s="62" t="e">
        <f>IF(N67&gt;0,1-AVERAGEIFS('[3]Data(perSeason,perCrop)'!$E:$E,'[3]Data(perSeason,perCrop)'!$S:$S,$A67,'[3]Data(perSeason,perCrop)'!$O:$O,N60,'[3]Data(perSeason,perCrop)'!$C:$C,[3]Indicators!N$33,'[3]Data(perSeason,perCrop)'!$R:$R,"IRRIGATED")/AVERAGEIFS('[3]Data(perSeason,perCrop)'!$F:$F,'[3]Data(perSeason,perCrop)'!$S:$S,$A67,'[3]Data(perSeason,perCrop)'!$O:$O,N$31,'[3]Data(perSeason,perCrop)'!$C:$C,[3]Indicators!N$33,'[3]Data(perSeason,perCrop)'!$R:$R,"IRRIGATED"),"")</f>
        <v>#VALUE!</v>
      </c>
      <c r="O77" s="62" t="e">
        <f>IF(O67&gt;0,1-AVERAGEIFS('[3]Data(perSeason,perCrop)'!$E:$E,'[3]Data(perSeason,perCrop)'!$S:$S,$A67,'[3]Data(perSeason,perCrop)'!$O:$O,O60,'[3]Data(perSeason,perCrop)'!$C:$C,[3]Indicators!O$33,'[3]Data(perSeason,perCrop)'!$R:$R,"IRRIGATED")/AVERAGEIFS('[3]Data(perSeason,perCrop)'!$F:$F,'[3]Data(perSeason,perCrop)'!$S:$S,$A67,'[3]Data(perSeason,perCrop)'!$O:$O,O$31,'[3]Data(perSeason,perCrop)'!$C:$C,[3]Indicators!O$33,'[3]Data(perSeason,perCrop)'!$R:$R,"IRRIGATED"),"")</f>
        <v>#VALUE!</v>
      </c>
      <c r="P77" s="62" t="e">
        <f>IF(P67&gt;0,1-AVERAGEIFS('[3]Data(perSeason,perCrop)'!$E:$E,'[3]Data(perSeason,perCrop)'!$S:$S,$A67,'[3]Data(perSeason,perCrop)'!$O:$O,P60,'[3]Data(perSeason,perCrop)'!$C:$C,[3]Indicators!P$33,'[3]Data(perSeason,perCrop)'!$R:$R,"IRRIGATED")/AVERAGEIFS('[3]Data(perSeason,perCrop)'!$F:$F,'[3]Data(perSeason,perCrop)'!$S:$S,$A67,'[3]Data(perSeason,perCrop)'!$O:$O,P$31,'[3]Data(perSeason,perCrop)'!$C:$C,[3]Indicators!P$33,'[3]Data(perSeason,perCrop)'!$R:$R,"IRRIGATED"),"")</f>
        <v>#VALUE!</v>
      </c>
      <c r="Q77" s="62" t="e">
        <f>IF(Q67&gt;0,1-AVERAGEIFS('[3]Data(perSeason,perCrop)'!$E:$E,'[3]Data(perSeason,perCrop)'!$S:$S,$A67,'[3]Data(perSeason,perCrop)'!$O:$O,Q60,'[3]Data(perSeason,perCrop)'!$C:$C,[3]Indicators!Q$33,'[3]Data(perSeason,perCrop)'!$R:$R,"IRRIGATED")/AVERAGEIFS('[3]Data(perSeason,perCrop)'!$F:$F,'[3]Data(perSeason,perCrop)'!$S:$S,$A67,'[3]Data(perSeason,perCrop)'!$O:$O,Q$31,'[3]Data(perSeason,perCrop)'!$C:$C,[3]Indicators!Q$33,'[3]Data(perSeason,perCrop)'!$R:$R,"IRRIGATED"),"")</f>
        <v>#VALUE!</v>
      </c>
      <c r="R77" s="62" t="e">
        <f>IF(R67&gt;0,1-AVERAGEIFS('[3]Data(perSeason,perCrop)'!$E:$E,'[3]Data(perSeason,perCrop)'!$S:$S,$A67,'[3]Data(perSeason,perCrop)'!$O:$O,R60,'[3]Data(perSeason,perCrop)'!$C:$C,[3]Indicators!R$33,'[3]Data(perSeason,perCrop)'!$R:$R,"IRRIGATED")/AVERAGEIFS('[3]Data(perSeason,perCrop)'!$F:$F,'[3]Data(perSeason,perCrop)'!$S:$S,$A67,'[3]Data(perSeason,perCrop)'!$O:$O,R$31,'[3]Data(perSeason,perCrop)'!$C:$C,[3]Indicators!R$33,'[3]Data(perSeason,perCrop)'!$R:$R,"IRRIGATED"),"")</f>
        <v>#VALUE!</v>
      </c>
      <c r="S77" s="62" t="e">
        <f>IF(S67&gt;0,1-AVERAGEIFS('[3]Data(perSeason,perCrop)'!$E:$E,'[3]Data(perSeason,perCrop)'!$S:$S,$A67,'[3]Data(perSeason,perCrop)'!$O:$O,S60,'[3]Data(perSeason,perCrop)'!$C:$C,[3]Indicators!S$33,'[3]Data(perSeason,perCrop)'!$R:$R,"IRRIGATED")/AVERAGEIFS('[3]Data(perSeason,perCrop)'!$F:$F,'[3]Data(perSeason,perCrop)'!$S:$S,$A67,'[3]Data(perSeason,perCrop)'!$O:$O,S$31,'[3]Data(perSeason,perCrop)'!$C:$C,[3]Indicators!S$33,'[3]Data(perSeason,perCrop)'!$R:$R,"IRRIGATED"),"")</f>
        <v>#VALUE!</v>
      </c>
      <c r="T77" s="62" t="e">
        <f>IF(T67&gt;0,1-AVERAGEIFS('[3]Data(perSeason,perCrop)'!$E:$E,'[3]Data(perSeason,perCrop)'!$S:$S,$A67,'[3]Data(perSeason,perCrop)'!$O:$O,T60,'[3]Data(perSeason,perCrop)'!$C:$C,[3]Indicators!T$33,'[3]Data(perSeason,perCrop)'!$R:$R,"IRRIGATED")/AVERAGEIFS('[3]Data(perSeason,perCrop)'!$F:$F,'[3]Data(perSeason,perCrop)'!$S:$S,$A67,'[3]Data(perSeason,perCrop)'!$O:$O,T$31,'[3]Data(perSeason,perCrop)'!$C:$C,[3]Indicators!T$33,'[3]Data(perSeason,perCrop)'!$R:$R,"IRRIGATED"),"")</f>
        <v>#VALUE!</v>
      </c>
      <c r="U77" s="62" t="e">
        <f>IF(U67&gt;0,1-AVERAGEIFS('[3]Data(perSeason,perCrop)'!$E:$E,'[3]Data(perSeason,perCrop)'!$S:$S,$A67,'[3]Data(perSeason,perCrop)'!$O:$O,U60,'[3]Data(perSeason,perCrop)'!$C:$C,[3]Indicators!U$33,'[3]Data(perSeason,perCrop)'!$R:$R,"IRRIGATED")/AVERAGEIFS('[3]Data(perSeason,perCrop)'!$F:$F,'[3]Data(perSeason,perCrop)'!$S:$S,$A67,'[3]Data(perSeason,perCrop)'!$O:$O,U$31,'[3]Data(perSeason,perCrop)'!$C:$C,[3]Indicators!U$33,'[3]Data(perSeason,perCrop)'!$R:$R,"IRRIGATED"),"")</f>
        <v>#VALUE!</v>
      </c>
      <c r="V77" s="62" t="e">
        <f>IF(V67&gt;0,1-AVERAGEIFS('[3]Data(perSeason,perCrop)'!$E:$E,'[3]Data(perSeason,perCrop)'!$S:$S,$A67,'[3]Data(perSeason,perCrop)'!$O:$O,V60,'[3]Data(perSeason,perCrop)'!$C:$C,[3]Indicators!V$33,'[3]Data(perSeason,perCrop)'!$R:$R,"IRRIGATED")/AVERAGEIFS('[3]Data(perSeason,perCrop)'!$F:$F,'[3]Data(perSeason,perCrop)'!$S:$S,$A67,'[3]Data(perSeason,perCrop)'!$O:$O,V$31,'[3]Data(perSeason,perCrop)'!$C:$C,[3]Indicators!V$33,'[3]Data(perSeason,perCrop)'!$R:$R,"IRRIGATED"),"")</f>
        <v>#VALUE!</v>
      </c>
      <c r="W77" s="62" t="e">
        <f>IF(W67&gt;0,1-AVERAGEIFS('[3]Data(perSeason,perCrop)'!$E:$E,'[3]Data(perSeason,perCrop)'!$S:$S,$A67,'[3]Data(perSeason,perCrop)'!$O:$O,W60,'[3]Data(perSeason,perCrop)'!$C:$C,[3]Indicators!W$33,'[3]Data(perSeason,perCrop)'!$R:$R,"IRRIGATED")/AVERAGEIFS('[3]Data(perSeason,perCrop)'!$F:$F,'[3]Data(perSeason,perCrop)'!$S:$S,$A67,'[3]Data(perSeason,perCrop)'!$O:$O,W$31,'[3]Data(perSeason,perCrop)'!$C:$C,[3]Indicators!W$33,'[3]Data(perSeason,perCrop)'!$R:$R,"IRRIGATED"),"")</f>
        <v>#VALUE!</v>
      </c>
      <c r="X77" s="62" t="e">
        <f>IF(X67&gt;0,1-AVERAGEIFS('[3]Data(perSeason,perCrop)'!$E:$E,'[3]Data(perSeason,perCrop)'!$S:$S,$A67,'[3]Data(perSeason,perCrop)'!$O:$O,X60,'[3]Data(perSeason,perCrop)'!$C:$C,[3]Indicators!X$33,'[3]Data(perSeason,perCrop)'!$R:$R,"IRRIGATED")/AVERAGEIFS('[3]Data(perSeason,perCrop)'!$F:$F,'[3]Data(perSeason,perCrop)'!$S:$S,$A67,'[3]Data(perSeason,perCrop)'!$O:$O,X$31,'[3]Data(perSeason,perCrop)'!$C:$C,[3]Indicators!X$33,'[3]Data(perSeason,perCrop)'!$R:$R,"IRRIGATED"),"")</f>
        <v>#VALUE!</v>
      </c>
      <c r="Y77" s="62" t="e">
        <f>IF(Y67&gt;0,1-AVERAGEIFS('[3]Data(perSeason,perCrop)'!$E:$E,'[3]Data(perSeason,perCrop)'!$S:$S,$A67,'[3]Data(perSeason,perCrop)'!$O:$O,Y60,'[3]Data(perSeason,perCrop)'!$C:$C,[3]Indicators!Y$33,'[3]Data(perSeason,perCrop)'!$R:$R,"IRRIGATED")/AVERAGEIFS('[3]Data(perSeason,perCrop)'!$F:$F,'[3]Data(perSeason,perCrop)'!$S:$S,$A67,'[3]Data(perSeason,perCrop)'!$O:$O,Y$31,'[3]Data(perSeason,perCrop)'!$C:$C,[3]Indicators!Y$33,'[3]Data(perSeason,perCrop)'!$R:$R,"IRRIGATED"),"")</f>
        <v>#VALUE!</v>
      </c>
      <c r="Z77" s="62" t="e">
        <f>IF(Z67&gt;0,1-AVERAGEIFS('[3]Data(perSeason,perCrop)'!$E:$E,'[3]Data(perSeason,perCrop)'!$S:$S,$A67,'[3]Data(perSeason,perCrop)'!$O:$O,Z60,'[3]Data(perSeason,perCrop)'!$C:$C,[3]Indicators!Z$33,'[3]Data(perSeason,perCrop)'!$R:$R,"IRRIGATED")/AVERAGEIFS('[3]Data(perSeason,perCrop)'!$F:$F,'[3]Data(perSeason,perCrop)'!$S:$S,$A67,'[3]Data(perSeason,perCrop)'!$O:$O,Z$31,'[3]Data(perSeason,perCrop)'!$C:$C,[3]Indicators!Z$33,'[3]Data(perSeason,perCrop)'!$R:$R,"IRRIGATED"),"")</f>
        <v>#VALUE!</v>
      </c>
      <c r="AA77" s="62" t="e">
        <f>IF(AA67&gt;0,1-AVERAGEIFS('[3]Data(perSeason,perCrop)'!$E:$E,'[3]Data(perSeason,perCrop)'!$S:$S,$A67,'[3]Data(perSeason,perCrop)'!$O:$O,AA60,'[3]Data(perSeason,perCrop)'!$C:$C,[3]Indicators!AA$33,'[3]Data(perSeason,perCrop)'!$R:$R,"IRRIGATED")/AVERAGEIFS('[3]Data(perSeason,perCrop)'!$F:$F,'[3]Data(perSeason,perCrop)'!$S:$S,$A67,'[3]Data(perSeason,perCrop)'!$O:$O,AA$31,'[3]Data(perSeason,perCrop)'!$C:$C,[3]Indicators!AA$33,'[3]Data(perSeason,perCrop)'!$R:$R,"IRRIGATED"),"")</f>
        <v>#VALUE!</v>
      </c>
      <c r="AB77" s="62" t="e">
        <f>IF(AB67&gt;0,1-AVERAGEIFS('[3]Data(perSeason,perCrop)'!$E:$E,'[3]Data(perSeason,perCrop)'!$S:$S,$A67,'[3]Data(perSeason,perCrop)'!$O:$O,AB60,'[3]Data(perSeason,perCrop)'!$C:$C,[3]Indicators!AB$33,'[3]Data(perSeason,perCrop)'!$R:$R,"IRRIGATED")/AVERAGEIFS('[3]Data(perSeason,perCrop)'!$F:$F,'[3]Data(perSeason,perCrop)'!$S:$S,$A67,'[3]Data(perSeason,perCrop)'!$O:$O,AB$31,'[3]Data(perSeason,perCrop)'!$C:$C,[3]Indicators!AB$33,'[3]Data(perSeason,perCrop)'!$R:$R,"IRRIGATED"),"")</f>
        <v>#VALUE!</v>
      </c>
      <c r="AC77" s="62" t="e">
        <f>IF(AC67&gt;0,1-AVERAGEIFS('[3]Data(perSeason,perCrop)'!$E:$E,'[3]Data(perSeason,perCrop)'!$S:$S,$A67,'[3]Data(perSeason,perCrop)'!$O:$O,AC60,'[3]Data(perSeason,perCrop)'!$C:$C,[3]Indicators!AC$33,'[3]Data(perSeason,perCrop)'!$R:$R,"IRRIGATED")/AVERAGEIFS('[3]Data(perSeason,perCrop)'!$F:$F,'[3]Data(perSeason,perCrop)'!$S:$S,$A67,'[3]Data(perSeason,perCrop)'!$O:$O,AC$31,'[3]Data(perSeason,perCrop)'!$C:$C,[3]Indicators!AC$33,'[3]Data(perSeason,perCrop)'!$R:$R,"IRRIGATED"),"")</f>
        <v>#VALUE!</v>
      </c>
      <c r="AD77" s="62" t="e">
        <f>IF(AD67&gt;0,1-AVERAGEIFS('[3]Data(perSeason,perCrop)'!$E:$E,'[3]Data(perSeason,perCrop)'!$S:$S,$A67,'[3]Data(perSeason,perCrop)'!$O:$O,AD60,'[3]Data(perSeason,perCrop)'!$C:$C,[3]Indicators!AD$33,'[3]Data(perSeason,perCrop)'!$R:$R,"IRRIGATED")/AVERAGEIFS('[3]Data(perSeason,perCrop)'!$F:$F,'[3]Data(perSeason,perCrop)'!$S:$S,$A67,'[3]Data(perSeason,perCrop)'!$O:$O,AD$31,'[3]Data(perSeason,perCrop)'!$C:$C,[3]Indicators!AD$33,'[3]Data(perSeason,perCrop)'!$R:$R,"IRRIGATED"),"")</f>
        <v>#VALUE!</v>
      </c>
      <c r="AE77" s="62" t="e">
        <f>IF(AE67&gt;0,1-AVERAGEIFS('[3]Data(perSeason,perCrop)'!$E:$E,'[3]Data(perSeason,perCrop)'!$S:$S,$A67,'[3]Data(perSeason,perCrop)'!$O:$O,AE60,'[3]Data(perSeason,perCrop)'!$C:$C,[3]Indicators!AE$33,'[3]Data(perSeason,perCrop)'!$R:$R,"IRRIGATED")/AVERAGEIFS('[3]Data(perSeason,perCrop)'!$F:$F,'[3]Data(perSeason,perCrop)'!$S:$S,$A67,'[3]Data(perSeason,perCrop)'!$O:$O,AE$31,'[3]Data(perSeason,perCrop)'!$C:$C,[3]Indicators!AE$33,'[3]Data(perSeason,perCrop)'!$R:$R,"IRRIGATED"),"")</f>
        <v>#VALUE!</v>
      </c>
      <c r="AF77" s="62" t="e">
        <f>IF(AF67&gt;0,1-AVERAGEIFS('[3]Data(perSeason,perCrop)'!$E:$E,'[3]Data(perSeason,perCrop)'!$S:$S,$A67,'[3]Data(perSeason,perCrop)'!$O:$O,AF60,'[3]Data(perSeason,perCrop)'!$C:$C,[3]Indicators!AF$33,'[3]Data(perSeason,perCrop)'!$R:$R,"IRRIGATED")/AVERAGEIFS('[3]Data(perSeason,perCrop)'!$F:$F,'[3]Data(perSeason,perCrop)'!$S:$S,$A67,'[3]Data(perSeason,perCrop)'!$O:$O,AF$31,'[3]Data(perSeason,perCrop)'!$C:$C,[3]Indicators!AF$33,'[3]Data(perSeason,perCrop)'!$R:$R,"IRRIGATED"),"")</f>
        <v>#VALUE!</v>
      </c>
    </row>
    <row r="79" spans="1:32" ht="18.75" x14ac:dyDescent="0.3">
      <c r="A79" s="42" t="s">
        <v>187</v>
      </c>
      <c r="B79" s="42" t="s">
        <v>188</v>
      </c>
      <c r="C79" s="7"/>
      <c r="O79" s="7"/>
      <c r="P79" s="7"/>
      <c r="Q79" s="7"/>
      <c r="R79" s="7"/>
      <c r="S79" s="7"/>
      <c r="T79" s="7"/>
      <c r="U79" s="7"/>
      <c r="V79" t="s">
        <v>189</v>
      </c>
      <c r="W79" t="s">
        <v>189</v>
      </c>
      <c r="X79" t="s">
        <v>189</v>
      </c>
      <c r="Y79" t="s">
        <v>189</v>
      </c>
      <c r="Z79" t="s">
        <v>189</v>
      </c>
      <c r="AA79" t="s">
        <v>189</v>
      </c>
      <c r="AB79" t="s">
        <v>189</v>
      </c>
      <c r="AC79" t="s">
        <v>189</v>
      </c>
      <c r="AD79" t="s">
        <v>189</v>
      </c>
      <c r="AE79" t="s">
        <v>189</v>
      </c>
      <c r="AF79" t="s">
        <v>189</v>
      </c>
    </row>
    <row r="80" spans="1:32" ht="18.75" x14ac:dyDescent="0.3">
      <c r="A80" s="42">
        <v>2018</v>
      </c>
      <c r="B80" s="63" t="e">
        <f>IF(COUNTIFS('[3]Data(perSeason,perCrop)'!$S:$S,[3]Indicators!$A81)&gt;0,SUMPRODUCT(B63:AF63,B73:AF73)/SUM(B63:AF63),"")</f>
        <v>#VALUE!</v>
      </c>
      <c r="C80" s="7"/>
      <c r="O80" s="7"/>
      <c r="P80" s="7"/>
      <c r="Q80" s="7"/>
      <c r="R80" s="7"/>
      <c r="S80" s="7"/>
      <c r="T80" s="7"/>
      <c r="U80" s="7"/>
      <c r="V80" t="s">
        <v>189</v>
      </c>
      <c r="W80" t="s">
        <v>189</v>
      </c>
      <c r="X80" t="s">
        <v>189</v>
      </c>
      <c r="Y80" t="s">
        <v>189</v>
      </c>
      <c r="Z80" t="s">
        <v>189</v>
      </c>
      <c r="AA80" t="s">
        <v>189</v>
      </c>
      <c r="AB80" t="s">
        <v>189</v>
      </c>
      <c r="AC80" t="s">
        <v>189</v>
      </c>
      <c r="AD80" t="s">
        <v>189</v>
      </c>
      <c r="AE80" t="s">
        <v>189</v>
      </c>
      <c r="AF80" t="s">
        <v>189</v>
      </c>
    </row>
    <row r="81" spans="1:32" ht="18.75" x14ac:dyDescent="0.3">
      <c r="A81" s="42">
        <v>2019</v>
      </c>
      <c r="B81" s="63" t="e">
        <f>IF(COUNTIFS('[3]Data(perSeason,perCrop)'!$S:$S,[3]Indicators!$A82)&gt;0,SUMPRODUCT(B64:AF64,B74:AF74)/SUM(B64:AF64),"")</f>
        <v>#VALUE!</v>
      </c>
      <c r="C81" s="7"/>
      <c r="O81" s="7"/>
      <c r="P81" s="7"/>
      <c r="Q81" s="7"/>
      <c r="R81" s="7"/>
      <c r="S81" s="7"/>
      <c r="T81" s="7"/>
      <c r="U81" s="7"/>
      <c r="V81" t="s">
        <v>189</v>
      </c>
      <c r="W81" t="s">
        <v>189</v>
      </c>
      <c r="X81" t="s">
        <v>189</v>
      </c>
      <c r="Y81" t="s">
        <v>189</v>
      </c>
      <c r="Z81" t="s">
        <v>189</v>
      </c>
      <c r="AA81" t="s">
        <v>189</v>
      </c>
      <c r="AB81" t="s">
        <v>189</v>
      </c>
      <c r="AC81" t="s">
        <v>189</v>
      </c>
      <c r="AD81" t="s">
        <v>189</v>
      </c>
      <c r="AE81" t="s">
        <v>189</v>
      </c>
      <c r="AF81" t="s">
        <v>189</v>
      </c>
    </row>
    <row r="82" spans="1:32" ht="18.75" x14ac:dyDescent="0.3">
      <c r="A82" s="42">
        <v>2020</v>
      </c>
      <c r="B82" s="63" t="e">
        <f>IF(COUNTIFS('[3]Data(perSeason,perCrop)'!$S:$S,[3]Indicators!$A83)&gt;0,SUMPRODUCT(B65:AF65,B75:AF75)/SUM(B65:AF65),"")</f>
        <v>#VALUE!</v>
      </c>
      <c r="C82" s="7"/>
      <c r="O82" s="7"/>
      <c r="P82" s="7"/>
      <c r="Q82" s="7"/>
      <c r="R82" s="7"/>
      <c r="S82" s="7"/>
      <c r="T82" s="7"/>
      <c r="U82" s="7"/>
      <c r="V82" t="s">
        <v>189</v>
      </c>
      <c r="W82" t="s">
        <v>189</v>
      </c>
      <c r="X82" t="s">
        <v>189</v>
      </c>
      <c r="Y82" t="s">
        <v>189</v>
      </c>
      <c r="Z82" t="s">
        <v>189</v>
      </c>
      <c r="AA82" t="s">
        <v>189</v>
      </c>
      <c r="AB82" t="s">
        <v>189</v>
      </c>
      <c r="AC82" t="s">
        <v>189</v>
      </c>
      <c r="AD82" t="s">
        <v>189</v>
      </c>
      <c r="AE82" t="s">
        <v>189</v>
      </c>
      <c r="AF82" t="s">
        <v>189</v>
      </c>
    </row>
    <row r="83" spans="1:32" ht="18.75" x14ac:dyDescent="0.3">
      <c r="A83" s="42">
        <v>2021</v>
      </c>
      <c r="B83" s="63" t="e">
        <f>IF(COUNTIFS('[3]Data(perSeason,perCrop)'!$S:$S,[3]Indicators!$A84)&gt;0,SUMPRODUCT(B66:AF66,B76:AF76)/SUM(B66:AF66),"")</f>
        <v>#VALUE!</v>
      </c>
      <c r="C83" s="7"/>
      <c r="O83" s="7"/>
      <c r="P83" s="7"/>
      <c r="Q83" s="7"/>
      <c r="R83" s="7"/>
      <c r="S83" s="7"/>
      <c r="T83" s="7"/>
      <c r="U83" s="7"/>
      <c r="V83" t="s">
        <v>189</v>
      </c>
      <c r="W83" t="s">
        <v>189</v>
      </c>
      <c r="X83" t="s">
        <v>189</v>
      </c>
      <c r="Y83" t="s">
        <v>189</v>
      </c>
      <c r="Z83" t="s">
        <v>189</v>
      </c>
      <c r="AA83" t="s">
        <v>189</v>
      </c>
      <c r="AB83" t="s">
        <v>189</v>
      </c>
      <c r="AC83" t="s">
        <v>189</v>
      </c>
      <c r="AD83" t="s">
        <v>189</v>
      </c>
      <c r="AE83" t="s">
        <v>189</v>
      </c>
      <c r="AF83" t="s">
        <v>189</v>
      </c>
    </row>
    <row r="84" spans="1:32" ht="18.75" x14ac:dyDescent="0.3">
      <c r="A84" s="42">
        <v>2022</v>
      </c>
      <c r="B84" s="63" t="e">
        <f>IF(COUNTIFS('[3]Data(perSeason,perCrop)'!$S:$S,[3]Indicators!$A85)&gt;0,SUMPRODUCT(B67:AF67,B77:AF77)/SUM(B67:AF67),"")</f>
        <v>#VALUE!</v>
      </c>
    </row>
    <row r="85" spans="1:32" ht="18.75" x14ac:dyDescent="0.3">
      <c r="A85" s="47" t="s">
        <v>184</v>
      </c>
      <c r="B85" s="52" t="e">
        <f>AVERAGE(B80:B84)</f>
        <v>#VALUE!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FC45-31FA-4454-9920-E3AC635113C0}">
  <dimension ref="A2:AF186"/>
  <sheetViews>
    <sheetView topLeftCell="A139" zoomScale="55" zoomScaleNormal="55" workbookViewId="0">
      <selection activeCell="M38" sqref="M38"/>
    </sheetView>
  </sheetViews>
  <sheetFormatPr defaultRowHeight="15.75" x14ac:dyDescent="0.25"/>
  <cols>
    <col min="1" max="1" width="25.75" customWidth="1"/>
    <col min="2" max="2" width="28.875" customWidth="1"/>
    <col min="3" max="3" width="28.125" customWidth="1"/>
    <col min="4" max="4" width="18.875" customWidth="1"/>
    <col min="5" max="5" width="23.25" customWidth="1"/>
    <col min="6" max="6" width="18.75" customWidth="1"/>
    <col min="7" max="7" width="21.75" customWidth="1"/>
    <col min="8" max="8" width="25.625" customWidth="1"/>
    <col min="9" max="9" width="20.625" customWidth="1"/>
    <col min="10" max="10" width="9" customWidth="1"/>
    <col min="15" max="15" width="28.5" customWidth="1"/>
    <col min="16" max="16" width="19.25" customWidth="1"/>
  </cols>
  <sheetData>
    <row r="2" spans="1:12" ht="18.75" x14ac:dyDescent="0.3">
      <c r="A2" s="42" t="s">
        <v>210</v>
      </c>
      <c r="B2" s="42" t="s">
        <v>195</v>
      </c>
      <c r="C2" s="42" t="s">
        <v>196</v>
      </c>
      <c r="D2" s="42" t="s">
        <v>197</v>
      </c>
      <c r="E2" s="42" t="s">
        <v>198</v>
      </c>
      <c r="I2" s="7"/>
      <c r="J2" s="7"/>
      <c r="K2" s="7"/>
      <c r="L2" s="7"/>
    </row>
    <row r="3" spans="1:12" ht="18.75" x14ac:dyDescent="0.3">
      <c r="A3" s="42">
        <v>2018</v>
      </c>
      <c r="B3" s="63">
        <f>B90</f>
        <v>2.1635978201210526</v>
      </c>
      <c r="C3" s="63">
        <f>B135</f>
        <v>2.7661808572205873</v>
      </c>
      <c r="D3" s="63">
        <f>B181</f>
        <v>0.71536460966167059</v>
      </c>
      <c r="E3" s="63">
        <f>B44</f>
        <v>2.1614900617109734</v>
      </c>
      <c r="I3" s="7"/>
      <c r="J3" s="7"/>
      <c r="K3" s="7"/>
      <c r="L3" s="7"/>
    </row>
    <row r="4" spans="1:12" ht="18.75" x14ac:dyDescent="0.3">
      <c r="A4" s="42">
        <v>2019</v>
      </c>
      <c r="B4" s="63">
        <f>B91</f>
        <v>1.7275766348426111</v>
      </c>
      <c r="C4" s="63">
        <f>B136</f>
        <v>2.9505460496041942</v>
      </c>
      <c r="D4" s="63">
        <f>B182</f>
        <v>1.2490338663243643</v>
      </c>
      <c r="E4" s="63">
        <f>B45</f>
        <v>1.9342508518723778</v>
      </c>
      <c r="I4" s="7"/>
      <c r="J4" s="7"/>
      <c r="K4" s="7"/>
      <c r="L4" s="7"/>
    </row>
    <row r="5" spans="1:12" ht="18.75" x14ac:dyDescent="0.3">
      <c r="A5" s="42">
        <v>2020</v>
      </c>
      <c r="B5" s="63">
        <f>B92</f>
        <v>1.5282687649005511</v>
      </c>
      <c r="C5" s="63">
        <f>B137</f>
        <v>2.3525846832570418</v>
      </c>
      <c r="D5" s="63">
        <f>B183</f>
        <v>0.86386716245799489</v>
      </c>
      <c r="E5" s="63">
        <f>B46</f>
        <v>1.6975784241196321</v>
      </c>
      <c r="I5" s="7"/>
      <c r="J5" s="7"/>
      <c r="K5" s="7"/>
      <c r="L5" s="7"/>
    </row>
    <row r="6" spans="1:12" ht="18.75" x14ac:dyDescent="0.3">
      <c r="A6" s="42">
        <v>2021</v>
      </c>
      <c r="B6" s="63">
        <f>B93</f>
        <v>1.7117526189572794</v>
      </c>
      <c r="C6" s="63">
        <f>B138</f>
        <v>2.4470121184487335</v>
      </c>
      <c r="D6" s="63">
        <f>B184</f>
        <v>0.64157111801386746</v>
      </c>
      <c r="E6" s="63">
        <f>B47</f>
        <v>1.8150261521513418</v>
      </c>
      <c r="I6" s="7"/>
      <c r="J6" s="7"/>
      <c r="K6" s="7"/>
      <c r="L6" s="7"/>
    </row>
    <row r="7" spans="1:12" ht="18.75" x14ac:dyDescent="0.3">
      <c r="A7" s="42">
        <v>2022</v>
      </c>
      <c r="B7" s="63">
        <f>B94</f>
        <v>1.8293958497218885</v>
      </c>
      <c r="C7" s="63">
        <f>B139</f>
        <v>2.8587855987107749</v>
      </c>
      <c r="D7" s="63">
        <f>B185</f>
        <v>0.86010637031036208</v>
      </c>
      <c r="E7" s="63">
        <f>B48</f>
        <v>1.9794975736209042</v>
      </c>
      <c r="I7" s="7"/>
      <c r="J7" s="7"/>
      <c r="K7" s="7"/>
      <c r="L7" s="7"/>
    </row>
    <row r="8" spans="1:12" ht="18.75" x14ac:dyDescent="0.3">
      <c r="A8" s="47" t="s">
        <v>184</v>
      </c>
      <c r="B8" s="52">
        <f>AVERAGE(B3:B7)</f>
        <v>1.7921183377086767</v>
      </c>
      <c r="C8" s="52">
        <f t="shared" ref="C8:E8" si="0">AVERAGE(C3:C7)</f>
        <v>2.6750218614482661</v>
      </c>
      <c r="D8" s="52">
        <f t="shared" si="0"/>
        <v>0.86598862535365184</v>
      </c>
      <c r="E8" s="52">
        <f t="shared" si="0"/>
        <v>1.917568612695046</v>
      </c>
    </row>
    <row r="10" spans="1:12" ht="28.5" x14ac:dyDescent="0.45">
      <c r="A10" s="74" t="s">
        <v>198</v>
      </c>
    </row>
    <row r="11" spans="1:12" ht="18.75" x14ac:dyDescent="0.3">
      <c r="A11" s="42" t="s">
        <v>23</v>
      </c>
      <c r="B11" s="58" t="s">
        <v>42</v>
      </c>
      <c r="C11" s="58" t="s">
        <v>44</v>
      </c>
      <c r="D11" s="58" t="s">
        <v>45</v>
      </c>
      <c r="E11" s="58" t="s">
        <v>46</v>
      </c>
      <c r="F11" s="58" t="s">
        <v>38</v>
      </c>
      <c r="G11" s="58" t="s">
        <v>40</v>
      </c>
      <c r="H11" s="58" t="s">
        <v>43</v>
      </c>
      <c r="I11" s="58" t="s">
        <v>41</v>
      </c>
    </row>
    <row r="12" spans="1:12" ht="18.75" x14ac:dyDescent="0.3">
      <c r="A12" s="42">
        <v>2018</v>
      </c>
      <c r="B12" s="59">
        <f>SUMIFS('Data(perSeason,perCrop)'!$A:$A,'Data(perSeason,perCrop)'!$S:$S,$A12,'Data(perSeason,perCrop)'!$O:$O,0,'Data(perSeason,perCrop)'!$C:$C,B$11,'Data(perSeason,perCrop)'!$R:$R,"IRRIGATED")</f>
        <v>59.843343867378898</v>
      </c>
      <c r="C12" s="59">
        <f>SUMIFS('Data(perSeason,perCrop)'!$A:$A,'Data(perSeason,perCrop)'!$S:$S,$A12,'Data(perSeason,perCrop)'!$O:$O,0,'Data(perSeason,perCrop)'!$C:$C,C$11,'Data(perSeason,perCrop)'!$R:$R,"IRRIGATED")</f>
        <v>0</v>
      </c>
      <c r="D12" s="59">
        <f>SUMIFS('Data(perSeason,perCrop)'!$A:$A,'Data(perSeason,perCrop)'!$S:$S,$A12,'Data(perSeason,perCrop)'!$O:$O,0,'Data(perSeason,perCrop)'!$C:$C,D$11,'Data(perSeason,perCrop)'!$R:$R,"IRRIGATED")</f>
        <v>0</v>
      </c>
      <c r="E12" s="59">
        <f>SUMIFS('Data(perSeason,perCrop)'!$A:$A,'Data(perSeason,perCrop)'!$S:$S,$A12,'Data(perSeason,perCrop)'!$O:$O,0,'Data(perSeason,perCrop)'!$C:$C,E$11,'Data(perSeason,perCrop)'!$R:$R,"IRRIGATED")</f>
        <v>674.82990028568304</v>
      </c>
      <c r="F12" s="59">
        <f>SUMIFS('Data(perSeason,perCrop)'!$A:$A,'Data(perSeason,perCrop)'!$S:$S,$A12,'Data(perSeason,perCrop)'!$O:$O,0,'Data(perSeason,perCrop)'!$C:$C,F$11,'Data(perSeason,perCrop)'!$R:$R,"IRRIGATED")</f>
        <v>6429.0185732130503</v>
      </c>
      <c r="G12" s="59">
        <f>SUMIFS('Data(perSeason,perCrop)'!$A:$A,'Data(perSeason,perCrop)'!$S:$S,$A12,'Data(perSeason,perCrop)'!$O:$O,0,'Data(perSeason,perCrop)'!$C:$C,G$11,'Data(perSeason,perCrop)'!$R:$R,"IRRIGATED")</f>
        <v>0</v>
      </c>
      <c r="H12" s="59">
        <f>SUMIFS('Data(perSeason,perCrop)'!$A:$A,'Data(perSeason,perCrop)'!$S:$S,$A12,'Data(perSeason,perCrop)'!$O:$O,0,'Data(perSeason,perCrop)'!$C:$C,H$11,'Data(perSeason,perCrop)'!$R:$R,"IRRIGATED")</f>
        <v>2204.0051542435499</v>
      </c>
      <c r="I12" s="59">
        <f>SUMIFS('Data(perSeason,perCrop)'!$A:$A,'Data(perSeason,perCrop)'!$S:$S,$A12,'Data(perSeason,perCrop)'!$O:$O,0,'Data(perSeason,perCrop)'!$C:$C,I$11,'Data(perSeason,perCrop)'!$R:$R,"IRRIGATED")</f>
        <v>0</v>
      </c>
    </row>
    <row r="13" spans="1:12" ht="18.75" x14ac:dyDescent="0.3">
      <c r="A13" s="42">
        <v>2019</v>
      </c>
      <c r="B13" s="59">
        <f>SUMIFS('Data(perSeason,perCrop)'!$A:$A,'Data(perSeason,perCrop)'!$S:$S,$A13,'Data(perSeason,perCrop)'!$O:$O,0,'Data(perSeason,perCrop)'!$C:$C,B$11,'Data(perSeason,perCrop)'!$R:$R,"IRRIGATED")</f>
        <v>75.894637203207495</v>
      </c>
      <c r="C13" s="59">
        <f>SUMIFS('Data(perSeason,perCrop)'!$A:$A,'Data(perSeason,perCrop)'!$S:$S,$A13,'Data(perSeason,perCrop)'!$O:$O,0,'Data(perSeason,perCrop)'!$C:$C,C$11,'Data(perSeason,perCrop)'!$R:$R,"IRRIGATED")</f>
        <v>49.024805529692401</v>
      </c>
      <c r="D13" s="59">
        <f>SUMIFS('Data(perSeason,perCrop)'!$A:$A,'Data(perSeason,perCrop)'!$S:$S,$A13,'Data(perSeason,perCrop)'!$O:$O,0,'Data(perSeason,perCrop)'!$C:$C,D$11,'Data(perSeason,perCrop)'!$R:$R,"IRRIGATED")</f>
        <v>107.797327464159</v>
      </c>
      <c r="E13" s="59">
        <f>SUMIFS('Data(perSeason,perCrop)'!$A:$A,'Data(perSeason,perCrop)'!$S:$S,$A13,'Data(perSeason,perCrop)'!$O:$O,0,'Data(perSeason,perCrop)'!$C:$C,E$11,'Data(perSeason,perCrop)'!$R:$R,"IRRIGATED")</f>
        <v>3035.4939721681199</v>
      </c>
      <c r="F13" s="59">
        <f>SUMIFS('Data(perSeason,perCrop)'!$A:$A,'Data(perSeason,perCrop)'!$S:$S,$A13,'Data(perSeason,perCrop)'!$O:$O,0,'Data(perSeason,perCrop)'!$C:$C,F$11,'Data(perSeason,perCrop)'!$R:$R,"IRRIGATED")</f>
        <v>2517.5208993528599</v>
      </c>
      <c r="G13" s="59">
        <f>SUMIFS('Data(perSeason,perCrop)'!$A:$A,'Data(perSeason,perCrop)'!$S:$S,$A13,'Data(perSeason,perCrop)'!$O:$O,0,'Data(perSeason,perCrop)'!$C:$C,G$11,'Data(perSeason,perCrop)'!$R:$R,"IRRIGATED")</f>
        <v>80.534693239644398</v>
      </c>
      <c r="H13" s="59">
        <f>SUMIFS('Data(perSeason,perCrop)'!$A:$A,'Data(perSeason,perCrop)'!$S:$S,$A13,'Data(perSeason,perCrop)'!$O:$O,0,'Data(perSeason,perCrop)'!$C:$C,H$11,'Data(perSeason,perCrop)'!$R:$R,"IRRIGATED")</f>
        <v>4609.0600970074602</v>
      </c>
      <c r="I13" s="59">
        <f>SUMIFS('Data(perSeason,perCrop)'!$A:$A,'Data(perSeason,perCrop)'!$S:$S,$A13,'Data(perSeason,perCrop)'!$O:$O,0,'Data(perSeason,perCrop)'!$C:$C,I$11,'Data(perSeason,perCrop)'!$R:$R,"IRRIGATED")</f>
        <v>7.8892189413811202</v>
      </c>
    </row>
    <row r="14" spans="1:12" ht="18.75" x14ac:dyDescent="0.3">
      <c r="A14" s="42">
        <v>2020</v>
      </c>
      <c r="B14" s="59">
        <f>SUMIFS('Data(perSeason,perCrop)'!$A:$A,'Data(perSeason,perCrop)'!$S:$S,$A14,'Data(perSeason,perCrop)'!$O:$O,0,'Data(perSeason,perCrop)'!$C:$C,B$11,'Data(perSeason,perCrop)'!$R:$R,"IRRIGATED")</f>
        <v>25.360404259419099</v>
      </c>
      <c r="C14" s="59">
        <f>SUMIFS('Data(perSeason,perCrop)'!$A:$A,'Data(perSeason,perCrop)'!$S:$S,$A14,'Data(perSeason,perCrop)'!$O:$O,0,'Data(perSeason,perCrop)'!$C:$C,C$11,'Data(perSeason,perCrop)'!$R:$R,"IRRIGATED")</f>
        <v>15.666135669265399</v>
      </c>
      <c r="D14" s="59">
        <f>SUMIFS('Data(perSeason,perCrop)'!$A:$A,'Data(perSeason,perCrop)'!$S:$S,$A14,'Data(perSeason,perCrop)'!$O:$O,0,'Data(perSeason,perCrop)'!$C:$C,D$11,'Data(perSeason,perCrop)'!$R:$R,"IRRIGATED")</f>
        <v>6.7832797368995701</v>
      </c>
      <c r="E14" s="59">
        <f>SUMIFS('Data(perSeason,perCrop)'!$A:$A,'Data(perSeason,perCrop)'!$S:$S,$A14,'Data(perSeason,perCrop)'!$O:$O,0,'Data(perSeason,perCrop)'!$C:$C,E$11,'Data(perSeason,perCrop)'!$R:$R,"IRRIGATED")</f>
        <v>251.174209022013</v>
      </c>
      <c r="F14" s="59">
        <f>SUMIFS('Data(perSeason,perCrop)'!$A:$A,'Data(perSeason,perCrop)'!$S:$S,$A14,'Data(perSeason,perCrop)'!$O:$O,0,'Data(perSeason,perCrop)'!$C:$C,F$11,'Data(perSeason,perCrop)'!$R:$R,"IRRIGATED")</f>
        <v>3835.7190811328801</v>
      </c>
      <c r="G14" s="59">
        <f>SUMIFS('Data(perSeason,perCrop)'!$A:$A,'Data(perSeason,perCrop)'!$S:$S,$A14,'Data(perSeason,perCrop)'!$O:$O,0,'Data(perSeason,perCrop)'!$C:$C,G$11,'Data(perSeason,perCrop)'!$R:$R,"IRRIGATED")</f>
        <v>0</v>
      </c>
      <c r="H14" s="59">
        <f>SUMIFS('Data(perSeason,perCrop)'!$A:$A,'Data(perSeason,perCrop)'!$S:$S,$A14,'Data(perSeason,perCrop)'!$O:$O,0,'Data(perSeason,perCrop)'!$C:$C,H$11,'Data(perSeason,perCrop)'!$R:$R,"IRRIGATED")</f>
        <v>2154.3016933961699</v>
      </c>
      <c r="I14" s="59">
        <f>SUMIFS('Data(perSeason,perCrop)'!$A:$A,'Data(perSeason,perCrop)'!$S:$S,$A14,'Data(perSeason,perCrop)'!$O:$O,0,'Data(perSeason,perCrop)'!$C:$C,I$11,'Data(perSeason,perCrop)'!$R:$R,"IRRIGATED")</f>
        <v>0</v>
      </c>
    </row>
    <row r="15" spans="1:12" ht="18.75" x14ac:dyDescent="0.3">
      <c r="A15" s="42">
        <v>2021</v>
      </c>
      <c r="B15" s="59">
        <f>SUMIFS('Data(perSeason,perCrop)'!$A:$A,'Data(perSeason,perCrop)'!$S:$S,$A15,'Data(perSeason,perCrop)'!$O:$O,0,'Data(perSeason,perCrop)'!$C:$C,B$11,'Data(perSeason,perCrop)'!$R:$R,"IRRIGATED")</f>
        <v>67.455544868510998</v>
      </c>
      <c r="C15" s="59">
        <f>SUMIFS('Data(perSeason,perCrop)'!$A:$A,'Data(perSeason,perCrop)'!$S:$S,$A15,'Data(perSeason,perCrop)'!$O:$O,0,'Data(perSeason,perCrop)'!$C:$C,C$11,'Data(perSeason,perCrop)'!$R:$R,"IRRIGATED")</f>
        <v>14.3835998596191</v>
      </c>
      <c r="D15" s="59">
        <f>SUMIFS('Data(perSeason,perCrop)'!$A:$A,'Data(perSeason,perCrop)'!$S:$S,$A15,'Data(perSeason,perCrop)'!$O:$O,0,'Data(perSeason,perCrop)'!$C:$C,D$11,'Data(perSeason,perCrop)'!$R:$R,"IRRIGATED")</f>
        <v>11.209214118742</v>
      </c>
      <c r="E15" s="59">
        <f>SUMIFS('Data(perSeason,perCrop)'!$A:$A,'Data(perSeason,perCrop)'!$S:$S,$A15,'Data(perSeason,perCrop)'!$O:$O,0,'Data(perSeason,perCrop)'!$C:$C,E$11,'Data(perSeason,perCrop)'!$R:$R,"IRRIGATED")</f>
        <v>561.88326694162299</v>
      </c>
      <c r="F15" s="59">
        <f>SUMIFS('Data(perSeason,perCrop)'!$A:$A,'Data(perSeason,perCrop)'!$S:$S,$A15,'Data(perSeason,perCrop)'!$O:$O,0,'Data(perSeason,perCrop)'!$C:$C,F$11,'Data(perSeason,perCrop)'!$R:$R,"IRRIGATED")</f>
        <v>4053.7929421479998</v>
      </c>
      <c r="G15" s="59">
        <f>SUMIFS('Data(perSeason,perCrop)'!$A:$A,'Data(perSeason,perCrop)'!$S:$S,$A15,'Data(perSeason,perCrop)'!$O:$O,0,'Data(perSeason,perCrop)'!$C:$C,G$11,'Data(perSeason,perCrop)'!$R:$R,"IRRIGATED")</f>
        <v>33.569077611655402</v>
      </c>
      <c r="H15" s="59">
        <f>SUMIFS('Data(perSeason,perCrop)'!$A:$A,'Data(perSeason,perCrop)'!$S:$S,$A15,'Data(perSeason,perCrop)'!$O:$O,0,'Data(perSeason,perCrop)'!$C:$C,H$11,'Data(perSeason,perCrop)'!$R:$R,"IRRIGATED")</f>
        <v>2093.7227903912999</v>
      </c>
      <c r="I15" s="59">
        <f>SUMIFS('Data(perSeason,perCrop)'!$A:$A,'Data(perSeason,perCrop)'!$S:$S,$A15,'Data(perSeason,perCrop)'!$O:$O,0,'Data(perSeason,perCrop)'!$C:$C,I$11,'Data(perSeason,perCrop)'!$R:$R,"IRRIGATED")</f>
        <v>0</v>
      </c>
    </row>
    <row r="16" spans="1:12" ht="18.75" x14ac:dyDescent="0.3">
      <c r="A16" s="42">
        <v>2022</v>
      </c>
      <c r="B16" s="59">
        <f>SUMIFS('Data(perSeason,perCrop)'!$A:$A,'Data(perSeason,perCrop)'!$S:$S,$A16,'Data(perSeason,perCrop)'!$O:$O,0,'Data(perSeason,perCrop)'!$C:$C,B$11,'Data(perSeason,perCrop)'!$R:$R,"IRRIGATED")</f>
        <v>0</v>
      </c>
      <c r="C16" s="59">
        <f>SUMIFS('Data(perSeason,perCrop)'!$A:$A,'Data(perSeason,perCrop)'!$S:$S,$A16,'Data(perSeason,perCrop)'!$O:$O,0,'Data(perSeason,perCrop)'!$C:$C,C$11,'Data(perSeason,perCrop)'!$R:$R,"IRRIGATED")</f>
        <v>0</v>
      </c>
      <c r="D16" s="59">
        <f>SUMIFS('Data(perSeason,perCrop)'!$A:$A,'Data(perSeason,perCrop)'!$S:$S,$A16,'Data(perSeason,perCrop)'!$O:$O,0,'Data(perSeason,perCrop)'!$C:$C,D$11,'Data(perSeason,perCrop)'!$R:$R,"IRRIGATED")</f>
        <v>0</v>
      </c>
      <c r="E16" s="59">
        <f>SUMIFS('Data(perSeason,perCrop)'!$A:$A,'Data(perSeason,perCrop)'!$S:$S,$A16,'Data(perSeason,perCrop)'!$O:$O,0,'Data(perSeason,perCrop)'!$C:$C,E$11,'Data(perSeason,perCrop)'!$R:$R,"IRRIGATED")</f>
        <v>597.415349417936</v>
      </c>
      <c r="F16" s="59">
        <f>SUMIFS('Data(perSeason,perCrop)'!$A:$A,'Data(perSeason,perCrop)'!$S:$S,$A16,'Data(perSeason,perCrop)'!$O:$O,0,'Data(perSeason,perCrop)'!$C:$C,F$11,'Data(perSeason,perCrop)'!$R:$R,"IRRIGATED")</f>
        <v>4785.7117038593497</v>
      </c>
      <c r="G16" s="59">
        <f>SUMIFS('Data(perSeason,perCrop)'!$A:$A,'Data(perSeason,perCrop)'!$S:$S,$A16,'Data(perSeason,perCrop)'!$O:$O,0,'Data(perSeason,perCrop)'!$C:$C,G$11,'Data(perSeason,perCrop)'!$R:$R,"IRRIGATED")</f>
        <v>0</v>
      </c>
      <c r="H16" s="59">
        <f>SUMIFS('Data(perSeason,perCrop)'!$A:$A,'Data(perSeason,perCrop)'!$S:$S,$A16,'Data(perSeason,perCrop)'!$O:$O,0,'Data(perSeason,perCrop)'!$C:$C,H$11,'Data(perSeason,perCrop)'!$R:$R,"IRRIGATED")</f>
        <v>4069.1683853299701</v>
      </c>
      <c r="I16" s="59">
        <f>SUMIFS('Data(perSeason,perCrop)'!$A:$A,'Data(perSeason,perCrop)'!$S:$S,$A16,'Data(perSeason,perCrop)'!$O:$O,0,'Data(perSeason,perCrop)'!$C:$C,I$11,'Data(perSeason,perCrop)'!$R:$R,"IRRIGATED")</f>
        <v>0</v>
      </c>
    </row>
    <row r="17" spans="1:9" ht="18.75" x14ac:dyDescent="0.3">
      <c r="A17" s="47" t="s">
        <v>184</v>
      </c>
      <c r="B17" s="48">
        <f t="shared" ref="B17:I17" si="1">AVERAGE(B12:B16)</f>
        <v>45.710786039703301</v>
      </c>
      <c r="C17" s="48">
        <f t="shared" si="1"/>
        <v>15.81490821171538</v>
      </c>
      <c r="D17" s="48">
        <f t="shared" si="1"/>
        <v>25.157964263960114</v>
      </c>
      <c r="E17" s="48">
        <f t="shared" si="1"/>
        <v>1024.159339567075</v>
      </c>
      <c r="F17" s="48">
        <f t="shared" si="1"/>
        <v>4324.3526399412276</v>
      </c>
      <c r="G17" s="48">
        <f t="shared" si="1"/>
        <v>22.82075417025996</v>
      </c>
      <c r="H17" s="48">
        <f t="shared" si="1"/>
        <v>3026.0516240736897</v>
      </c>
      <c r="I17" s="48">
        <f t="shared" si="1"/>
        <v>1.577843788276224</v>
      </c>
    </row>
    <row r="19" spans="1:9" ht="18.75" x14ac:dyDescent="0.3">
      <c r="A19" s="42" t="s">
        <v>25</v>
      </c>
      <c r="B19" s="58" t="s">
        <v>42</v>
      </c>
      <c r="C19" s="58" t="s">
        <v>44</v>
      </c>
      <c r="D19" s="58" t="s">
        <v>45</v>
      </c>
      <c r="E19" s="58" t="s">
        <v>46</v>
      </c>
      <c r="F19" s="58" t="s">
        <v>38</v>
      </c>
      <c r="G19" s="58" t="s">
        <v>40</v>
      </c>
      <c r="H19" s="58" t="s">
        <v>43</v>
      </c>
      <c r="I19" s="58" t="s">
        <v>41</v>
      </c>
    </row>
    <row r="20" spans="1:9" ht="18.75" x14ac:dyDescent="0.3">
      <c r="A20" s="42">
        <v>2018</v>
      </c>
      <c r="B20" s="59">
        <f>IFERROR(AVERAGEIFS('Data(perSeason,perCrop)'!$E:$E,'Data(perSeason,perCrop)'!$S:$S,$A20,'Data(perSeason,perCrop)'!$O:$O,0,'Data(perSeason,perCrop)'!$C:$C,B$19,'Data(perSeason,perCrop)'!$R:$R,"IRRIGATED"),"")</f>
        <v>633</v>
      </c>
      <c r="C20" s="59" t="str">
        <f>IFERROR(AVERAGEIFS('Data(perSeason,perCrop)'!$E:$E,'Data(perSeason,perCrop)'!$S:$S,$A20,'Data(perSeason,perCrop)'!$O:$O,0,'Data(perSeason,perCrop)'!$C:$C,C$19,'Data(perSeason,perCrop)'!$R:$R,"IRRIGATED"),"")</f>
        <v/>
      </c>
      <c r="D20" s="59" t="str">
        <f>IFERROR(AVERAGEIFS('Data(perSeason,perCrop)'!$E:$E,'Data(perSeason,perCrop)'!$S:$S,$A20,'Data(perSeason,perCrop)'!$O:$O,0,'Data(perSeason,perCrop)'!$C:$C,D$19,'Data(perSeason,perCrop)'!$R:$R,"IRRIGATED"),"")</f>
        <v/>
      </c>
      <c r="E20" s="59">
        <f>IFERROR(AVERAGEIFS('Data(perSeason,perCrop)'!$E:$E,'Data(perSeason,perCrop)'!$S:$S,$A20,'Data(perSeason,perCrop)'!$O:$O,0,'Data(perSeason,perCrop)'!$C:$C,E$19,'Data(perSeason,perCrop)'!$R:$R,"IRRIGATED"),"")</f>
        <v>1041</v>
      </c>
      <c r="F20" s="59">
        <f>IFERROR(AVERAGEIFS('Data(perSeason,perCrop)'!$E:$E,'Data(perSeason,perCrop)'!$S:$S,$A20,'Data(perSeason,perCrop)'!$O:$O,0,'Data(perSeason,perCrop)'!$C:$C,F$19,'Data(perSeason,perCrop)'!$R:$R,"IRRIGATED"),"")</f>
        <v>496</v>
      </c>
      <c r="G20" s="59" t="str">
        <f>IFERROR(AVERAGEIFS('Data(perSeason,perCrop)'!$E:$E,'Data(perSeason,perCrop)'!$S:$S,$A20,'Data(perSeason,perCrop)'!$O:$O,0,'Data(perSeason,perCrop)'!$C:$C,G$19,'Data(perSeason,perCrop)'!$R:$R,"IRRIGATED"),"")</f>
        <v/>
      </c>
      <c r="H20" s="59">
        <f>IFERROR(AVERAGEIFS('Data(perSeason,perCrop)'!$E:$E,'Data(perSeason,perCrop)'!$S:$S,$A20,'Data(perSeason,perCrop)'!$O:$O,0,'Data(perSeason,perCrop)'!$C:$C,H$19,'Data(perSeason,perCrop)'!$R:$R,"IRRIGATED"),"")</f>
        <v>954</v>
      </c>
      <c r="I20" s="59" t="str">
        <f>IFERROR(AVERAGEIFS('Data(perSeason,perCrop)'!$E:$E,'Data(perSeason,perCrop)'!$S:$S,$A20,'Data(perSeason,perCrop)'!$O:$O,0,'Data(perSeason,perCrop)'!$C:$C,I$19,'Data(perSeason,perCrop)'!$R:$R,"IRRIGATED"),"")</f>
        <v/>
      </c>
    </row>
    <row r="21" spans="1:9" ht="18.75" x14ac:dyDescent="0.3">
      <c r="A21" s="42">
        <v>2019</v>
      </c>
      <c r="B21" s="59">
        <f>IFERROR(AVERAGEIFS('Data(perSeason,perCrop)'!$E:$E,'Data(perSeason,perCrop)'!$S:$S,$A21,'Data(perSeason,perCrop)'!$O:$O,0,'Data(perSeason,perCrop)'!$C:$C,B$19,'Data(perSeason,perCrop)'!$R:$R,"IRRIGATED"),"")</f>
        <v>382</v>
      </c>
      <c r="C21" s="59">
        <f>IFERROR(AVERAGEIFS('Data(perSeason,perCrop)'!$E:$E,'Data(perSeason,perCrop)'!$S:$S,$A21,'Data(perSeason,perCrop)'!$O:$O,0,'Data(perSeason,perCrop)'!$C:$C,C$19,'Data(perSeason,perCrop)'!$R:$R,"IRRIGATED"),"")</f>
        <v>601</v>
      </c>
      <c r="D21" s="59">
        <f>IFERROR(AVERAGEIFS('Data(perSeason,perCrop)'!$E:$E,'Data(perSeason,perCrop)'!$S:$S,$A21,'Data(perSeason,perCrop)'!$O:$O,0,'Data(perSeason,perCrop)'!$C:$C,D$19,'Data(perSeason,perCrop)'!$R:$R,"IRRIGATED"),"")</f>
        <v>674</v>
      </c>
      <c r="E21" s="59">
        <f>IFERROR(AVERAGEIFS('Data(perSeason,perCrop)'!$E:$E,'Data(perSeason,perCrop)'!$S:$S,$A21,'Data(perSeason,perCrop)'!$O:$O,0,'Data(perSeason,perCrop)'!$C:$C,E$19,'Data(perSeason,perCrop)'!$R:$R,"IRRIGATED"),"")</f>
        <v>974</v>
      </c>
      <c r="F21" s="59">
        <f>IFERROR(AVERAGEIFS('Data(perSeason,perCrop)'!$E:$E,'Data(perSeason,perCrop)'!$S:$S,$A21,'Data(perSeason,perCrop)'!$O:$O,0,'Data(perSeason,perCrop)'!$C:$C,F$19,'Data(perSeason,perCrop)'!$R:$R,"IRRIGATED"),"")</f>
        <v>436</v>
      </c>
      <c r="G21" s="59">
        <f>IFERROR(AVERAGEIFS('Data(perSeason,perCrop)'!$E:$E,'Data(perSeason,perCrop)'!$S:$S,$A21,'Data(perSeason,perCrop)'!$O:$O,0,'Data(perSeason,perCrop)'!$C:$C,G$19,'Data(perSeason,perCrop)'!$R:$R,"IRRIGATED"),"")</f>
        <v>443</v>
      </c>
      <c r="H21" s="59">
        <f>IFERROR(AVERAGEIFS('Data(perSeason,perCrop)'!$E:$E,'Data(perSeason,perCrop)'!$S:$S,$A21,'Data(perSeason,perCrop)'!$O:$O,0,'Data(perSeason,perCrop)'!$C:$C,H$19,'Data(perSeason,perCrop)'!$R:$R,"IRRIGATED"),"")</f>
        <v>822</v>
      </c>
      <c r="I21" s="59">
        <f>IFERROR(AVERAGEIFS('Data(perSeason,perCrop)'!$E:$E,'Data(perSeason,perCrop)'!$S:$S,$A21,'Data(perSeason,perCrop)'!$O:$O,0,'Data(perSeason,perCrop)'!$C:$C,I$19,'Data(perSeason,perCrop)'!$R:$R,"IRRIGATED"),"")</f>
        <v>375</v>
      </c>
    </row>
    <row r="22" spans="1:9" ht="18.75" x14ac:dyDescent="0.3">
      <c r="A22" s="42">
        <v>2020</v>
      </c>
      <c r="B22" s="59">
        <f>IFERROR(AVERAGEIFS('Data(perSeason,perCrop)'!$E:$E,'Data(perSeason,perCrop)'!$S:$S,$A22,'Data(perSeason,perCrop)'!$O:$O,0,'Data(perSeason,perCrop)'!$C:$C,B$19,'Data(perSeason,perCrop)'!$R:$R,"IRRIGATED"),"")</f>
        <v>447</v>
      </c>
      <c r="C22" s="59">
        <f>IFERROR(AVERAGEIFS('Data(perSeason,perCrop)'!$E:$E,'Data(perSeason,perCrop)'!$S:$S,$A22,'Data(perSeason,perCrop)'!$O:$O,0,'Data(perSeason,perCrop)'!$C:$C,C$19,'Data(perSeason,perCrop)'!$R:$R,"IRRIGATED"),"")</f>
        <v>660</v>
      </c>
      <c r="D22" s="59">
        <f>IFERROR(AVERAGEIFS('Data(perSeason,perCrop)'!$E:$E,'Data(perSeason,perCrop)'!$S:$S,$A22,'Data(perSeason,perCrop)'!$O:$O,0,'Data(perSeason,perCrop)'!$C:$C,D$19,'Data(perSeason,perCrop)'!$R:$R,"IRRIGATED"),"")</f>
        <v>762</v>
      </c>
      <c r="E22" s="59">
        <f>IFERROR(AVERAGEIFS('Data(perSeason,perCrop)'!$E:$E,'Data(perSeason,perCrop)'!$S:$S,$A22,'Data(perSeason,perCrop)'!$O:$O,0,'Data(perSeason,perCrop)'!$C:$C,E$19,'Data(perSeason,perCrop)'!$R:$R,"IRRIGATED"),"")</f>
        <v>1011</v>
      </c>
      <c r="F22" s="59">
        <f>IFERROR(AVERAGEIFS('Data(perSeason,perCrop)'!$E:$E,'Data(perSeason,perCrop)'!$S:$S,$A22,'Data(perSeason,perCrop)'!$O:$O,0,'Data(perSeason,perCrop)'!$C:$C,F$19,'Data(perSeason,perCrop)'!$R:$R,"IRRIGATED"),"")</f>
        <v>476</v>
      </c>
      <c r="G22" s="59" t="str">
        <f>IFERROR(AVERAGEIFS('Data(perSeason,perCrop)'!$E:$E,'Data(perSeason,perCrop)'!$S:$S,$A22,'Data(perSeason,perCrop)'!$O:$O,0,'Data(perSeason,perCrop)'!$C:$C,G$19,'Data(perSeason,perCrop)'!$R:$R,"IRRIGATED"),"")</f>
        <v/>
      </c>
      <c r="H22" s="59">
        <f>IFERROR(AVERAGEIFS('Data(perSeason,perCrop)'!$E:$E,'Data(perSeason,perCrop)'!$S:$S,$A22,'Data(perSeason,perCrop)'!$O:$O,0,'Data(perSeason,perCrop)'!$C:$C,H$19,'Data(perSeason,perCrop)'!$R:$R,"IRRIGATED"),"")</f>
        <v>861</v>
      </c>
      <c r="I22" s="59" t="str">
        <f>IFERROR(AVERAGEIFS('Data(perSeason,perCrop)'!$E:$E,'Data(perSeason,perCrop)'!$S:$S,$A22,'Data(perSeason,perCrop)'!$O:$O,0,'Data(perSeason,perCrop)'!$C:$C,I$19,'Data(perSeason,perCrop)'!$R:$R,"IRRIGATED"),"")</f>
        <v/>
      </c>
    </row>
    <row r="23" spans="1:9" ht="18.75" x14ac:dyDescent="0.3">
      <c r="A23" s="42">
        <v>2021</v>
      </c>
      <c r="B23" s="59">
        <f>IFERROR(AVERAGEIFS('Data(perSeason,perCrop)'!$E:$E,'Data(perSeason,perCrop)'!$S:$S,$A23,'Data(perSeason,perCrop)'!$O:$O,0,'Data(perSeason,perCrop)'!$C:$C,B$19,'Data(perSeason,perCrop)'!$R:$R,"IRRIGATED"),"")</f>
        <v>481</v>
      </c>
      <c r="C23" s="59">
        <f>IFERROR(AVERAGEIFS('Data(perSeason,perCrop)'!$E:$E,'Data(perSeason,perCrop)'!$S:$S,$A23,'Data(perSeason,perCrop)'!$O:$O,0,'Data(perSeason,perCrop)'!$C:$C,C$19,'Data(perSeason,perCrop)'!$R:$R,"IRRIGATED"),"")</f>
        <v>741</v>
      </c>
      <c r="D23" s="59">
        <f>IFERROR(AVERAGEIFS('Data(perSeason,perCrop)'!$E:$E,'Data(perSeason,perCrop)'!$S:$S,$A23,'Data(perSeason,perCrop)'!$O:$O,0,'Data(perSeason,perCrop)'!$C:$C,D$19,'Data(perSeason,perCrop)'!$R:$R,"IRRIGATED"),"")</f>
        <v>786</v>
      </c>
      <c r="E23" s="59">
        <f>IFERROR(AVERAGEIFS('Data(perSeason,perCrop)'!$E:$E,'Data(perSeason,perCrop)'!$S:$S,$A23,'Data(perSeason,perCrop)'!$O:$O,0,'Data(perSeason,perCrop)'!$C:$C,E$19,'Data(perSeason,perCrop)'!$R:$R,"IRRIGATED"),"")</f>
        <v>891</v>
      </c>
      <c r="F23" s="59">
        <f>IFERROR(AVERAGEIFS('Data(perSeason,perCrop)'!$E:$E,'Data(perSeason,perCrop)'!$S:$S,$A23,'Data(perSeason,perCrop)'!$O:$O,0,'Data(perSeason,perCrop)'!$C:$C,F$19,'Data(perSeason,perCrop)'!$R:$R,"IRRIGATED"),"")</f>
        <v>420</v>
      </c>
      <c r="G23" s="59">
        <f>IFERROR(AVERAGEIFS('Data(perSeason,perCrop)'!$E:$E,'Data(perSeason,perCrop)'!$S:$S,$A23,'Data(perSeason,perCrop)'!$O:$O,0,'Data(perSeason,perCrop)'!$C:$C,G$19,'Data(perSeason,perCrop)'!$R:$R,"IRRIGATED"),"")</f>
        <v>311</v>
      </c>
      <c r="H23" s="59">
        <f>IFERROR(AVERAGEIFS('Data(perSeason,perCrop)'!$E:$E,'Data(perSeason,perCrop)'!$S:$S,$A23,'Data(perSeason,perCrop)'!$O:$O,0,'Data(perSeason,perCrop)'!$C:$C,H$19,'Data(perSeason,perCrop)'!$R:$R,"IRRIGATED"),"")</f>
        <v>853</v>
      </c>
      <c r="I23" s="59" t="str">
        <f>IFERROR(AVERAGEIFS('Data(perSeason,perCrop)'!$E:$E,'Data(perSeason,perCrop)'!$S:$S,$A23,'Data(perSeason,perCrop)'!$O:$O,0,'Data(perSeason,perCrop)'!$C:$C,I$19,'Data(perSeason,perCrop)'!$R:$R,"IRRIGATED"),"")</f>
        <v/>
      </c>
    </row>
    <row r="24" spans="1:9" ht="18.75" x14ac:dyDescent="0.3">
      <c r="A24" s="42">
        <v>2022</v>
      </c>
      <c r="B24" s="59" t="str">
        <f>IFERROR(AVERAGEIFS('Data(perSeason,perCrop)'!$E:$E,'Data(perSeason,perCrop)'!$S:$S,$A24,'Data(perSeason,perCrop)'!$O:$O,0,'Data(perSeason,perCrop)'!$C:$C,B$19,'Data(perSeason,perCrop)'!$R:$R,"IRRIGATED"),"")</f>
        <v/>
      </c>
      <c r="C24" s="59" t="str">
        <f>IFERROR(AVERAGEIFS('Data(perSeason,perCrop)'!$E:$E,'Data(perSeason,perCrop)'!$S:$S,$A24,'Data(perSeason,perCrop)'!$O:$O,0,'Data(perSeason,perCrop)'!$C:$C,C$19,'Data(perSeason,perCrop)'!$R:$R,"IRRIGATED"),"")</f>
        <v/>
      </c>
      <c r="D24" s="59" t="str">
        <f>IFERROR(AVERAGEIFS('Data(perSeason,perCrop)'!$E:$E,'Data(perSeason,perCrop)'!$S:$S,$A24,'Data(perSeason,perCrop)'!$O:$O,0,'Data(perSeason,perCrop)'!$C:$C,D$19,'Data(perSeason,perCrop)'!$R:$R,"IRRIGATED"),"")</f>
        <v/>
      </c>
      <c r="E24" s="59">
        <f>IFERROR(AVERAGEIFS('Data(perSeason,perCrop)'!$E:$E,'Data(perSeason,perCrop)'!$S:$S,$A24,'Data(perSeason,perCrop)'!$O:$O,0,'Data(perSeason,perCrop)'!$C:$C,E$19,'Data(perSeason,perCrop)'!$R:$R,"IRRIGATED"),"")</f>
        <v>1036</v>
      </c>
      <c r="F24" s="59">
        <f>IFERROR(AVERAGEIFS('Data(perSeason,perCrop)'!$E:$E,'Data(perSeason,perCrop)'!$S:$S,$A24,'Data(perSeason,perCrop)'!$O:$O,0,'Data(perSeason,perCrop)'!$C:$C,F$19,'Data(perSeason,perCrop)'!$R:$R,"IRRIGATED"),"")</f>
        <v>448</v>
      </c>
      <c r="G24" s="59" t="str">
        <f>IFERROR(AVERAGEIFS('Data(perSeason,perCrop)'!$E:$E,'Data(perSeason,perCrop)'!$S:$S,$A24,'Data(perSeason,perCrop)'!$O:$O,0,'Data(perSeason,perCrop)'!$C:$C,G$19,'Data(perSeason,perCrop)'!$R:$R,"IRRIGATED"),"")</f>
        <v/>
      </c>
      <c r="H24" s="59">
        <f>IFERROR(AVERAGEIFS('Data(perSeason,perCrop)'!$E:$E,'Data(perSeason,perCrop)'!$S:$S,$A24,'Data(perSeason,perCrop)'!$O:$O,0,'Data(perSeason,perCrop)'!$C:$C,H$19,'Data(perSeason,perCrop)'!$R:$R,"IRRIGATED"),"")</f>
        <v>855</v>
      </c>
      <c r="I24" s="59" t="str">
        <f>IFERROR(AVERAGEIFS('Data(perSeason,perCrop)'!$E:$E,'Data(perSeason,perCrop)'!$S:$S,$A24,'Data(perSeason,perCrop)'!$O:$O,0,'Data(perSeason,perCrop)'!$C:$C,I$19,'Data(perSeason,perCrop)'!$R:$R,"IRRIGATED"),"")</f>
        <v/>
      </c>
    </row>
    <row r="25" spans="1:9" ht="18.75" x14ac:dyDescent="0.3">
      <c r="A25" s="47" t="s">
        <v>184</v>
      </c>
      <c r="B25" s="48">
        <f t="shared" ref="B25:I25" si="2">IFERROR(AVERAGE(B20:B24),"")</f>
        <v>485.75</v>
      </c>
      <c r="C25" s="48">
        <f t="shared" si="2"/>
        <v>667.33333333333337</v>
      </c>
      <c r="D25" s="48">
        <f t="shared" si="2"/>
        <v>740.66666666666663</v>
      </c>
      <c r="E25" s="48">
        <f t="shared" si="2"/>
        <v>990.6</v>
      </c>
      <c r="F25" s="48">
        <f t="shared" si="2"/>
        <v>455.2</v>
      </c>
      <c r="G25" s="48">
        <f t="shared" si="2"/>
        <v>377</v>
      </c>
      <c r="H25" s="48">
        <f t="shared" si="2"/>
        <v>869</v>
      </c>
      <c r="I25" s="48">
        <f t="shared" si="2"/>
        <v>375</v>
      </c>
    </row>
    <row r="27" spans="1:9" ht="18.75" x14ac:dyDescent="0.3">
      <c r="A27" s="42" t="s">
        <v>34</v>
      </c>
      <c r="B27" s="58" t="s">
        <v>42</v>
      </c>
      <c r="C27" s="58" t="s">
        <v>44</v>
      </c>
      <c r="D27" s="58" t="s">
        <v>45</v>
      </c>
      <c r="E27" s="58" t="s">
        <v>46</v>
      </c>
      <c r="F27" s="58" t="s">
        <v>38</v>
      </c>
      <c r="G27" s="58" t="s">
        <v>40</v>
      </c>
      <c r="H27" s="58" t="s">
        <v>43</v>
      </c>
      <c r="I27" s="58" t="s">
        <v>41</v>
      </c>
    </row>
    <row r="28" spans="1:9" ht="18.75" x14ac:dyDescent="0.3">
      <c r="A28" s="42">
        <v>2018</v>
      </c>
      <c r="B28" s="59">
        <f>IFERROR(AVERAGEIFS('Data(perSeason,perCrop)'!$P:$P,'Data(perSeason,perCrop)'!$S:$S,$A28,'Data(perSeason,perCrop)'!$O:$O,0,'Data(perSeason,perCrop)'!$C:$C,B$27,'Data(perSeason,perCrop)'!$R:$R,"IRRIGATED"),"")</f>
        <v>15645</v>
      </c>
      <c r="C28" s="59" t="str">
        <f>IFERROR(AVERAGEIFS('Data(perSeason,perCrop)'!$P:$P,'Data(perSeason,perCrop)'!$S:$S,$A28,'Data(perSeason,perCrop)'!$O:$O,0,'Data(perSeason,perCrop)'!$C:$C,C$27,'Data(perSeason,perCrop)'!$R:$R,"IRRIGATED"),"")</f>
        <v/>
      </c>
      <c r="D28" s="59" t="str">
        <f>IFERROR(AVERAGEIFS('Data(perSeason,perCrop)'!$P:$P,'Data(perSeason,perCrop)'!$S:$S,$A28,'Data(perSeason,perCrop)'!$O:$O,0,'Data(perSeason,perCrop)'!$C:$C,D$27,'Data(perSeason,perCrop)'!$R:$R,"IRRIGATED"),"")</f>
        <v/>
      </c>
      <c r="E28" s="59">
        <f>IFERROR(AVERAGEIFS('Data(perSeason,perCrop)'!$P:$P,'Data(perSeason,perCrop)'!$S:$S,$A28,'Data(perSeason,perCrop)'!$O:$O,0,'Data(perSeason,perCrop)'!$C:$C,E$27,'Data(perSeason,perCrop)'!$R:$R,"IRRIGATED"),"")</f>
        <v>19377</v>
      </c>
      <c r="F28" s="59">
        <f>IFERROR(AVERAGEIFS('Data(perSeason,perCrop)'!$P:$P,'Data(perSeason,perCrop)'!$S:$S,$A28,'Data(perSeason,perCrop)'!$O:$O,0,'Data(perSeason,perCrop)'!$C:$C,F$27,'Data(perSeason,perCrop)'!$R:$R,"IRRIGATED"),"")</f>
        <v>11892</v>
      </c>
      <c r="G28" s="59" t="str">
        <f>IFERROR(AVERAGEIFS('Data(perSeason,perCrop)'!$P:$P,'Data(perSeason,perCrop)'!$S:$S,$A28,'Data(perSeason,perCrop)'!$O:$O,0,'Data(perSeason,perCrop)'!$C:$C,G$27,'Data(perSeason,perCrop)'!$R:$R,"IRRIGATED"),"")</f>
        <v/>
      </c>
      <c r="H28" s="59">
        <f>IFERROR(AVERAGEIFS('Data(perSeason,perCrop)'!$P:$P,'Data(perSeason,perCrop)'!$S:$S,$A28,'Data(perSeason,perCrop)'!$O:$O,0,'Data(perSeason,perCrop)'!$C:$C,H$27,'Data(perSeason,perCrop)'!$R:$R,"IRRIGATED"),"")</f>
        <v>14847</v>
      </c>
      <c r="I28" s="59" t="str">
        <f>IFERROR(AVERAGEIFS('Data(perSeason,perCrop)'!$P:$P,'Data(perSeason,perCrop)'!$S:$S,$A28,'Data(perSeason,perCrop)'!$O:$O,0,'Data(perSeason,perCrop)'!$C:$C,I$27,'Data(perSeason,perCrop)'!$R:$R,"IRRIGATED"),"")</f>
        <v/>
      </c>
    </row>
    <row r="29" spans="1:9" ht="18.75" x14ac:dyDescent="0.3">
      <c r="A29" s="42">
        <v>2019</v>
      </c>
      <c r="B29" s="59">
        <f>IFERROR(AVERAGEIFS('Data(perSeason,perCrop)'!$P:$P,'Data(perSeason,perCrop)'!$S:$S,$A29,'Data(perSeason,perCrop)'!$O:$O,0,'Data(perSeason,perCrop)'!$C:$C,B$27,'Data(perSeason,perCrop)'!$R:$R,"IRRIGATED"),"")</f>
        <v>8449</v>
      </c>
      <c r="C29" s="59">
        <f>IFERROR(AVERAGEIFS('Data(perSeason,perCrop)'!$P:$P,'Data(perSeason,perCrop)'!$S:$S,$A29,'Data(perSeason,perCrop)'!$O:$O,0,'Data(perSeason,perCrop)'!$C:$C,C$27,'Data(perSeason,perCrop)'!$R:$R,"IRRIGATED"),"")</f>
        <v>10544</v>
      </c>
      <c r="D29" s="59">
        <f>IFERROR(AVERAGEIFS('Data(perSeason,perCrop)'!$P:$P,'Data(perSeason,perCrop)'!$S:$S,$A29,'Data(perSeason,perCrop)'!$O:$O,0,'Data(perSeason,perCrop)'!$C:$C,D$27,'Data(perSeason,perCrop)'!$R:$R,"IRRIGATED"),"")</f>
        <v>11293</v>
      </c>
      <c r="E29" s="59">
        <f>IFERROR(AVERAGEIFS('Data(perSeason,perCrop)'!$P:$P,'Data(perSeason,perCrop)'!$S:$S,$A29,'Data(perSeason,perCrop)'!$O:$O,0,'Data(perSeason,perCrop)'!$C:$C,E$27,'Data(perSeason,perCrop)'!$R:$R,"IRRIGATED"),"")</f>
        <v>18931</v>
      </c>
      <c r="F29" s="59">
        <f>IFERROR(AVERAGEIFS('Data(perSeason,perCrop)'!$P:$P,'Data(perSeason,perCrop)'!$S:$S,$A29,'Data(perSeason,perCrop)'!$O:$O,0,'Data(perSeason,perCrop)'!$C:$C,F$27,'Data(perSeason,perCrop)'!$R:$R,"IRRIGATED"),"")</f>
        <v>9937</v>
      </c>
      <c r="G29" s="59">
        <f>IFERROR(AVERAGEIFS('Data(perSeason,perCrop)'!$P:$P,'Data(perSeason,perCrop)'!$S:$S,$A29,'Data(perSeason,perCrop)'!$O:$O,0,'Data(perSeason,perCrop)'!$C:$C,G$27,'Data(perSeason,perCrop)'!$R:$R,"IRRIGATED"),"")</f>
        <v>10100</v>
      </c>
      <c r="H29" s="59">
        <f>IFERROR(AVERAGEIFS('Data(perSeason,perCrop)'!$P:$P,'Data(perSeason,perCrop)'!$S:$S,$A29,'Data(perSeason,perCrop)'!$O:$O,0,'Data(perSeason,perCrop)'!$C:$C,H$27,'Data(perSeason,perCrop)'!$R:$R,"IRRIGATED"),"")</f>
        <v>14289</v>
      </c>
      <c r="I29" s="59">
        <f>IFERROR(AVERAGEIFS('Data(perSeason,perCrop)'!$P:$P,'Data(perSeason,perCrop)'!$S:$S,$A29,'Data(perSeason,perCrop)'!$O:$O,0,'Data(perSeason,perCrop)'!$C:$C,I$27,'Data(perSeason,perCrop)'!$R:$R,"IRRIGATED"),"")</f>
        <v>4467</v>
      </c>
    </row>
    <row r="30" spans="1:9" ht="18.75" x14ac:dyDescent="0.3">
      <c r="A30" s="42">
        <v>2020</v>
      </c>
      <c r="B30" s="59">
        <f>IFERROR(AVERAGEIFS('Data(perSeason,perCrop)'!$P:$P,'Data(perSeason,perCrop)'!$S:$S,$A30,'Data(perSeason,perCrop)'!$O:$O,0,'Data(perSeason,perCrop)'!$C:$C,B$27,'Data(perSeason,perCrop)'!$R:$R,"IRRIGATED"),"")</f>
        <v>8161</v>
      </c>
      <c r="C30" s="59">
        <f>IFERROR(AVERAGEIFS('Data(perSeason,perCrop)'!$P:$P,'Data(perSeason,perCrop)'!$S:$S,$A30,'Data(perSeason,perCrop)'!$O:$O,0,'Data(perSeason,perCrop)'!$C:$C,C$27,'Data(perSeason,perCrop)'!$R:$R,"IRRIGATED"),"")</f>
        <v>8783</v>
      </c>
      <c r="D30" s="59">
        <f>IFERROR(AVERAGEIFS('Data(perSeason,perCrop)'!$P:$P,'Data(perSeason,perCrop)'!$S:$S,$A30,'Data(perSeason,perCrop)'!$O:$O,0,'Data(perSeason,perCrop)'!$C:$C,D$27,'Data(perSeason,perCrop)'!$R:$R,"IRRIGATED"),"")</f>
        <v>9935</v>
      </c>
      <c r="E30" s="59">
        <f>IFERROR(AVERAGEIFS('Data(perSeason,perCrop)'!$P:$P,'Data(perSeason,perCrop)'!$S:$S,$A30,'Data(perSeason,perCrop)'!$O:$O,0,'Data(perSeason,perCrop)'!$C:$C,E$27,'Data(perSeason,perCrop)'!$R:$R,"IRRIGATED"),"")</f>
        <v>16052</v>
      </c>
      <c r="F30" s="59">
        <f>IFERROR(AVERAGEIFS('Data(perSeason,perCrop)'!$P:$P,'Data(perSeason,perCrop)'!$S:$S,$A30,'Data(perSeason,perCrop)'!$O:$O,0,'Data(perSeason,perCrop)'!$C:$C,F$27,'Data(perSeason,perCrop)'!$R:$R,"IRRIGATED"),"")</f>
        <v>8876</v>
      </c>
      <c r="G30" s="59" t="str">
        <f>IFERROR(AVERAGEIFS('Data(perSeason,perCrop)'!$P:$P,'Data(perSeason,perCrop)'!$S:$S,$A30,'Data(perSeason,perCrop)'!$O:$O,0,'Data(perSeason,perCrop)'!$C:$C,G$27,'Data(perSeason,perCrop)'!$R:$R,"IRRIGATED"),"")</f>
        <v/>
      </c>
      <c r="H30" s="59">
        <f>IFERROR(AVERAGEIFS('Data(perSeason,perCrop)'!$P:$P,'Data(perSeason,perCrop)'!$S:$S,$A30,'Data(perSeason,perCrop)'!$O:$O,0,'Data(perSeason,perCrop)'!$C:$C,H$27,'Data(perSeason,perCrop)'!$R:$R,"IRRIGATED"),"")</f>
        <v>12185</v>
      </c>
      <c r="I30" s="59" t="str">
        <f>IFERROR(AVERAGEIFS('Data(perSeason,perCrop)'!$P:$P,'Data(perSeason,perCrop)'!$S:$S,$A30,'Data(perSeason,perCrop)'!$O:$O,0,'Data(perSeason,perCrop)'!$C:$C,I$27,'Data(perSeason,perCrop)'!$R:$R,"IRRIGATED"),"")</f>
        <v/>
      </c>
    </row>
    <row r="31" spans="1:9" ht="18.75" x14ac:dyDescent="0.3">
      <c r="A31" s="42">
        <v>2021</v>
      </c>
      <c r="B31" s="59">
        <f>IFERROR(AVERAGEIFS('Data(perSeason,perCrop)'!$P:$P,'Data(perSeason,perCrop)'!$S:$S,$A31,'Data(perSeason,perCrop)'!$O:$O,0,'Data(perSeason,perCrop)'!$C:$C,B$27,'Data(perSeason,perCrop)'!$R:$R,"IRRIGATED"),"")</f>
        <v>10517</v>
      </c>
      <c r="C31" s="59">
        <f>IFERROR(AVERAGEIFS('Data(perSeason,perCrop)'!$P:$P,'Data(perSeason,perCrop)'!$S:$S,$A31,'Data(perSeason,perCrop)'!$O:$O,0,'Data(perSeason,perCrop)'!$C:$C,C$27,'Data(perSeason,perCrop)'!$R:$R,"IRRIGATED"),"")</f>
        <v>9383</v>
      </c>
      <c r="D31" s="59">
        <f>IFERROR(AVERAGEIFS('Data(perSeason,perCrop)'!$P:$P,'Data(perSeason,perCrop)'!$S:$S,$A31,'Data(perSeason,perCrop)'!$O:$O,0,'Data(perSeason,perCrop)'!$C:$C,D$27,'Data(perSeason,perCrop)'!$R:$R,"IRRIGATED"),"")</f>
        <v>10118</v>
      </c>
      <c r="E31" s="59">
        <f>IFERROR(AVERAGEIFS('Data(perSeason,perCrop)'!$P:$P,'Data(perSeason,perCrop)'!$S:$S,$A31,'Data(perSeason,perCrop)'!$O:$O,0,'Data(perSeason,perCrop)'!$C:$C,E$27,'Data(perSeason,perCrop)'!$R:$R,"IRRIGATED"),"")</f>
        <v>15762</v>
      </c>
      <c r="F31" s="59">
        <f>IFERROR(AVERAGEIFS('Data(perSeason,perCrop)'!$P:$P,'Data(perSeason,perCrop)'!$S:$S,$A31,'Data(perSeason,perCrop)'!$O:$O,0,'Data(perSeason,perCrop)'!$C:$C,F$27,'Data(perSeason,perCrop)'!$R:$R,"IRRIGATED"),"")</f>
        <v>8714</v>
      </c>
      <c r="G31" s="59">
        <f>IFERROR(AVERAGEIFS('Data(perSeason,perCrop)'!$P:$P,'Data(perSeason,perCrop)'!$S:$S,$A31,'Data(perSeason,perCrop)'!$O:$O,0,'Data(perSeason,perCrop)'!$C:$C,G$27,'Data(perSeason,perCrop)'!$R:$R,"IRRIGATED"),"")</f>
        <v>7441</v>
      </c>
      <c r="H31" s="59">
        <f>IFERROR(AVERAGEIFS('Data(perSeason,perCrop)'!$P:$P,'Data(perSeason,perCrop)'!$S:$S,$A31,'Data(perSeason,perCrop)'!$O:$O,0,'Data(perSeason,perCrop)'!$C:$C,H$27,'Data(perSeason,perCrop)'!$R:$R,"IRRIGATED"),"")</f>
        <v>11173</v>
      </c>
      <c r="I31" s="59" t="str">
        <f>IFERROR(AVERAGEIFS('Data(perSeason,perCrop)'!$P:$P,'Data(perSeason,perCrop)'!$S:$S,$A31,'Data(perSeason,perCrop)'!$O:$O,0,'Data(perSeason,perCrop)'!$C:$C,I$27,'Data(perSeason,perCrop)'!$R:$R,"IRRIGATED"),"")</f>
        <v/>
      </c>
    </row>
    <row r="32" spans="1:9" ht="18.75" x14ac:dyDescent="0.3">
      <c r="A32" s="42">
        <v>2022</v>
      </c>
      <c r="B32" s="59" t="str">
        <f>IFERROR(AVERAGEIFS('Data(perSeason,perCrop)'!$P:$P,'Data(perSeason,perCrop)'!$S:$S,$A32,'Data(perSeason,perCrop)'!$O:$O,0,'Data(perSeason,perCrop)'!$C:$C,B$27,'Data(perSeason,perCrop)'!$R:$R,"IRRIGATED"),"")</f>
        <v/>
      </c>
      <c r="C32" s="59" t="str">
        <f>IFERROR(AVERAGEIFS('Data(perSeason,perCrop)'!$P:$P,'Data(perSeason,perCrop)'!$S:$S,$A32,'Data(perSeason,perCrop)'!$O:$O,0,'Data(perSeason,perCrop)'!$C:$C,C$27,'Data(perSeason,perCrop)'!$R:$R,"IRRIGATED"),"")</f>
        <v/>
      </c>
      <c r="D32" s="59" t="str">
        <f>IFERROR(AVERAGEIFS('Data(perSeason,perCrop)'!$P:$P,'Data(perSeason,perCrop)'!$S:$S,$A32,'Data(perSeason,perCrop)'!$O:$O,0,'Data(perSeason,perCrop)'!$C:$C,D$27,'Data(perSeason,perCrop)'!$R:$R,"IRRIGATED"),"")</f>
        <v/>
      </c>
      <c r="E32" s="59">
        <f>IFERROR(AVERAGEIFS('Data(perSeason,perCrop)'!$P:$P,'Data(perSeason,perCrop)'!$S:$S,$A32,'Data(perSeason,perCrop)'!$O:$O,0,'Data(perSeason,perCrop)'!$C:$C,E$27,'Data(perSeason,perCrop)'!$R:$R,"IRRIGATED"),"")</f>
        <v>18323</v>
      </c>
      <c r="F32" s="59">
        <f>IFERROR(AVERAGEIFS('Data(perSeason,perCrop)'!$P:$P,'Data(perSeason,perCrop)'!$S:$S,$A32,'Data(perSeason,perCrop)'!$O:$O,0,'Data(perSeason,perCrop)'!$C:$C,F$27,'Data(perSeason,perCrop)'!$R:$R,"IRRIGATED"),"")</f>
        <v>10384</v>
      </c>
      <c r="G32" s="59" t="str">
        <f>IFERROR(AVERAGEIFS('Data(perSeason,perCrop)'!$P:$P,'Data(perSeason,perCrop)'!$S:$S,$A32,'Data(perSeason,perCrop)'!$O:$O,0,'Data(perSeason,perCrop)'!$C:$C,G$27,'Data(perSeason,perCrop)'!$R:$R,"IRRIGATED"),"")</f>
        <v/>
      </c>
      <c r="H32" s="59">
        <f>IFERROR(AVERAGEIFS('Data(perSeason,perCrop)'!$P:$P,'Data(perSeason,perCrop)'!$S:$S,$A32,'Data(perSeason,perCrop)'!$O:$O,0,'Data(perSeason,perCrop)'!$C:$C,H$27,'Data(perSeason,perCrop)'!$R:$R,"IRRIGATED"),"")</f>
        <v>13787</v>
      </c>
      <c r="I32" s="59" t="str">
        <f>IFERROR(AVERAGEIFS('Data(perSeason,perCrop)'!$P:$P,'Data(perSeason,perCrop)'!$S:$S,$A32,'Data(perSeason,perCrop)'!$O:$O,0,'Data(perSeason,perCrop)'!$C:$C,I$27,'Data(perSeason,perCrop)'!$R:$R,"IRRIGATED"),"")</f>
        <v/>
      </c>
    </row>
    <row r="33" spans="1:10" ht="18.75" x14ac:dyDescent="0.3">
      <c r="A33" s="47" t="s">
        <v>184</v>
      </c>
      <c r="B33" s="48">
        <f t="shared" ref="B33:I33" si="3">IFERROR(AVERAGE(B28:B32),"")</f>
        <v>10693</v>
      </c>
      <c r="C33" s="48">
        <f t="shared" si="3"/>
        <v>9570</v>
      </c>
      <c r="D33" s="48">
        <f t="shared" si="3"/>
        <v>10448.666666666666</v>
      </c>
      <c r="E33" s="48">
        <f t="shared" si="3"/>
        <v>17689</v>
      </c>
      <c r="F33" s="48">
        <f t="shared" si="3"/>
        <v>9960.6</v>
      </c>
      <c r="G33" s="48">
        <f t="shared" si="3"/>
        <v>8770.5</v>
      </c>
      <c r="H33" s="48">
        <f t="shared" si="3"/>
        <v>13256.2</v>
      </c>
      <c r="I33" s="48">
        <f t="shared" si="3"/>
        <v>4467</v>
      </c>
    </row>
    <row r="35" spans="1:10" ht="18.75" x14ac:dyDescent="0.3">
      <c r="A35" s="42" t="s">
        <v>3</v>
      </c>
      <c r="B35" s="58" t="s">
        <v>42</v>
      </c>
      <c r="C35" s="58" t="s">
        <v>44</v>
      </c>
      <c r="D35" s="58" t="s">
        <v>45</v>
      </c>
      <c r="E35" s="58" t="s">
        <v>46</v>
      </c>
      <c r="F35" s="58" t="s">
        <v>38</v>
      </c>
      <c r="G35" s="58" t="s">
        <v>40</v>
      </c>
      <c r="H35" s="58" t="s">
        <v>43</v>
      </c>
      <c r="I35" s="58" t="s">
        <v>41</v>
      </c>
    </row>
    <row r="36" spans="1:10" ht="18.75" x14ac:dyDescent="0.3">
      <c r="A36" s="42">
        <v>2018</v>
      </c>
      <c r="B36" s="68">
        <f t="shared" ref="B36:I40" si="4">IF(ISNUMBER(B20)=TRUE,B28/(B20*(1/1000*10000)),"")</f>
        <v>2.471563981042654</v>
      </c>
      <c r="C36" s="68" t="str">
        <f t="shared" si="4"/>
        <v/>
      </c>
      <c r="D36" s="68" t="str">
        <f t="shared" si="4"/>
        <v/>
      </c>
      <c r="E36" s="68">
        <f t="shared" si="4"/>
        <v>1.8613832853025936</v>
      </c>
      <c r="F36" s="68">
        <f t="shared" si="4"/>
        <v>2.3975806451612902</v>
      </c>
      <c r="G36" s="68" t="str">
        <f t="shared" si="4"/>
        <v/>
      </c>
      <c r="H36" s="68">
        <f t="shared" si="4"/>
        <v>1.5562893081761007</v>
      </c>
      <c r="I36" s="68" t="str">
        <f t="shared" si="4"/>
        <v/>
      </c>
      <c r="J36" s="63"/>
    </row>
    <row r="37" spans="1:10" ht="18.75" x14ac:dyDescent="0.3">
      <c r="A37" s="42">
        <v>2019</v>
      </c>
      <c r="B37" s="68">
        <f t="shared" si="4"/>
        <v>2.2117801047120418</v>
      </c>
      <c r="C37" s="68">
        <f t="shared" si="4"/>
        <v>1.7544093178036606</v>
      </c>
      <c r="D37" s="68">
        <f t="shared" si="4"/>
        <v>1.6755192878338279</v>
      </c>
      <c r="E37" s="68">
        <f t="shared" si="4"/>
        <v>1.943634496919918</v>
      </c>
      <c r="F37" s="68">
        <f t="shared" si="4"/>
        <v>2.2791284403669723</v>
      </c>
      <c r="G37" s="68">
        <f t="shared" si="4"/>
        <v>2.2799097065462752</v>
      </c>
      <c r="H37" s="68">
        <f t="shared" si="4"/>
        <v>1.7383211678832118</v>
      </c>
      <c r="I37" s="68">
        <f t="shared" si="4"/>
        <v>1.1912</v>
      </c>
      <c r="J37" s="63"/>
    </row>
    <row r="38" spans="1:10" ht="18.75" x14ac:dyDescent="0.3">
      <c r="A38" s="42">
        <v>2020</v>
      </c>
      <c r="B38" s="68">
        <f t="shared" si="4"/>
        <v>1.8257270693512304</v>
      </c>
      <c r="C38" s="68">
        <f t="shared" si="4"/>
        <v>1.3307575757575758</v>
      </c>
      <c r="D38" s="68">
        <f t="shared" si="4"/>
        <v>1.3038057742782152</v>
      </c>
      <c r="E38" s="68">
        <f t="shared" si="4"/>
        <v>1.5877349159248269</v>
      </c>
      <c r="F38" s="68">
        <f t="shared" si="4"/>
        <v>1.8647058823529412</v>
      </c>
      <c r="G38" s="68" t="str">
        <f t="shared" si="4"/>
        <v/>
      </c>
      <c r="H38" s="68">
        <f t="shared" si="4"/>
        <v>1.4152148664343787</v>
      </c>
      <c r="I38" s="68" t="str">
        <f t="shared" si="4"/>
        <v/>
      </c>
      <c r="J38" s="63"/>
    </row>
    <row r="39" spans="1:10" ht="18.75" x14ac:dyDescent="0.3">
      <c r="A39" s="42">
        <v>2021</v>
      </c>
      <c r="B39" s="68">
        <f t="shared" si="4"/>
        <v>2.1864864864864866</v>
      </c>
      <c r="C39" s="68">
        <f t="shared" si="4"/>
        <v>1.2662618083670716</v>
      </c>
      <c r="D39" s="68">
        <f t="shared" si="4"/>
        <v>1.2872773536895674</v>
      </c>
      <c r="E39" s="68">
        <f t="shared" si="4"/>
        <v>1.7690235690235689</v>
      </c>
      <c r="F39" s="68">
        <f t="shared" si="4"/>
        <v>2.0747619047619046</v>
      </c>
      <c r="G39" s="68">
        <f t="shared" si="4"/>
        <v>2.3926045016077171</v>
      </c>
      <c r="H39" s="68">
        <f t="shared" si="4"/>
        <v>1.3098475967174679</v>
      </c>
      <c r="I39" s="68" t="str">
        <f t="shared" si="4"/>
        <v/>
      </c>
      <c r="J39" s="63"/>
    </row>
    <row r="40" spans="1:10" ht="18.75" x14ac:dyDescent="0.3">
      <c r="A40" s="42">
        <v>2022</v>
      </c>
      <c r="B40" s="68" t="str">
        <f t="shared" si="4"/>
        <v/>
      </c>
      <c r="C40" s="68" t="str">
        <f t="shared" si="4"/>
        <v/>
      </c>
      <c r="D40" s="68" t="str">
        <f t="shared" si="4"/>
        <v/>
      </c>
      <c r="E40" s="68">
        <f t="shared" si="4"/>
        <v>1.7686293436293437</v>
      </c>
      <c r="F40" s="68">
        <f t="shared" si="4"/>
        <v>2.3178571428571431</v>
      </c>
      <c r="G40" s="68" t="str">
        <f t="shared" si="4"/>
        <v/>
      </c>
      <c r="H40" s="68">
        <f t="shared" si="4"/>
        <v>1.6125146198830409</v>
      </c>
      <c r="I40" s="68" t="str">
        <f t="shared" si="4"/>
        <v/>
      </c>
      <c r="J40" s="63"/>
    </row>
    <row r="41" spans="1:10" ht="18.75" x14ac:dyDescent="0.3">
      <c r="A41" s="47" t="s">
        <v>184</v>
      </c>
      <c r="B41" s="52">
        <f t="shared" ref="B41:I41" si="5">IFERROR(AVERAGE(B36:B40),"")</f>
        <v>2.173889410398103</v>
      </c>
      <c r="C41" s="52">
        <f t="shared" si="5"/>
        <v>1.4504762339761026</v>
      </c>
      <c r="D41" s="52">
        <f t="shared" si="5"/>
        <v>1.4222008052672035</v>
      </c>
      <c r="E41" s="52">
        <f t="shared" si="5"/>
        <v>1.7860811221600503</v>
      </c>
      <c r="F41" s="52">
        <f t="shared" si="5"/>
        <v>2.1868068031000503</v>
      </c>
      <c r="G41" s="52">
        <f t="shared" si="5"/>
        <v>2.3362571040769962</v>
      </c>
      <c r="H41" s="52">
        <f t="shared" si="5"/>
        <v>1.5264375118188398</v>
      </c>
      <c r="I41" s="52">
        <f t="shared" si="5"/>
        <v>1.1912</v>
      </c>
      <c r="J41" s="52"/>
    </row>
    <row r="43" spans="1:10" ht="18.75" x14ac:dyDescent="0.3">
      <c r="A43" s="42" t="s">
        <v>213</v>
      </c>
      <c r="B43" s="42" t="s">
        <v>120</v>
      </c>
    </row>
    <row r="44" spans="1:10" ht="18.75" x14ac:dyDescent="0.3">
      <c r="A44" s="42">
        <v>2018</v>
      </c>
      <c r="B44" s="63">
        <f>IF(COUNTIFS('Data(perSeason,perCrop)'!$S:$S,$A44)&gt;0,SUMPRODUCT(B12:I12,B36:I36)/SUM(B12:I12),"")</f>
        <v>2.1614900617109734</v>
      </c>
    </row>
    <row r="45" spans="1:10" ht="18.75" x14ac:dyDescent="0.3">
      <c r="A45" s="42">
        <v>2019</v>
      </c>
      <c r="B45" s="63">
        <f>IF(COUNTIFS('Data(perSeason,perCrop)'!$S:$S,$A45)&gt;0,SUMPRODUCT(B13:I13,B37:I37)/SUM(B13:I13),"")</f>
        <v>1.9342508518723778</v>
      </c>
    </row>
    <row r="46" spans="1:10" ht="18.75" x14ac:dyDescent="0.3">
      <c r="A46" s="42">
        <v>2020</v>
      </c>
      <c r="B46" s="63">
        <f>IF(COUNTIFS('Data(perSeason,perCrop)'!$S:$S,$A46)&gt;0,SUMPRODUCT(B14:I14,B38:I38)/SUM(B14:I14),"")</f>
        <v>1.6975784241196321</v>
      </c>
    </row>
    <row r="47" spans="1:10" ht="18.75" x14ac:dyDescent="0.3">
      <c r="A47" s="42">
        <v>2021</v>
      </c>
      <c r="B47" s="63">
        <f>IF(COUNTIFS('Data(perSeason,perCrop)'!$S:$S,$A47)&gt;0,SUMPRODUCT(B15:I15,B39:I39)/SUM(B15:I15),"")</f>
        <v>1.8150261521513418</v>
      </c>
    </row>
    <row r="48" spans="1:10" ht="18.75" x14ac:dyDescent="0.3">
      <c r="A48" s="42">
        <v>2022</v>
      </c>
      <c r="B48" s="63">
        <f>IF(COUNTIFS('Data(perSeason,perCrop)'!$S:$S,$A48)&gt;0,SUMPRODUCT(B16:I16,B40:I40)/SUM(B16:I16),"")</f>
        <v>1.9794975736209042</v>
      </c>
    </row>
    <row r="49" spans="1:32" ht="18.75" x14ac:dyDescent="0.3">
      <c r="A49" s="47" t="s">
        <v>184</v>
      </c>
      <c r="B49" s="52">
        <f>AVERAGE(B44:B48)</f>
        <v>1.917568612695046</v>
      </c>
    </row>
    <row r="50" spans="1:32" s="77" customFormat="1" ht="18.75" x14ac:dyDescent="0.3">
      <c r="A50" s="75"/>
      <c r="B50" s="76"/>
    </row>
    <row r="52" spans="1:32" ht="18.75" x14ac:dyDescent="0.3">
      <c r="A52" s="42" t="s">
        <v>209</v>
      </c>
      <c r="B52" s="58" t="s">
        <v>47</v>
      </c>
      <c r="C52" s="58" t="s">
        <v>57</v>
      </c>
      <c r="D52" s="58" t="s">
        <v>110</v>
      </c>
      <c r="E52" s="58" t="s">
        <v>50</v>
      </c>
      <c r="F52" s="58" t="s">
        <v>58</v>
      </c>
      <c r="G52" s="58" t="s">
        <v>51</v>
      </c>
      <c r="H52" s="58" t="s">
        <v>97</v>
      </c>
      <c r="I52" s="58" t="s">
        <v>52</v>
      </c>
      <c r="J52" s="58" t="s">
        <v>59</v>
      </c>
      <c r="K52" s="58" t="s">
        <v>111</v>
      </c>
      <c r="L52" s="58" t="s">
        <v>54</v>
      </c>
      <c r="M52" s="58" t="s">
        <v>112</v>
      </c>
      <c r="N52" s="58" t="s">
        <v>48</v>
      </c>
      <c r="O52" s="58" t="s">
        <v>53</v>
      </c>
      <c r="P52" s="58" t="s">
        <v>49</v>
      </c>
      <c r="Q52" s="58" t="s">
        <v>56</v>
      </c>
      <c r="R52" s="58" t="s">
        <v>102</v>
      </c>
      <c r="S52" s="58" t="s">
        <v>103</v>
      </c>
      <c r="T52" s="58" t="s">
        <v>101</v>
      </c>
      <c r="U52" s="58" t="s">
        <v>106</v>
      </c>
      <c r="V52" s="58" t="s">
        <v>113</v>
      </c>
      <c r="W52" s="58" t="s">
        <v>114</v>
      </c>
      <c r="X52" s="58" t="s">
        <v>115</v>
      </c>
      <c r="Y52" s="58" t="s">
        <v>116</v>
      </c>
      <c r="Z52" s="58" t="s">
        <v>107</v>
      </c>
      <c r="AA52" s="58" t="s">
        <v>104</v>
      </c>
      <c r="AB52" s="58" t="s">
        <v>117</v>
      </c>
      <c r="AC52" s="58" t="s">
        <v>118</v>
      </c>
      <c r="AD52" s="58" t="s">
        <v>119</v>
      </c>
      <c r="AE52" s="58" t="s">
        <v>108</v>
      </c>
      <c r="AF52" s="58" t="s">
        <v>105</v>
      </c>
    </row>
    <row r="53" spans="1:32" ht="18.75" x14ac:dyDescent="0.3">
      <c r="A53" s="42" t="s">
        <v>183</v>
      </c>
      <c r="B53" s="42">
        <v>1</v>
      </c>
      <c r="C53" s="42">
        <v>2</v>
      </c>
      <c r="D53" s="42">
        <v>3</v>
      </c>
      <c r="E53" s="42">
        <v>4</v>
      </c>
      <c r="F53" s="42">
        <v>5</v>
      </c>
      <c r="G53" s="42">
        <v>6</v>
      </c>
      <c r="H53" s="42">
        <v>7</v>
      </c>
      <c r="I53" s="42">
        <v>8</v>
      </c>
      <c r="J53" s="42">
        <v>9</v>
      </c>
      <c r="K53" s="42">
        <v>10</v>
      </c>
      <c r="L53" s="42">
        <v>11</v>
      </c>
      <c r="M53" s="42">
        <v>12</v>
      </c>
      <c r="N53" s="42">
        <v>13</v>
      </c>
      <c r="O53" s="42">
        <v>14</v>
      </c>
      <c r="P53" s="42">
        <v>15</v>
      </c>
      <c r="Q53" s="42">
        <v>16</v>
      </c>
      <c r="R53" s="42">
        <v>17</v>
      </c>
      <c r="S53" s="42">
        <v>18</v>
      </c>
      <c r="T53" s="42">
        <v>19</v>
      </c>
      <c r="U53" s="42">
        <v>20</v>
      </c>
      <c r="V53" s="42">
        <v>21</v>
      </c>
      <c r="W53" s="42">
        <v>22</v>
      </c>
      <c r="X53" s="42">
        <v>23</v>
      </c>
      <c r="Y53" s="42">
        <v>24</v>
      </c>
      <c r="Z53" s="42">
        <v>25</v>
      </c>
      <c r="AA53" s="42">
        <v>40</v>
      </c>
      <c r="AB53" s="42">
        <v>41</v>
      </c>
      <c r="AC53" s="42">
        <v>42</v>
      </c>
      <c r="AD53" s="42">
        <v>43</v>
      </c>
      <c r="AE53" s="42">
        <v>44</v>
      </c>
      <c r="AF53" s="42">
        <v>45</v>
      </c>
    </row>
    <row r="54" spans="1:32" ht="18.75" x14ac:dyDescent="0.3">
      <c r="A54" s="42">
        <v>2018</v>
      </c>
      <c r="B54" s="59">
        <f>IFERROR(SUMIFS('Data(perSeason,perCrop)'!$A:$A,'Data(perSeason,perCrop)'!$S:$S,Productivity!$A54,'Data(perSeason,perCrop)'!$O:$O,1,'Data(perSeason,perCrop)'!$C:$C,Productivity!B$52,'Data(perSeason,perCrop)'!$R:$R,"IRRIGATED"),"")</f>
        <v>0</v>
      </c>
      <c r="C54" s="59">
        <f>SUMIFS('Data(perSeason,perCrop)'!$A:$A,'Data(perSeason,perCrop)'!$S:$S,Productivity!$A54,'Data(perSeason,perCrop)'!$O:$O,1,'Data(perSeason,perCrop)'!$C:$C,Productivity!C$52,'Data(perSeason,perCrop)'!$R:$R,"IRRIGATED")</f>
        <v>5050.8789496593199</v>
      </c>
      <c r="D54" s="59">
        <f>SUMIFS('Data(perSeason,perCrop)'!$A:$A,'Data(perSeason,perCrop)'!$S:$S,Productivity!$A54,'Data(perSeason,perCrop)'!$O:$O,1,'Data(perSeason,perCrop)'!$C:$C,Productivity!D$52,'Data(perSeason,perCrop)'!$R:$R,"IRRIGATED")</f>
        <v>0</v>
      </c>
      <c r="E54" s="59">
        <f>SUMIFS('Data(perSeason,perCrop)'!$A:$A,'Data(perSeason,perCrop)'!$S:$S,Productivity!$A54,'Data(perSeason,perCrop)'!$O:$O,1,'Data(perSeason,perCrop)'!$C:$C,Productivity!E$52,'Data(perSeason,perCrop)'!$R:$R,"IRRIGATED")</f>
        <v>0</v>
      </c>
      <c r="F54" s="59">
        <f>SUMIFS('Data(perSeason,perCrop)'!$A:$A,'Data(perSeason,perCrop)'!$S:$S,Productivity!$A54,'Data(perSeason,perCrop)'!$O:$O,1,'Data(perSeason,perCrop)'!$C:$C,Productivity!F$52,'Data(perSeason,perCrop)'!$R:$R,"IRRIGATED")</f>
        <v>0</v>
      </c>
      <c r="G54" s="59">
        <f>SUMIFS('Data(perSeason,perCrop)'!$A:$A,'Data(perSeason,perCrop)'!$S:$S,Productivity!$A54,'Data(perSeason,perCrop)'!$O:$O,1,'Data(perSeason,perCrop)'!$C:$C,Productivity!G$52,'Data(perSeason,perCrop)'!$R:$R,"IRRIGATED")</f>
        <v>0</v>
      </c>
      <c r="H54" s="59">
        <f>SUMIFS('Data(perSeason,perCrop)'!$A:$A,'Data(perSeason,perCrop)'!$S:$S,Productivity!$A54,'Data(perSeason,perCrop)'!$O:$O,1,'Data(perSeason,perCrop)'!$C:$C,Productivity!H$52,'Data(perSeason,perCrop)'!$R:$R,"IRRIGATED")</f>
        <v>0</v>
      </c>
      <c r="I54" s="59">
        <f>SUMIFS('Data(perSeason,perCrop)'!$A:$A,'Data(perSeason,perCrop)'!$S:$S,Productivity!$A54,'Data(perSeason,perCrop)'!$O:$O,1,'Data(perSeason,perCrop)'!$C:$C,Productivity!I$52,'Data(perSeason,perCrop)'!$R:$R,"IRRIGATED")</f>
        <v>0</v>
      </c>
      <c r="J54" s="59">
        <f>SUMIFS('Data(perSeason,perCrop)'!$A:$A,'Data(perSeason,perCrop)'!$S:$S,Productivity!$A54,'Data(perSeason,perCrop)'!$O:$O,1,'Data(perSeason,perCrop)'!$C:$C,Productivity!J$52,'Data(perSeason,perCrop)'!$R:$R,"IRRIGATED")</f>
        <v>0</v>
      </c>
      <c r="K54" s="59">
        <f>SUMIFS('Data(perSeason,perCrop)'!$A:$A,'Data(perSeason,perCrop)'!$S:$S,Productivity!$A54,'Data(perSeason,perCrop)'!$O:$O,1,'Data(perSeason,perCrop)'!$C:$C,Productivity!K$52,'Data(perSeason,perCrop)'!$R:$R,"IRRIGATED")</f>
        <v>0</v>
      </c>
      <c r="L54" s="59">
        <f>SUMIFS('Data(perSeason,perCrop)'!$A:$A,'Data(perSeason,perCrop)'!$S:$S,Productivity!$A54,'Data(perSeason,perCrop)'!$O:$O,1,'Data(perSeason,perCrop)'!$C:$C,Productivity!L$52,'Data(perSeason,perCrop)'!$R:$R,"IRRIGATED")</f>
        <v>0</v>
      </c>
      <c r="M54" s="59">
        <f>SUMIFS('Data(perSeason,perCrop)'!$A:$A,'Data(perSeason,perCrop)'!$S:$S,Productivity!$A54,'Data(perSeason,perCrop)'!$O:$O,1,'Data(perSeason,perCrop)'!$C:$C,Productivity!M$52,'Data(perSeason,perCrop)'!$R:$R,"IRRIGATED")</f>
        <v>0</v>
      </c>
      <c r="N54" s="59">
        <f>SUMIFS('Data(perSeason,perCrop)'!$A:$A,'Data(perSeason,perCrop)'!$S:$S,Productivity!$A54,'Data(perSeason,perCrop)'!$O:$O,1,'Data(perSeason,perCrop)'!$C:$C,Productivity!N$52,'Data(perSeason,perCrop)'!$R:$R,"IRRIGATED")</f>
        <v>0</v>
      </c>
      <c r="O54" s="59">
        <f>SUMIFS('Data(perSeason,perCrop)'!$A:$A,'Data(perSeason,perCrop)'!$S:$S,Productivity!$A54,'Data(perSeason,perCrop)'!$O:$O,1,'Data(perSeason,perCrop)'!$C:$C,Productivity!O$52,'Data(perSeason,perCrop)'!$R:$R,"IRRIGATED")</f>
        <v>141.06024110038501</v>
      </c>
      <c r="P54" s="59">
        <f>SUMIFS('Data(perSeason,perCrop)'!$A:$A,'Data(perSeason,perCrop)'!$S:$S,Productivity!$A54,'Data(perSeason,perCrop)'!$O:$O,1,'Data(perSeason,perCrop)'!$C:$C,Productivity!P$52,'Data(perSeason,perCrop)'!$R:$R,"IRRIGATED")</f>
        <v>501.66725891546099</v>
      </c>
      <c r="Q54" s="59">
        <f>SUMIFS('Data(perSeason,perCrop)'!$A:$A,'Data(perSeason,perCrop)'!$S:$S,Productivity!$A54,'Data(perSeason,perCrop)'!$O:$O,1,'Data(perSeason,perCrop)'!$C:$C,Productivity!Q$52,'Data(perSeason,perCrop)'!$R:$R,"IRRIGATED")</f>
        <v>0</v>
      </c>
      <c r="R54" s="59">
        <f>SUMIFS('Data(perSeason,perCrop)'!$A:$A,'Data(perSeason,perCrop)'!$S:$S,Productivity!$A54,'Data(perSeason,perCrop)'!$O:$O,1,'Data(perSeason,perCrop)'!$C:$C,Productivity!R$52,'Data(perSeason,perCrop)'!$R:$R,"IRRIGATED")</f>
        <v>892.75171087141996</v>
      </c>
      <c r="S54" s="59">
        <f>SUMIFS('Data(perSeason,perCrop)'!$A:$A,'Data(perSeason,perCrop)'!$S:$S,Productivity!$A54,'Data(perSeason,perCrop)'!$O:$O,1,'Data(perSeason,perCrop)'!$C:$C,Productivity!S$52,'Data(perSeason,perCrop)'!$R:$R,"IRRIGATED")</f>
        <v>0</v>
      </c>
      <c r="T54" s="59">
        <f>SUMIFS('Data(perSeason,perCrop)'!$A:$A,'Data(perSeason,perCrop)'!$S:$S,Productivity!$A54,'Data(perSeason,perCrop)'!$O:$O,1,'Data(perSeason,perCrop)'!$C:$C,Productivity!T$52,'Data(perSeason,perCrop)'!$R:$R,"IRRIGATED")</f>
        <v>0</v>
      </c>
      <c r="U54" s="59">
        <f>SUMIFS('Data(perSeason,perCrop)'!$A:$A,'Data(perSeason,perCrop)'!$S:$S,Productivity!$A54,'Data(perSeason,perCrop)'!$O:$O,1,'Data(perSeason,perCrop)'!$C:$C,Productivity!U$52,'Data(perSeason,perCrop)'!$R:$R,"IRRIGATED")</f>
        <v>1103.4963688442199</v>
      </c>
      <c r="V54" s="59">
        <f>SUMIFS('Data(perSeason,perCrop)'!$A:$A,'Data(perSeason,perCrop)'!$S:$S,Productivity!$A54,'Data(perSeason,perCrop)'!$O:$O,1,'Data(perSeason,perCrop)'!$C:$C,Productivity!V$52,'Data(perSeason,perCrop)'!$R:$R,"IRRIGATED")</f>
        <v>0</v>
      </c>
      <c r="W54" s="59">
        <f>SUMIFS('Data(perSeason,perCrop)'!$A:$A,'Data(perSeason,perCrop)'!$S:$S,Productivity!$A54,'Data(perSeason,perCrop)'!$O:$O,1,'Data(perSeason,perCrop)'!$C:$C,Productivity!W$52,'Data(perSeason,perCrop)'!$R:$R,"IRRIGATED")</f>
        <v>0</v>
      </c>
      <c r="X54" s="59">
        <f>SUMIFS('Data(perSeason,perCrop)'!$A:$A,'Data(perSeason,perCrop)'!$S:$S,Productivity!$A54,'Data(perSeason,perCrop)'!$O:$O,1,'Data(perSeason,perCrop)'!$C:$C,Productivity!X$52,'Data(perSeason,perCrop)'!$R:$R,"IRRIGATED")</f>
        <v>0</v>
      </c>
      <c r="Y54" s="59">
        <f>SUMIFS('Data(perSeason,perCrop)'!$A:$A,'Data(perSeason,perCrop)'!$S:$S,Productivity!$A54,'Data(perSeason,perCrop)'!$O:$O,1,'Data(perSeason,perCrop)'!$C:$C,Productivity!Y$52,'Data(perSeason,perCrop)'!$R:$R,"IRRIGATED")</f>
        <v>0</v>
      </c>
      <c r="Z54" s="59">
        <f>SUMIFS('Data(perSeason,perCrop)'!$A:$A,'Data(perSeason,perCrop)'!$S:$S,Productivity!$A54,'Data(perSeason,perCrop)'!$O:$O,1,'Data(perSeason,perCrop)'!$C:$C,Productivity!Z$52,'Data(perSeason,perCrop)'!$R:$R,"IRRIGATED")</f>
        <v>0</v>
      </c>
      <c r="AA54" s="59">
        <f>SUMIFS('Data(perSeason,perCrop)'!$A:$A,'Data(perSeason,perCrop)'!$S:$S,Productivity!$A54,'Data(perSeason,perCrop)'!$O:$O,1,'Data(perSeason,perCrop)'!$C:$C,Productivity!AA$52,'Data(perSeason,perCrop)'!$R:$R,"IRRIGATED")</f>
        <v>0</v>
      </c>
      <c r="AB54" s="59">
        <f>SUMIFS('Data(perSeason,perCrop)'!$A:$A,'Data(perSeason,perCrop)'!$S:$S,Productivity!$A54,'Data(perSeason,perCrop)'!$O:$O,1,'Data(perSeason,perCrop)'!$C:$C,Productivity!AB$52,'Data(perSeason,perCrop)'!$R:$R,"IRRIGATED")</f>
        <v>0</v>
      </c>
      <c r="AC54" s="59">
        <f>SUMIFS('Data(perSeason,perCrop)'!$A:$A,'Data(perSeason,perCrop)'!$S:$S,Productivity!$A54,'Data(perSeason,perCrop)'!$O:$O,1,'Data(perSeason,perCrop)'!$C:$C,Productivity!AC$52,'Data(perSeason,perCrop)'!$R:$R,"IRRIGATED")</f>
        <v>0</v>
      </c>
      <c r="AD54" s="59">
        <f>SUMIFS('Data(perSeason,perCrop)'!$A:$A,'Data(perSeason,perCrop)'!$S:$S,Productivity!$A54,'Data(perSeason,perCrop)'!$O:$O,1,'Data(perSeason,perCrop)'!$C:$C,Productivity!AD$52,'Data(perSeason,perCrop)'!$R:$R,"IRRIGATED")</f>
        <v>0</v>
      </c>
      <c r="AE54" s="59">
        <f>SUMIFS('Data(perSeason,perCrop)'!$A:$A,'Data(perSeason,perCrop)'!$S:$S,Productivity!$A54,'Data(perSeason,perCrop)'!$O:$O,1,'Data(perSeason,perCrop)'!$C:$C,Productivity!AE$52,'Data(perSeason,perCrop)'!$R:$R,"IRRIGATED")</f>
        <v>0</v>
      </c>
      <c r="AF54" s="59">
        <f>SUMIFS('Data(perSeason,perCrop)'!$A:$A,'Data(perSeason,perCrop)'!$S:$S,Productivity!$A54,'Data(perSeason,perCrop)'!$O:$O,1,'Data(perSeason,perCrop)'!$C:$C,Productivity!AF$52,'Data(perSeason,perCrop)'!$R:$R,"IRRIGATED")</f>
        <v>0</v>
      </c>
    </row>
    <row r="55" spans="1:32" ht="18.75" x14ac:dyDescent="0.3">
      <c r="A55" s="42">
        <v>2019</v>
      </c>
      <c r="B55" s="59">
        <f>SUMIFS('Data(perSeason,perCrop)'!$A:$A,'Data(perSeason,perCrop)'!$S:$S,Productivity!$A55,'Data(perSeason,perCrop)'!$O:$O,1,'Data(perSeason,perCrop)'!$C:$C,Productivity!B$52,'Data(perSeason,perCrop)'!$R:$R,"IRRIGATED")</f>
        <v>0</v>
      </c>
      <c r="C55" s="59">
        <f>SUMIFS('Data(perSeason,perCrop)'!$A:$A,'Data(perSeason,perCrop)'!$S:$S,Productivity!$A55,'Data(perSeason,perCrop)'!$O:$O,1,'Data(perSeason,perCrop)'!$C:$C,Productivity!C$52,'Data(perSeason,perCrop)'!$R:$R,"IRRIGATED")</f>
        <v>2055.4886627748301</v>
      </c>
      <c r="D55" s="59">
        <f>SUMIFS('Data(perSeason,perCrop)'!$A:$A,'Data(perSeason,perCrop)'!$S:$S,Productivity!$A55,'Data(perSeason,perCrop)'!$O:$O,1,'Data(perSeason,perCrop)'!$C:$C,Productivity!D$52,'Data(perSeason,perCrop)'!$R:$R,"IRRIGATED")</f>
        <v>0</v>
      </c>
      <c r="E55" s="59">
        <f>SUMIFS('Data(perSeason,perCrop)'!$A:$A,'Data(perSeason,perCrop)'!$S:$S,Productivity!$A55,'Data(perSeason,perCrop)'!$O:$O,1,'Data(perSeason,perCrop)'!$C:$C,Productivity!E$52,'Data(perSeason,perCrop)'!$R:$R,"IRRIGATED")</f>
        <v>0</v>
      </c>
      <c r="F55" s="59">
        <f>SUMIFS('Data(perSeason,perCrop)'!$A:$A,'Data(perSeason,perCrop)'!$S:$S,Productivity!$A55,'Data(perSeason,perCrop)'!$O:$O,1,'Data(perSeason,perCrop)'!$C:$C,Productivity!F$52,'Data(perSeason,perCrop)'!$R:$R,"IRRIGATED")</f>
        <v>0</v>
      </c>
      <c r="G55" s="59">
        <f>SUMIFS('Data(perSeason,perCrop)'!$A:$A,'Data(perSeason,perCrop)'!$S:$S,Productivity!$A55,'Data(perSeason,perCrop)'!$O:$O,1,'Data(perSeason,perCrop)'!$C:$C,Productivity!G$52,'Data(perSeason,perCrop)'!$R:$R,"IRRIGATED")</f>
        <v>0</v>
      </c>
      <c r="H55" s="59">
        <f>SUMIFS('Data(perSeason,perCrop)'!$A:$A,'Data(perSeason,perCrop)'!$S:$S,Productivity!$A55,'Data(perSeason,perCrop)'!$O:$O,1,'Data(perSeason,perCrop)'!$C:$C,Productivity!H$52,'Data(perSeason,perCrop)'!$R:$R,"IRRIGATED")</f>
        <v>0</v>
      </c>
      <c r="I55" s="59">
        <f>SUMIFS('Data(perSeason,perCrop)'!$A:$A,'Data(perSeason,perCrop)'!$S:$S,Productivity!$A55,'Data(perSeason,perCrop)'!$O:$O,1,'Data(perSeason,perCrop)'!$C:$C,Productivity!I$52,'Data(perSeason,perCrop)'!$R:$R,"IRRIGATED")</f>
        <v>0</v>
      </c>
      <c r="J55" s="59">
        <f>SUMIFS('Data(perSeason,perCrop)'!$A:$A,'Data(perSeason,perCrop)'!$S:$S,Productivity!$A55,'Data(perSeason,perCrop)'!$O:$O,1,'Data(perSeason,perCrop)'!$C:$C,Productivity!J$52,'Data(perSeason,perCrop)'!$R:$R,"IRRIGATED")</f>
        <v>0</v>
      </c>
      <c r="K55" s="59">
        <f>SUMIFS('Data(perSeason,perCrop)'!$A:$A,'Data(perSeason,perCrop)'!$S:$S,Productivity!$A55,'Data(perSeason,perCrop)'!$O:$O,1,'Data(perSeason,perCrop)'!$C:$C,Productivity!K$52,'Data(perSeason,perCrop)'!$R:$R,"IRRIGATED")</f>
        <v>0</v>
      </c>
      <c r="L55" s="59">
        <f>SUMIFS('Data(perSeason,perCrop)'!$A:$A,'Data(perSeason,perCrop)'!$S:$S,Productivity!$A55,'Data(perSeason,perCrop)'!$O:$O,1,'Data(perSeason,perCrop)'!$C:$C,Productivity!L$52,'Data(perSeason,perCrop)'!$R:$R,"IRRIGATED")</f>
        <v>0</v>
      </c>
      <c r="M55" s="59">
        <f>SUMIFS('Data(perSeason,perCrop)'!$A:$A,'Data(perSeason,perCrop)'!$S:$S,Productivity!$A55,'Data(perSeason,perCrop)'!$O:$O,1,'Data(perSeason,perCrop)'!$C:$C,Productivity!M$52,'Data(perSeason,perCrop)'!$R:$R,"IRRIGATED")</f>
        <v>0</v>
      </c>
      <c r="N55" s="59">
        <f>SUMIFS('Data(perSeason,perCrop)'!$A:$A,'Data(perSeason,perCrop)'!$S:$S,Productivity!$A55,'Data(perSeason,perCrop)'!$O:$O,1,'Data(perSeason,perCrop)'!$C:$C,Productivity!N$52,'Data(perSeason,perCrop)'!$R:$R,"IRRIGATED")</f>
        <v>0</v>
      </c>
      <c r="O55" s="59">
        <f>SUMIFS('Data(perSeason,perCrop)'!$A:$A,'Data(perSeason,perCrop)'!$S:$S,Productivity!$A55,'Data(perSeason,perCrop)'!$O:$O,1,'Data(perSeason,perCrop)'!$C:$C,Productivity!O$52,'Data(perSeason,perCrop)'!$R:$R,"IRRIGATED")</f>
        <v>41.066688733625199</v>
      </c>
      <c r="P55" s="59">
        <f>SUMIFS('Data(perSeason,perCrop)'!$A:$A,'Data(perSeason,perCrop)'!$S:$S,Productivity!$A55,'Data(perSeason,perCrop)'!$O:$O,1,'Data(perSeason,perCrop)'!$C:$C,Productivity!P$52,'Data(perSeason,perCrop)'!$R:$R,"IRRIGATED")</f>
        <v>149.36319359326799</v>
      </c>
      <c r="Q55" s="59">
        <f>SUMIFS('Data(perSeason,perCrop)'!$A:$A,'Data(perSeason,perCrop)'!$S:$S,Productivity!$A55,'Data(perSeason,perCrop)'!$O:$O,1,'Data(perSeason,perCrop)'!$C:$C,Productivity!Q$52,'Data(perSeason,perCrop)'!$R:$R,"IRRIGATED")</f>
        <v>0</v>
      </c>
      <c r="R55" s="59">
        <f>SUMIFS('Data(perSeason,perCrop)'!$A:$A,'Data(perSeason,perCrop)'!$S:$S,Productivity!$A55,'Data(perSeason,perCrop)'!$O:$O,1,'Data(perSeason,perCrop)'!$C:$C,Productivity!R$52,'Data(perSeason,perCrop)'!$R:$R,"IRRIGATED")</f>
        <v>804.64819681717495</v>
      </c>
      <c r="S55" s="59">
        <f>SUMIFS('Data(perSeason,perCrop)'!$A:$A,'Data(perSeason,perCrop)'!$S:$S,Productivity!$A55,'Data(perSeason,perCrop)'!$O:$O,1,'Data(perSeason,perCrop)'!$C:$C,Productivity!S$52,'Data(perSeason,perCrop)'!$R:$R,"IRRIGATED")</f>
        <v>0</v>
      </c>
      <c r="T55" s="59">
        <f>SUMIFS('Data(perSeason,perCrop)'!$A:$A,'Data(perSeason,perCrop)'!$S:$S,Productivity!$A55,'Data(perSeason,perCrop)'!$O:$O,1,'Data(perSeason,perCrop)'!$C:$C,Productivity!T$52,'Data(perSeason,perCrop)'!$R:$R,"IRRIGATED")</f>
        <v>0</v>
      </c>
      <c r="U55" s="59">
        <f>SUMIFS('Data(perSeason,perCrop)'!$A:$A,'Data(perSeason,perCrop)'!$S:$S,Productivity!$A55,'Data(perSeason,perCrop)'!$O:$O,1,'Data(perSeason,perCrop)'!$C:$C,Productivity!U$52,'Data(perSeason,perCrop)'!$R:$R,"IRRIGATED")</f>
        <v>3808.661310122</v>
      </c>
      <c r="V55" s="59">
        <f>SUMIFS('Data(perSeason,perCrop)'!$A:$A,'Data(perSeason,perCrop)'!$S:$S,Productivity!$A55,'Data(perSeason,perCrop)'!$O:$O,1,'Data(perSeason,perCrop)'!$C:$C,Productivity!V$52,'Data(perSeason,perCrop)'!$R:$R,"IRRIGATED")</f>
        <v>0</v>
      </c>
      <c r="W55" s="59">
        <f>SUMIFS('Data(perSeason,perCrop)'!$A:$A,'Data(perSeason,perCrop)'!$S:$S,Productivity!$A55,'Data(perSeason,perCrop)'!$O:$O,1,'Data(perSeason,perCrop)'!$C:$C,Productivity!W$52,'Data(perSeason,perCrop)'!$R:$R,"IRRIGATED")</f>
        <v>0</v>
      </c>
      <c r="X55" s="59">
        <f>SUMIFS('Data(perSeason,perCrop)'!$A:$A,'Data(perSeason,perCrop)'!$S:$S,Productivity!$A55,'Data(perSeason,perCrop)'!$O:$O,1,'Data(perSeason,perCrop)'!$C:$C,Productivity!X$52,'Data(perSeason,perCrop)'!$R:$R,"IRRIGATED")</f>
        <v>0</v>
      </c>
      <c r="Y55" s="59">
        <f>SUMIFS('Data(perSeason,perCrop)'!$A:$A,'Data(perSeason,perCrop)'!$S:$S,Productivity!$A55,'Data(perSeason,perCrop)'!$O:$O,1,'Data(perSeason,perCrop)'!$C:$C,Productivity!Y$52,'Data(perSeason,perCrop)'!$R:$R,"IRRIGATED")</f>
        <v>0</v>
      </c>
      <c r="Z55" s="59">
        <f>SUMIFS('Data(perSeason,perCrop)'!$A:$A,'Data(perSeason,perCrop)'!$S:$S,Productivity!$A55,'Data(perSeason,perCrop)'!$O:$O,1,'Data(perSeason,perCrop)'!$C:$C,Productivity!Z$52,'Data(perSeason,perCrop)'!$R:$R,"IRRIGATED")</f>
        <v>0</v>
      </c>
      <c r="AA55" s="59">
        <f>SUMIFS('Data(perSeason,perCrop)'!$A:$A,'Data(perSeason,perCrop)'!$S:$S,Productivity!$A55,'Data(perSeason,perCrop)'!$O:$O,1,'Data(perSeason,perCrop)'!$C:$C,Productivity!AA$52,'Data(perSeason,perCrop)'!$R:$R,"IRRIGATED")</f>
        <v>0</v>
      </c>
      <c r="AB55" s="59">
        <f>SUMIFS('Data(perSeason,perCrop)'!$A:$A,'Data(perSeason,perCrop)'!$S:$S,Productivity!$A55,'Data(perSeason,perCrop)'!$O:$O,1,'Data(perSeason,perCrop)'!$C:$C,Productivity!AB$52,'Data(perSeason,perCrop)'!$R:$R,"IRRIGATED")</f>
        <v>0</v>
      </c>
      <c r="AC55" s="59">
        <f>SUMIFS('Data(perSeason,perCrop)'!$A:$A,'Data(perSeason,perCrop)'!$S:$S,Productivity!$A55,'Data(perSeason,perCrop)'!$O:$O,1,'Data(perSeason,perCrop)'!$C:$C,Productivity!AC$52,'Data(perSeason,perCrop)'!$R:$R,"IRRIGATED")</f>
        <v>0</v>
      </c>
      <c r="AD55" s="59">
        <f>SUMIFS('Data(perSeason,perCrop)'!$A:$A,'Data(perSeason,perCrop)'!$S:$S,Productivity!$A55,'Data(perSeason,perCrop)'!$O:$O,1,'Data(perSeason,perCrop)'!$C:$C,Productivity!AD$52,'Data(perSeason,perCrop)'!$R:$R,"IRRIGATED")</f>
        <v>0</v>
      </c>
      <c r="AE55" s="59">
        <f>SUMIFS('Data(perSeason,perCrop)'!$A:$A,'Data(perSeason,perCrop)'!$S:$S,Productivity!$A55,'Data(perSeason,perCrop)'!$O:$O,1,'Data(perSeason,perCrop)'!$C:$C,Productivity!AE$52,'Data(perSeason,perCrop)'!$R:$R,"IRRIGATED")</f>
        <v>0</v>
      </c>
      <c r="AF55" s="59">
        <f>SUMIFS('Data(perSeason,perCrop)'!$A:$A,'Data(perSeason,perCrop)'!$S:$S,Productivity!$A55,'Data(perSeason,perCrop)'!$O:$O,1,'Data(perSeason,perCrop)'!$C:$C,Productivity!AF$52,'Data(perSeason,perCrop)'!$R:$R,"IRRIGATED")</f>
        <v>0</v>
      </c>
    </row>
    <row r="56" spans="1:32" ht="18.75" x14ac:dyDescent="0.3">
      <c r="A56" s="42">
        <v>2020</v>
      </c>
      <c r="B56" s="59">
        <f>SUMIFS('Data(perSeason,perCrop)'!$A:$A,'Data(perSeason,perCrop)'!$S:$S,Productivity!$A56,'Data(perSeason,perCrop)'!$O:$O,1,'Data(perSeason,perCrop)'!$C:$C,Productivity!B$52,'Data(perSeason,perCrop)'!$R:$R,"IRRIGATED")</f>
        <v>0</v>
      </c>
      <c r="C56" s="59">
        <f>SUMIFS('Data(perSeason,perCrop)'!$A:$A,'Data(perSeason,perCrop)'!$S:$S,Productivity!$A56,'Data(perSeason,perCrop)'!$O:$O,1,'Data(perSeason,perCrop)'!$C:$C,Productivity!C$52,'Data(perSeason,perCrop)'!$R:$R,"IRRIGATED")</f>
        <v>2233.22710793429</v>
      </c>
      <c r="D56" s="59">
        <f>SUMIFS('Data(perSeason,perCrop)'!$A:$A,'Data(perSeason,perCrop)'!$S:$S,Productivity!$A56,'Data(perSeason,perCrop)'!$O:$O,1,'Data(perSeason,perCrop)'!$C:$C,Productivity!D$52,'Data(perSeason,perCrop)'!$R:$R,"IRRIGATED")</f>
        <v>0</v>
      </c>
      <c r="E56" s="59">
        <f>SUMIFS('Data(perSeason,perCrop)'!$A:$A,'Data(perSeason,perCrop)'!$S:$S,Productivity!$A56,'Data(perSeason,perCrop)'!$O:$O,1,'Data(perSeason,perCrop)'!$C:$C,Productivity!E$52,'Data(perSeason,perCrop)'!$R:$R,"IRRIGATED")</f>
        <v>0</v>
      </c>
      <c r="F56" s="59">
        <f>SUMIFS('Data(perSeason,perCrop)'!$A:$A,'Data(perSeason,perCrop)'!$S:$S,Productivity!$A56,'Data(perSeason,perCrop)'!$O:$O,1,'Data(perSeason,perCrop)'!$C:$C,Productivity!F$52,'Data(perSeason,perCrop)'!$R:$R,"IRRIGATED")</f>
        <v>0</v>
      </c>
      <c r="G56" s="59">
        <f>SUMIFS('Data(perSeason,perCrop)'!$A:$A,'Data(perSeason,perCrop)'!$S:$S,Productivity!$A56,'Data(perSeason,perCrop)'!$O:$O,1,'Data(perSeason,perCrop)'!$C:$C,Productivity!G$52,'Data(perSeason,perCrop)'!$R:$R,"IRRIGATED")</f>
        <v>0</v>
      </c>
      <c r="H56" s="59">
        <f>SUMIFS('Data(perSeason,perCrop)'!$A:$A,'Data(perSeason,perCrop)'!$S:$S,Productivity!$A56,'Data(perSeason,perCrop)'!$O:$O,1,'Data(perSeason,perCrop)'!$C:$C,Productivity!H$52,'Data(perSeason,perCrop)'!$R:$R,"IRRIGATED")</f>
        <v>0</v>
      </c>
      <c r="I56" s="59">
        <f>SUMIFS('Data(perSeason,perCrop)'!$A:$A,'Data(perSeason,perCrop)'!$S:$S,Productivity!$A56,'Data(perSeason,perCrop)'!$O:$O,1,'Data(perSeason,perCrop)'!$C:$C,Productivity!I$52,'Data(perSeason,perCrop)'!$R:$R,"IRRIGATED")</f>
        <v>0</v>
      </c>
      <c r="J56" s="59">
        <f>SUMIFS('Data(perSeason,perCrop)'!$A:$A,'Data(perSeason,perCrop)'!$S:$S,Productivity!$A56,'Data(perSeason,perCrop)'!$O:$O,1,'Data(perSeason,perCrop)'!$C:$C,Productivity!J$52,'Data(perSeason,perCrop)'!$R:$R,"IRRIGATED")</f>
        <v>0</v>
      </c>
      <c r="K56" s="59">
        <f>SUMIFS('Data(perSeason,perCrop)'!$A:$A,'Data(perSeason,perCrop)'!$S:$S,Productivity!$A56,'Data(perSeason,perCrop)'!$O:$O,1,'Data(perSeason,perCrop)'!$C:$C,Productivity!K$52,'Data(perSeason,perCrop)'!$R:$R,"IRRIGATED")</f>
        <v>0</v>
      </c>
      <c r="L56" s="59">
        <f>SUMIFS('Data(perSeason,perCrop)'!$A:$A,'Data(perSeason,perCrop)'!$S:$S,Productivity!$A56,'Data(perSeason,perCrop)'!$O:$O,1,'Data(perSeason,perCrop)'!$C:$C,Productivity!L$52,'Data(perSeason,perCrop)'!$R:$R,"IRRIGATED")</f>
        <v>0</v>
      </c>
      <c r="M56" s="59">
        <f>SUMIFS('Data(perSeason,perCrop)'!$A:$A,'Data(perSeason,perCrop)'!$S:$S,Productivity!$A56,'Data(perSeason,perCrop)'!$O:$O,1,'Data(perSeason,perCrop)'!$C:$C,Productivity!M$52,'Data(perSeason,perCrop)'!$R:$R,"IRRIGATED")</f>
        <v>0</v>
      </c>
      <c r="N56" s="59">
        <f>SUMIFS('Data(perSeason,perCrop)'!$A:$A,'Data(perSeason,perCrop)'!$S:$S,Productivity!$A56,'Data(perSeason,perCrop)'!$O:$O,1,'Data(perSeason,perCrop)'!$C:$C,Productivity!N$52,'Data(perSeason,perCrop)'!$R:$R,"IRRIGATED")</f>
        <v>0</v>
      </c>
      <c r="O56" s="59">
        <f>SUMIFS('Data(perSeason,perCrop)'!$A:$A,'Data(perSeason,perCrop)'!$S:$S,Productivity!$A56,'Data(perSeason,perCrop)'!$O:$O,1,'Data(perSeason,perCrop)'!$C:$C,Productivity!O$52,'Data(perSeason,perCrop)'!$R:$R,"IRRIGATED")</f>
        <v>263.72243268315901</v>
      </c>
      <c r="P56" s="59">
        <f>SUMIFS('Data(perSeason,perCrop)'!$A:$A,'Data(perSeason,perCrop)'!$S:$S,Productivity!$A56,'Data(perSeason,perCrop)'!$O:$O,1,'Data(perSeason,perCrop)'!$C:$C,Productivity!P$52,'Data(perSeason,perCrop)'!$R:$R,"IRRIGATED")</f>
        <v>468.78014767221401</v>
      </c>
      <c r="Q56" s="59">
        <f>SUMIFS('Data(perSeason,perCrop)'!$A:$A,'Data(perSeason,perCrop)'!$S:$S,Productivity!$A56,'Data(perSeason,perCrop)'!$O:$O,1,'Data(perSeason,perCrop)'!$C:$C,Productivity!Q$52,'Data(perSeason,perCrop)'!$R:$R,"IRRIGATED")</f>
        <v>0</v>
      </c>
      <c r="R56" s="59">
        <f>SUMIFS('Data(perSeason,perCrop)'!$A:$A,'Data(perSeason,perCrop)'!$S:$S,Productivity!$A56,'Data(perSeason,perCrop)'!$O:$O,1,'Data(perSeason,perCrop)'!$C:$C,Productivity!R$52,'Data(perSeason,perCrop)'!$R:$R,"IRRIGATED")</f>
        <v>573.60987432403999</v>
      </c>
      <c r="S56" s="59">
        <f>SUMIFS('Data(perSeason,perCrop)'!$A:$A,'Data(perSeason,perCrop)'!$S:$S,Productivity!$A56,'Data(perSeason,perCrop)'!$O:$O,1,'Data(perSeason,perCrop)'!$C:$C,Productivity!S$52,'Data(perSeason,perCrop)'!$R:$R,"IRRIGATED")</f>
        <v>0</v>
      </c>
      <c r="T56" s="59">
        <f>SUMIFS('Data(perSeason,perCrop)'!$A:$A,'Data(perSeason,perCrop)'!$S:$S,Productivity!$A56,'Data(perSeason,perCrop)'!$O:$O,1,'Data(perSeason,perCrop)'!$C:$C,Productivity!T$52,'Data(perSeason,perCrop)'!$R:$R,"IRRIGATED")</f>
        <v>0</v>
      </c>
      <c r="U56" s="59">
        <f>SUMIFS('Data(perSeason,perCrop)'!$A:$A,'Data(perSeason,perCrop)'!$S:$S,Productivity!$A56,'Data(perSeason,perCrop)'!$O:$O,1,'Data(perSeason,perCrop)'!$C:$C,Productivity!U$52,'Data(perSeason,perCrop)'!$R:$R,"IRRIGATED")</f>
        <v>348.25434140223399</v>
      </c>
      <c r="V56" s="59">
        <f>SUMIFS('Data(perSeason,perCrop)'!$A:$A,'Data(perSeason,perCrop)'!$S:$S,Productivity!$A56,'Data(perSeason,perCrop)'!$O:$O,1,'Data(perSeason,perCrop)'!$C:$C,Productivity!V$52,'Data(perSeason,perCrop)'!$R:$R,"IRRIGATED")</f>
        <v>0</v>
      </c>
      <c r="W56" s="59">
        <f>SUMIFS('Data(perSeason,perCrop)'!$A:$A,'Data(perSeason,perCrop)'!$S:$S,Productivity!$A56,'Data(perSeason,perCrop)'!$O:$O,1,'Data(perSeason,perCrop)'!$C:$C,Productivity!W$52,'Data(perSeason,perCrop)'!$R:$R,"IRRIGATED")</f>
        <v>0</v>
      </c>
      <c r="X56" s="59">
        <f>SUMIFS('Data(perSeason,perCrop)'!$A:$A,'Data(perSeason,perCrop)'!$S:$S,Productivity!$A56,'Data(perSeason,perCrop)'!$O:$O,1,'Data(perSeason,perCrop)'!$C:$C,Productivity!X$52,'Data(perSeason,perCrop)'!$R:$R,"IRRIGATED")</f>
        <v>0</v>
      </c>
      <c r="Y56" s="59">
        <f>SUMIFS('Data(perSeason,perCrop)'!$A:$A,'Data(perSeason,perCrop)'!$S:$S,Productivity!$A56,'Data(perSeason,perCrop)'!$O:$O,1,'Data(perSeason,perCrop)'!$C:$C,Productivity!Y$52,'Data(perSeason,perCrop)'!$R:$R,"IRRIGATED")</f>
        <v>0</v>
      </c>
      <c r="Z56" s="59">
        <f>SUMIFS('Data(perSeason,perCrop)'!$A:$A,'Data(perSeason,perCrop)'!$S:$S,Productivity!$A56,'Data(perSeason,perCrop)'!$O:$O,1,'Data(perSeason,perCrop)'!$C:$C,Productivity!Z$52,'Data(perSeason,perCrop)'!$R:$R,"IRRIGATED")</f>
        <v>0</v>
      </c>
      <c r="AA56" s="59">
        <f>SUMIFS('Data(perSeason,perCrop)'!$A:$A,'Data(perSeason,perCrop)'!$S:$S,Productivity!$A56,'Data(perSeason,perCrop)'!$O:$O,1,'Data(perSeason,perCrop)'!$C:$C,Productivity!AA$52,'Data(perSeason,perCrop)'!$R:$R,"IRRIGATED")</f>
        <v>0</v>
      </c>
      <c r="AB56" s="59">
        <f>SUMIFS('Data(perSeason,perCrop)'!$A:$A,'Data(perSeason,perCrop)'!$S:$S,Productivity!$A56,'Data(perSeason,perCrop)'!$O:$O,1,'Data(perSeason,perCrop)'!$C:$C,Productivity!AB$52,'Data(perSeason,perCrop)'!$R:$R,"IRRIGATED")</f>
        <v>0</v>
      </c>
      <c r="AC56" s="59">
        <f>SUMIFS('Data(perSeason,perCrop)'!$A:$A,'Data(perSeason,perCrop)'!$S:$S,Productivity!$A56,'Data(perSeason,perCrop)'!$O:$O,1,'Data(perSeason,perCrop)'!$C:$C,Productivity!AC$52,'Data(perSeason,perCrop)'!$R:$R,"IRRIGATED")</f>
        <v>0</v>
      </c>
      <c r="AD56" s="59">
        <f>SUMIFS('Data(perSeason,perCrop)'!$A:$A,'Data(perSeason,perCrop)'!$S:$S,Productivity!$A56,'Data(perSeason,perCrop)'!$O:$O,1,'Data(perSeason,perCrop)'!$C:$C,Productivity!AD$52,'Data(perSeason,perCrop)'!$R:$R,"IRRIGATED")</f>
        <v>0</v>
      </c>
      <c r="AE56" s="59">
        <f>SUMIFS('Data(perSeason,perCrop)'!$A:$A,'Data(perSeason,perCrop)'!$S:$S,Productivity!$A56,'Data(perSeason,perCrop)'!$O:$O,1,'Data(perSeason,perCrop)'!$C:$C,Productivity!AE$52,'Data(perSeason,perCrop)'!$R:$R,"IRRIGATED")</f>
        <v>0</v>
      </c>
      <c r="AF56" s="59">
        <f>SUMIFS('Data(perSeason,perCrop)'!$A:$A,'Data(perSeason,perCrop)'!$S:$S,Productivity!$A56,'Data(perSeason,perCrop)'!$O:$O,1,'Data(perSeason,perCrop)'!$C:$C,Productivity!AF$52,'Data(perSeason,perCrop)'!$R:$R,"IRRIGATED")</f>
        <v>0</v>
      </c>
    </row>
    <row r="57" spans="1:32" ht="18.75" x14ac:dyDescent="0.3">
      <c r="A57" s="42">
        <v>2021</v>
      </c>
      <c r="B57" s="59">
        <f>SUMIFS('Data(perSeason,perCrop)'!$A:$A,'Data(perSeason,perCrop)'!$S:$S,Productivity!$A57,'Data(perSeason,perCrop)'!$O:$O,1,'Data(perSeason,perCrop)'!$C:$C,Productivity!B$52,'Data(perSeason,perCrop)'!$R:$R,"IRRIGATED")</f>
        <v>0</v>
      </c>
      <c r="C57" s="59">
        <f>SUMIFS('Data(perSeason,perCrop)'!$A:$A,'Data(perSeason,perCrop)'!$S:$S,Productivity!$A57,'Data(perSeason,perCrop)'!$O:$O,1,'Data(perSeason,perCrop)'!$C:$C,Productivity!C$52,'Data(perSeason,perCrop)'!$R:$R,"IRRIGATED")</f>
        <v>2884.3026910335002</v>
      </c>
      <c r="D57" s="59">
        <f>SUMIFS('Data(perSeason,perCrop)'!$A:$A,'Data(perSeason,perCrop)'!$S:$S,Productivity!$A57,'Data(perSeason,perCrop)'!$O:$O,1,'Data(perSeason,perCrop)'!$C:$C,Productivity!D$52,'Data(perSeason,perCrop)'!$R:$R,"IRRIGATED")</f>
        <v>0</v>
      </c>
      <c r="E57" s="59">
        <f>SUMIFS('Data(perSeason,perCrop)'!$A:$A,'Data(perSeason,perCrop)'!$S:$S,Productivity!$A57,'Data(perSeason,perCrop)'!$O:$O,1,'Data(perSeason,perCrop)'!$C:$C,Productivity!E$52,'Data(perSeason,perCrop)'!$R:$R,"IRRIGATED")</f>
        <v>0</v>
      </c>
      <c r="F57" s="59">
        <f>SUMIFS('Data(perSeason,perCrop)'!$A:$A,'Data(perSeason,perCrop)'!$S:$S,Productivity!$A57,'Data(perSeason,perCrop)'!$O:$O,1,'Data(perSeason,perCrop)'!$C:$C,Productivity!F$52,'Data(perSeason,perCrop)'!$R:$R,"IRRIGATED")</f>
        <v>0</v>
      </c>
      <c r="G57" s="59">
        <f>SUMIFS('Data(perSeason,perCrop)'!$A:$A,'Data(perSeason,perCrop)'!$S:$S,Productivity!$A57,'Data(perSeason,perCrop)'!$O:$O,1,'Data(perSeason,perCrop)'!$C:$C,Productivity!G$52,'Data(perSeason,perCrop)'!$R:$R,"IRRIGATED")</f>
        <v>0</v>
      </c>
      <c r="H57" s="59">
        <f>SUMIFS('Data(perSeason,perCrop)'!$A:$A,'Data(perSeason,perCrop)'!$S:$S,Productivity!$A57,'Data(perSeason,perCrop)'!$O:$O,1,'Data(perSeason,perCrop)'!$C:$C,Productivity!H$52,'Data(perSeason,perCrop)'!$R:$R,"IRRIGATED")</f>
        <v>0</v>
      </c>
      <c r="I57" s="59">
        <f>SUMIFS('Data(perSeason,perCrop)'!$A:$A,'Data(perSeason,perCrop)'!$S:$S,Productivity!$A57,'Data(perSeason,perCrop)'!$O:$O,1,'Data(perSeason,perCrop)'!$C:$C,Productivity!I$52,'Data(perSeason,perCrop)'!$R:$R,"IRRIGATED")</f>
        <v>0</v>
      </c>
      <c r="J57" s="59">
        <f>SUMIFS('Data(perSeason,perCrop)'!$A:$A,'Data(perSeason,perCrop)'!$S:$S,Productivity!$A57,'Data(perSeason,perCrop)'!$O:$O,1,'Data(perSeason,perCrop)'!$C:$C,Productivity!J$52,'Data(perSeason,perCrop)'!$R:$R,"IRRIGATED")</f>
        <v>0</v>
      </c>
      <c r="K57" s="59">
        <f>SUMIFS('Data(perSeason,perCrop)'!$A:$A,'Data(perSeason,perCrop)'!$S:$S,Productivity!$A57,'Data(perSeason,perCrop)'!$O:$O,1,'Data(perSeason,perCrop)'!$C:$C,Productivity!K$52,'Data(perSeason,perCrop)'!$R:$R,"IRRIGATED")</f>
        <v>0</v>
      </c>
      <c r="L57" s="59">
        <f>SUMIFS('Data(perSeason,perCrop)'!$A:$A,'Data(perSeason,perCrop)'!$S:$S,Productivity!$A57,'Data(perSeason,perCrop)'!$O:$O,1,'Data(perSeason,perCrop)'!$C:$C,Productivity!L$52,'Data(perSeason,perCrop)'!$R:$R,"IRRIGATED")</f>
        <v>0</v>
      </c>
      <c r="M57" s="59">
        <f>SUMIFS('Data(perSeason,perCrop)'!$A:$A,'Data(perSeason,perCrop)'!$S:$S,Productivity!$A57,'Data(perSeason,perCrop)'!$O:$O,1,'Data(perSeason,perCrop)'!$C:$C,Productivity!M$52,'Data(perSeason,perCrop)'!$R:$R,"IRRIGATED")</f>
        <v>0</v>
      </c>
      <c r="N57" s="59">
        <f>SUMIFS('Data(perSeason,perCrop)'!$A:$A,'Data(perSeason,perCrop)'!$S:$S,Productivity!$A57,'Data(perSeason,perCrop)'!$O:$O,1,'Data(perSeason,perCrop)'!$C:$C,Productivity!N$52,'Data(perSeason,perCrop)'!$R:$R,"IRRIGATED")</f>
        <v>0</v>
      </c>
      <c r="O57" s="59">
        <f>SUMIFS('Data(perSeason,perCrop)'!$A:$A,'Data(perSeason,perCrop)'!$S:$S,Productivity!$A57,'Data(perSeason,perCrop)'!$O:$O,1,'Data(perSeason,perCrop)'!$C:$C,Productivity!O$52,'Data(perSeason,perCrop)'!$R:$R,"IRRIGATED")</f>
        <v>38.392339450474097</v>
      </c>
      <c r="P57" s="59">
        <f>SUMIFS('Data(perSeason,perCrop)'!$A:$A,'Data(perSeason,perCrop)'!$S:$S,Productivity!$A57,'Data(perSeason,perCrop)'!$O:$O,1,'Data(perSeason,perCrop)'!$C:$C,Productivity!P$52,'Data(perSeason,perCrop)'!$R:$R,"IRRIGATED")</f>
        <v>151.80534748228101</v>
      </c>
      <c r="Q57" s="59">
        <f>SUMIFS('Data(perSeason,perCrop)'!$A:$A,'Data(perSeason,perCrop)'!$S:$S,Productivity!$A57,'Data(perSeason,perCrop)'!$O:$O,1,'Data(perSeason,perCrop)'!$C:$C,Productivity!Q$52,'Data(perSeason,perCrop)'!$R:$R,"IRRIGATED")</f>
        <v>0</v>
      </c>
      <c r="R57" s="59">
        <f>SUMIFS('Data(perSeason,perCrop)'!$A:$A,'Data(perSeason,perCrop)'!$S:$S,Productivity!$A57,'Data(perSeason,perCrop)'!$O:$O,1,'Data(perSeason,perCrop)'!$C:$C,Productivity!R$52,'Data(perSeason,perCrop)'!$R:$R,"IRRIGATED")</f>
        <v>641.35861876530896</v>
      </c>
      <c r="S57" s="59">
        <f>SUMIFS('Data(perSeason,perCrop)'!$A:$A,'Data(perSeason,perCrop)'!$S:$S,Productivity!$A57,'Data(perSeason,perCrop)'!$O:$O,1,'Data(perSeason,perCrop)'!$C:$C,Productivity!S$52,'Data(perSeason,perCrop)'!$R:$R,"IRRIGATED")</f>
        <v>0</v>
      </c>
      <c r="T57" s="59">
        <f>SUMIFS('Data(perSeason,perCrop)'!$A:$A,'Data(perSeason,perCrop)'!$S:$S,Productivity!$A57,'Data(perSeason,perCrop)'!$O:$O,1,'Data(perSeason,perCrop)'!$C:$C,Productivity!T$52,'Data(perSeason,perCrop)'!$R:$R,"IRRIGATED")</f>
        <v>0</v>
      </c>
      <c r="U57" s="59">
        <f>SUMIFS('Data(perSeason,perCrop)'!$A:$A,'Data(perSeason,perCrop)'!$S:$S,Productivity!$A57,'Data(perSeason,perCrop)'!$O:$O,1,'Data(perSeason,perCrop)'!$C:$C,Productivity!U$52,'Data(perSeason,perCrop)'!$R:$R,"IRRIGATED")</f>
        <v>465.10641521983399</v>
      </c>
      <c r="V57" s="59">
        <f>SUMIFS('Data(perSeason,perCrop)'!$A:$A,'Data(perSeason,perCrop)'!$S:$S,Productivity!$A57,'Data(perSeason,perCrop)'!$O:$O,1,'Data(perSeason,perCrop)'!$C:$C,Productivity!V$52,'Data(perSeason,perCrop)'!$R:$R,"IRRIGATED")</f>
        <v>0</v>
      </c>
      <c r="W57" s="59">
        <f>SUMIFS('Data(perSeason,perCrop)'!$A:$A,'Data(perSeason,perCrop)'!$S:$S,Productivity!$A57,'Data(perSeason,perCrop)'!$O:$O,1,'Data(perSeason,perCrop)'!$C:$C,Productivity!W$52,'Data(perSeason,perCrop)'!$R:$R,"IRRIGATED")</f>
        <v>0</v>
      </c>
      <c r="X57" s="59">
        <f>SUMIFS('Data(perSeason,perCrop)'!$A:$A,'Data(perSeason,perCrop)'!$S:$S,Productivity!$A57,'Data(perSeason,perCrop)'!$O:$O,1,'Data(perSeason,perCrop)'!$C:$C,Productivity!X$52,'Data(perSeason,perCrop)'!$R:$R,"IRRIGATED")</f>
        <v>0</v>
      </c>
      <c r="Y57" s="59">
        <f>SUMIFS('Data(perSeason,perCrop)'!$A:$A,'Data(perSeason,perCrop)'!$S:$S,Productivity!$A57,'Data(perSeason,perCrop)'!$O:$O,1,'Data(perSeason,perCrop)'!$C:$C,Productivity!Y$52,'Data(perSeason,perCrop)'!$R:$R,"IRRIGATED")</f>
        <v>0</v>
      </c>
      <c r="Z57" s="59">
        <f>SUMIFS('Data(perSeason,perCrop)'!$A:$A,'Data(perSeason,perCrop)'!$S:$S,Productivity!$A57,'Data(perSeason,perCrop)'!$O:$O,1,'Data(perSeason,perCrop)'!$C:$C,Productivity!Z$52,'Data(perSeason,perCrop)'!$R:$R,"IRRIGATED")</f>
        <v>0</v>
      </c>
      <c r="AA57" s="59">
        <f>SUMIFS('Data(perSeason,perCrop)'!$A:$A,'Data(perSeason,perCrop)'!$S:$S,Productivity!$A57,'Data(perSeason,perCrop)'!$O:$O,1,'Data(perSeason,perCrop)'!$C:$C,Productivity!AA$52,'Data(perSeason,perCrop)'!$R:$R,"IRRIGATED")</f>
        <v>0</v>
      </c>
      <c r="AB57" s="59">
        <f>SUMIFS('Data(perSeason,perCrop)'!$A:$A,'Data(perSeason,perCrop)'!$S:$S,Productivity!$A57,'Data(perSeason,perCrop)'!$O:$O,1,'Data(perSeason,perCrop)'!$C:$C,Productivity!AB$52,'Data(perSeason,perCrop)'!$R:$R,"IRRIGATED")</f>
        <v>0</v>
      </c>
      <c r="AC57" s="59">
        <f>SUMIFS('Data(perSeason,perCrop)'!$A:$A,'Data(perSeason,perCrop)'!$S:$S,Productivity!$A57,'Data(perSeason,perCrop)'!$O:$O,1,'Data(perSeason,perCrop)'!$C:$C,Productivity!AC$52,'Data(perSeason,perCrop)'!$R:$R,"IRRIGATED")</f>
        <v>0</v>
      </c>
      <c r="AD57" s="59">
        <f>SUMIFS('Data(perSeason,perCrop)'!$A:$A,'Data(perSeason,perCrop)'!$S:$S,Productivity!$A57,'Data(perSeason,perCrop)'!$O:$O,1,'Data(perSeason,perCrop)'!$C:$C,Productivity!AD$52,'Data(perSeason,perCrop)'!$R:$R,"IRRIGATED")</f>
        <v>0</v>
      </c>
      <c r="AE57" s="59">
        <f>SUMIFS('Data(perSeason,perCrop)'!$A:$A,'Data(perSeason,perCrop)'!$S:$S,Productivity!$A57,'Data(perSeason,perCrop)'!$O:$O,1,'Data(perSeason,perCrop)'!$C:$C,Productivity!AE$52,'Data(perSeason,perCrop)'!$R:$R,"IRRIGATED")</f>
        <v>0</v>
      </c>
      <c r="AF57" s="59">
        <f>SUMIFS('Data(perSeason,perCrop)'!$A:$A,'Data(perSeason,perCrop)'!$S:$S,Productivity!$A57,'Data(perSeason,perCrop)'!$O:$O,1,'Data(perSeason,perCrop)'!$C:$C,Productivity!AF$52,'Data(perSeason,perCrop)'!$R:$R,"IRRIGATED")</f>
        <v>0</v>
      </c>
    </row>
    <row r="58" spans="1:32" ht="18.75" x14ac:dyDescent="0.3">
      <c r="A58" s="42">
        <v>2022</v>
      </c>
      <c r="B58" s="59">
        <f>SUMIFS('Data(perSeason,perCrop)'!$A:$A,'Data(perSeason,perCrop)'!$S:$S,Productivity!$A58,'Data(perSeason,perCrop)'!$O:$O,1,'Data(perSeason,perCrop)'!$C:$C,Productivity!B$52,'Data(perSeason,perCrop)'!$R:$R,"IRRIGATED")</f>
        <v>0</v>
      </c>
      <c r="C58" s="59">
        <f>SUMIFS('Data(perSeason,perCrop)'!$A:$A,'Data(perSeason,perCrop)'!$S:$S,Productivity!$A58,'Data(perSeason,perCrop)'!$O:$O,1,'Data(perSeason,perCrop)'!$C:$C,Productivity!C$52,'Data(perSeason,perCrop)'!$R:$R,"IRRIGATED")</f>
        <v>4004.6214826463402</v>
      </c>
      <c r="D58" s="59">
        <f>SUMIFS('Data(perSeason,perCrop)'!$A:$A,'Data(perSeason,perCrop)'!$S:$S,Productivity!$A58,'Data(perSeason,perCrop)'!$O:$O,1,'Data(perSeason,perCrop)'!$C:$C,Productivity!D$52,'Data(perSeason,perCrop)'!$R:$R,"IRRIGATED")</f>
        <v>0</v>
      </c>
      <c r="E58" s="59">
        <f>SUMIFS('Data(perSeason,perCrop)'!$A:$A,'Data(perSeason,perCrop)'!$S:$S,Productivity!$A58,'Data(perSeason,perCrop)'!$O:$O,1,'Data(perSeason,perCrop)'!$C:$C,Productivity!E$52,'Data(perSeason,perCrop)'!$R:$R,"IRRIGATED")</f>
        <v>0</v>
      </c>
      <c r="F58" s="59">
        <f>SUMIFS('Data(perSeason,perCrop)'!$A:$A,'Data(perSeason,perCrop)'!$S:$S,Productivity!$A58,'Data(perSeason,perCrop)'!$O:$O,1,'Data(perSeason,perCrop)'!$C:$C,Productivity!F$52,'Data(perSeason,perCrop)'!$R:$R,"IRRIGATED")</f>
        <v>0</v>
      </c>
      <c r="G58" s="59">
        <f>SUMIFS('Data(perSeason,perCrop)'!$A:$A,'Data(perSeason,perCrop)'!$S:$S,Productivity!$A58,'Data(perSeason,perCrop)'!$O:$O,1,'Data(perSeason,perCrop)'!$C:$C,Productivity!G$52,'Data(perSeason,perCrop)'!$R:$R,"IRRIGATED")</f>
        <v>0</v>
      </c>
      <c r="H58" s="59">
        <f>SUMIFS('Data(perSeason,perCrop)'!$A:$A,'Data(perSeason,perCrop)'!$S:$S,Productivity!$A58,'Data(perSeason,perCrop)'!$O:$O,1,'Data(perSeason,perCrop)'!$C:$C,Productivity!H$52,'Data(perSeason,perCrop)'!$R:$R,"IRRIGATED")</f>
        <v>0</v>
      </c>
      <c r="I58" s="59">
        <f>SUMIFS('Data(perSeason,perCrop)'!$A:$A,'Data(perSeason,perCrop)'!$S:$S,Productivity!$A58,'Data(perSeason,perCrop)'!$O:$O,1,'Data(perSeason,perCrop)'!$C:$C,Productivity!I$52,'Data(perSeason,perCrop)'!$R:$R,"IRRIGATED")</f>
        <v>0</v>
      </c>
      <c r="J58" s="59">
        <f>SUMIFS('Data(perSeason,perCrop)'!$A:$A,'Data(perSeason,perCrop)'!$S:$S,Productivity!$A58,'Data(perSeason,perCrop)'!$O:$O,1,'Data(perSeason,perCrop)'!$C:$C,Productivity!J$52,'Data(perSeason,perCrop)'!$R:$R,"IRRIGATED")</f>
        <v>0</v>
      </c>
      <c r="K58" s="59">
        <f>SUMIFS('Data(perSeason,perCrop)'!$A:$A,'Data(perSeason,perCrop)'!$S:$S,Productivity!$A58,'Data(perSeason,perCrop)'!$O:$O,1,'Data(perSeason,perCrop)'!$C:$C,Productivity!K$52,'Data(perSeason,perCrop)'!$R:$R,"IRRIGATED")</f>
        <v>0</v>
      </c>
      <c r="L58" s="59">
        <f>SUMIFS('Data(perSeason,perCrop)'!$A:$A,'Data(perSeason,perCrop)'!$S:$S,Productivity!$A58,'Data(perSeason,perCrop)'!$O:$O,1,'Data(perSeason,perCrop)'!$C:$C,Productivity!L$52,'Data(perSeason,perCrop)'!$R:$R,"IRRIGATED")</f>
        <v>0</v>
      </c>
      <c r="M58" s="59">
        <f>SUMIFS('Data(perSeason,perCrop)'!$A:$A,'Data(perSeason,perCrop)'!$S:$S,Productivity!$A58,'Data(perSeason,perCrop)'!$O:$O,1,'Data(perSeason,perCrop)'!$C:$C,Productivity!M$52,'Data(perSeason,perCrop)'!$R:$R,"IRRIGATED")</f>
        <v>0</v>
      </c>
      <c r="N58" s="59">
        <f>SUMIFS('Data(perSeason,perCrop)'!$A:$A,'Data(perSeason,perCrop)'!$S:$S,Productivity!$A58,'Data(perSeason,perCrop)'!$O:$O,1,'Data(perSeason,perCrop)'!$C:$C,Productivity!N$52,'Data(perSeason,perCrop)'!$R:$R,"IRRIGATED")</f>
        <v>0</v>
      </c>
      <c r="O58" s="59">
        <f>SUMIFS('Data(perSeason,perCrop)'!$A:$A,'Data(perSeason,perCrop)'!$S:$S,Productivity!$A58,'Data(perSeason,perCrop)'!$O:$O,1,'Data(perSeason,perCrop)'!$C:$C,Productivity!O$52,'Data(perSeason,perCrop)'!$R:$R,"IRRIGATED")</f>
        <v>20.909661400376802</v>
      </c>
      <c r="P58" s="59">
        <f>SUMIFS('Data(perSeason,perCrop)'!$A:$A,'Data(perSeason,perCrop)'!$S:$S,Productivity!$A58,'Data(perSeason,perCrop)'!$O:$O,1,'Data(perSeason,perCrop)'!$C:$C,Productivity!P$52,'Data(perSeason,perCrop)'!$R:$R,"IRRIGATED")</f>
        <v>224.788807397954</v>
      </c>
      <c r="Q58" s="59">
        <f>SUMIFS('Data(perSeason,perCrop)'!$A:$A,'Data(perSeason,perCrop)'!$S:$S,Productivity!$A58,'Data(perSeason,perCrop)'!$O:$O,1,'Data(perSeason,perCrop)'!$C:$C,Productivity!Q$52,'Data(perSeason,perCrop)'!$R:$R,"IRRIGATED")</f>
        <v>0</v>
      </c>
      <c r="R58" s="59">
        <f>SUMIFS('Data(perSeason,perCrop)'!$A:$A,'Data(perSeason,perCrop)'!$S:$S,Productivity!$A58,'Data(perSeason,perCrop)'!$O:$O,1,'Data(perSeason,perCrop)'!$C:$C,Productivity!R$52,'Data(perSeason,perCrop)'!$R:$R,"IRRIGATED")</f>
        <v>594.24039549012696</v>
      </c>
      <c r="S58" s="59">
        <f>SUMIFS('Data(perSeason,perCrop)'!$A:$A,'Data(perSeason,perCrop)'!$S:$S,Productivity!$A58,'Data(perSeason,perCrop)'!$O:$O,1,'Data(perSeason,perCrop)'!$C:$C,Productivity!S$52,'Data(perSeason,perCrop)'!$R:$R,"IRRIGATED")</f>
        <v>0</v>
      </c>
      <c r="T58" s="59">
        <f>SUMIFS('Data(perSeason,perCrop)'!$A:$A,'Data(perSeason,perCrop)'!$S:$S,Productivity!$A58,'Data(perSeason,perCrop)'!$O:$O,1,'Data(perSeason,perCrop)'!$C:$C,Productivity!T$52,'Data(perSeason,perCrop)'!$R:$R,"IRRIGATED")</f>
        <v>0</v>
      </c>
      <c r="U58" s="59">
        <f>SUMIFS('Data(perSeason,perCrop)'!$A:$A,'Data(perSeason,perCrop)'!$S:$S,Productivity!$A58,'Data(perSeason,perCrop)'!$O:$O,1,'Data(perSeason,perCrop)'!$C:$C,Productivity!U$52,'Data(perSeason,perCrop)'!$R:$R,"IRRIGATED")</f>
        <v>1096.9115895187001</v>
      </c>
      <c r="V58" s="59">
        <f>SUMIFS('Data(perSeason,perCrop)'!$A:$A,'Data(perSeason,perCrop)'!$S:$S,Productivity!$A58,'Data(perSeason,perCrop)'!$O:$O,1,'Data(perSeason,perCrop)'!$C:$C,Productivity!V$52,'Data(perSeason,perCrop)'!$R:$R,"IRRIGATED")</f>
        <v>0</v>
      </c>
      <c r="W58" s="59">
        <f>SUMIFS('Data(perSeason,perCrop)'!$A:$A,'Data(perSeason,perCrop)'!$S:$S,Productivity!$A58,'Data(perSeason,perCrop)'!$O:$O,1,'Data(perSeason,perCrop)'!$C:$C,Productivity!W$52,'Data(perSeason,perCrop)'!$R:$R,"IRRIGATED")</f>
        <v>0</v>
      </c>
      <c r="X58" s="59">
        <f>SUMIFS('Data(perSeason,perCrop)'!$A:$A,'Data(perSeason,perCrop)'!$S:$S,Productivity!$A58,'Data(perSeason,perCrop)'!$O:$O,1,'Data(perSeason,perCrop)'!$C:$C,Productivity!X$52,'Data(perSeason,perCrop)'!$R:$R,"IRRIGATED")</f>
        <v>0</v>
      </c>
      <c r="Y58" s="59">
        <f>SUMIFS('Data(perSeason,perCrop)'!$A:$A,'Data(perSeason,perCrop)'!$S:$S,Productivity!$A58,'Data(perSeason,perCrop)'!$O:$O,1,'Data(perSeason,perCrop)'!$C:$C,Productivity!Y$52,'Data(perSeason,perCrop)'!$R:$R,"IRRIGATED")</f>
        <v>0</v>
      </c>
      <c r="Z58" s="59">
        <f>SUMIFS('Data(perSeason,perCrop)'!$A:$A,'Data(perSeason,perCrop)'!$S:$S,Productivity!$A58,'Data(perSeason,perCrop)'!$O:$O,1,'Data(perSeason,perCrop)'!$C:$C,Productivity!Z$52,'Data(perSeason,perCrop)'!$R:$R,"IRRIGATED")</f>
        <v>0</v>
      </c>
      <c r="AA58" s="59">
        <f>SUMIFS('Data(perSeason,perCrop)'!$A:$A,'Data(perSeason,perCrop)'!$S:$S,Productivity!$A58,'Data(perSeason,perCrop)'!$O:$O,1,'Data(perSeason,perCrop)'!$C:$C,Productivity!AA$52,'Data(perSeason,perCrop)'!$R:$R,"IRRIGATED")</f>
        <v>0</v>
      </c>
      <c r="AB58" s="59">
        <f>SUMIFS('Data(perSeason,perCrop)'!$A:$A,'Data(perSeason,perCrop)'!$S:$S,Productivity!$A58,'Data(perSeason,perCrop)'!$O:$O,1,'Data(perSeason,perCrop)'!$C:$C,Productivity!AB$52,'Data(perSeason,perCrop)'!$R:$R,"IRRIGATED")</f>
        <v>0</v>
      </c>
      <c r="AC58" s="59">
        <f>SUMIFS('Data(perSeason,perCrop)'!$A:$A,'Data(perSeason,perCrop)'!$S:$S,Productivity!$A58,'Data(perSeason,perCrop)'!$O:$O,1,'Data(perSeason,perCrop)'!$C:$C,Productivity!AC$52,'Data(perSeason,perCrop)'!$R:$R,"IRRIGATED")</f>
        <v>0</v>
      </c>
      <c r="AD58" s="59">
        <f>SUMIFS('Data(perSeason,perCrop)'!$A:$A,'Data(perSeason,perCrop)'!$S:$S,Productivity!$A58,'Data(perSeason,perCrop)'!$O:$O,1,'Data(perSeason,perCrop)'!$C:$C,Productivity!AD$52,'Data(perSeason,perCrop)'!$R:$R,"IRRIGATED")</f>
        <v>0</v>
      </c>
      <c r="AE58" s="59">
        <f>SUMIFS('Data(perSeason,perCrop)'!$A:$A,'Data(perSeason,perCrop)'!$S:$S,Productivity!$A58,'Data(perSeason,perCrop)'!$O:$O,1,'Data(perSeason,perCrop)'!$C:$C,Productivity!AE$52,'Data(perSeason,perCrop)'!$R:$R,"IRRIGATED")</f>
        <v>0</v>
      </c>
      <c r="AF58" s="59">
        <f>SUMIFS('Data(perSeason,perCrop)'!$A:$A,'Data(perSeason,perCrop)'!$S:$S,Productivity!$A58,'Data(perSeason,perCrop)'!$O:$O,1,'Data(perSeason,perCrop)'!$C:$C,Productivity!AF$52,'Data(perSeason,perCrop)'!$R:$R,"IRRIGATED")</f>
        <v>0</v>
      </c>
    </row>
    <row r="59" spans="1:32" ht="18.75" x14ac:dyDescent="0.3">
      <c r="A59" s="47" t="s">
        <v>184</v>
      </c>
      <c r="B59" s="48">
        <f>AVERAGE(B54:B58)</f>
        <v>0</v>
      </c>
      <c r="C59" s="48">
        <f t="shared" ref="C59:AF59" si="6">AVERAGE(C54:C58)</f>
        <v>3245.7037788096559</v>
      </c>
      <c r="D59" s="48">
        <f t="shared" si="6"/>
        <v>0</v>
      </c>
      <c r="E59" s="48">
        <f t="shared" si="6"/>
        <v>0</v>
      </c>
      <c r="F59" s="48">
        <f t="shared" si="6"/>
        <v>0</v>
      </c>
      <c r="G59" s="48">
        <f t="shared" si="6"/>
        <v>0</v>
      </c>
      <c r="H59" s="48">
        <f t="shared" si="6"/>
        <v>0</v>
      </c>
      <c r="I59" s="48">
        <f t="shared" si="6"/>
        <v>0</v>
      </c>
      <c r="J59" s="48">
        <f t="shared" si="6"/>
        <v>0</v>
      </c>
      <c r="K59" s="48">
        <f t="shared" si="6"/>
        <v>0</v>
      </c>
      <c r="L59" s="48">
        <f t="shared" si="6"/>
        <v>0</v>
      </c>
      <c r="M59" s="48">
        <f t="shared" si="6"/>
        <v>0</v>
      </c>
      <c r="N59" s="48">
        <f t="shared" si="6"/>
        <v>0</v>
      </c>
      <c r="O59" s="48">
        <f t="shared" si="6"/>
        <v>101.03027267360402</v>
      </c>
      <c r="P59" s="48">
        <f t="shared" si="6"/>
        <v>299.28095101223562</v>
      </c>
      <c r="Q59" s="48">
        <f t="shared" si="6"/>
        <v>0</v>
      </c>
      <c r="R59" s="48">
        <f t="shared" si="6"/>
        <v>701.32175925361412</v>
      </c>
      <c r="S59" s="48">
        <f t="shared" si="6"/>
        <v>0</v>
      </c>
      <c r="T59" s="48">
        <f t="shared" si="6"/>
        <v>0</v>
      </c>
      <c r="U59" s="48">
        <f t="shared" si="6"/>
        <v>1364.4860050213974</v>
      </c>
      <c r="V59" s="48">
        <f t="shared" si="6"/>
        <v>0</v>
      </c>
      <c r="W59" s="48">
        <f t="shared" si="6"/>
        <v>0</v>
      </c>
      <c r="X59" s="48">
        <f t="shared" si="6"/>
        <v>0</v>
      </c>
      <c r="Y59" s="48">
        <f t="shared" si="6"/>
        <v>0</v>
      </c>
      <c r="Z59" s="48">
        <f t="shared" si="6"/>
        <v>0</v>
      </c>
      <c r="AA59" s="48">
        <f t="shared" si="6"/>
        <v>0</v>
      </c>
      <c r="AB59" s="48">
        <f t="shared" si="6"/>
        <v>0</v>
      </c>
      <c r="AC59" s="48">
        <f t="shared" si="6"/>
        <v>0</v>
      </c>
      <c r="AD59" s="48">
        <f t="shared" si="6"/>
        <v>0</v>
      </c>
      <c r="AE59" s="48">
        <f t="shared" si="6"/>
        <v>0</v>
      </c>
      <c r="AF59" s="48">
        <f t="shared" si="6"/>
        <v>0</v>
      </c>
    </row>
    <row r="60" spans="1:32" ht="18.75" x14ac:dyDescent="0.3">
      <c r="A60" s="47" t="s">
        <v>185</v>
      </c>
      <c r="B60" s="48">
        <f>B59/SUM($B59:$AF59)</f>
        <v>0</v>
      </c>
      <c r="C60" s="52">
        <f t="shared" ref="C60:AF60" si="7">C59/SUM($B59:$Q59)</f>
        <v>0.89020582103698176</v>
      </c>
      <c r="D60" s="48">
        <f t="shared" si="7"/>
        <v>0</v>
      </c>
      <c r="E60" s="48">
        <f t="shared" si="7"/>
        <v>0</v>
      </c>
      <c r="F60" s="48">
        <f t="shared" si="7"/>
        <v>0</v>
      </c>
      <c r="G60" s="48">
        <f t="shared" si="7"/>
        <v>0</v>
      </c>
      <c r="H60" s="48">
        <f t="shared" si="7"/>
        <v>0</v>
      </c>
      <c r="I60" s="48">
        <f t="shared" si="7"/>
        <v>0</v>
      </c>
      <c r="J60" s="48">
        <f t="shared" si="7"/>
        <v>0</v>
      </c>
      <c r="K60" s="48">
        <f t="shared" si="7"/>
        <v>0</v>
      </c>
      <c r="L60" s="48">
        <f t="shared" si="7"/>
        <v>0</v>
      </c>
      <c r="M60" s="48">
        <f t="shared" si="7"/>
        <v>0</v>
      </c>
      <c r="N60" s="48">
        <f t="shared" si="7"/>
        <v>0</v>
      </c>
      <c r="O60" s="52">
        <f t="shared" si="7"/>
        <v>2.7709779747053808E-2</v>
      </c>
      <c r="P60" s="52">
        <f t="shared" si="7"/>
        <v>8.2084399215964374E-2</v>
      </c>
      <c r="Q60" s="48">
        <f t="shared" si="7"/>
        <v>0</v>
      </c>
      <c r="R60" s="61">
        <f t="shared" si="7"/>
        <v>0.19235295487637824</v>
      </c>
      <c r="S60" s="48">
        <f t="shared" si="7"/>
        <v>0</v>
      </c>
      <c r="T60" s="48">
        <f t="shared" si="7"/>
        <v>0</v>
      </c>
      <c r="U60" s="52">
        <f t="shared" si="7"/>
        <v>0.37424037040096714</v>
      </c>
      <c r="V60" s="48">
        <f t="shared" si="7"/>
        <v>0</v>
      </c>
      <c r="W60" s="48">
        <f t="shared" si="7"/>
        <v>0</v>
      </c>
      <c r="X60" s="48">
        <f t="shared" si="7"/>
        <v>0</v>
      </c>
      <c r="Y60" s="48">
        <f t="shared" si="7"/>
        <v>0</v>
      </c>
      <c r="Z60" s="48">
        <f t="shared" si="7"/>
        <v>0</v>
      </c>
      <c r="AA60" s="48">
        <f t="shared" si="7"/>
        <v>0</v>
      </c>
      <c r="AB60" s="48">
        <f t="shared" si="7"/>
        <v>0</v>
      </c>
      <c r="AC60" s="48">
        <f t="shared" si="7"/>
        <v>0</v>
      </c>
      <c r="AD60" s="48">
        <f t="shared" si="7"/>
        <v>0</v>
      </c>
      <c r="AE60" s="48">
        <f t="shared" si="7"/>
        <v>0</v>
      </c>
      <c r="AF60" s="48">
        <f t="shared" si="7"/>
        <v>0</v>
      </c>
    </row>
    <row r="62" spans="1:32" ht="18.75" x14ac:dyDescent="0.3">
      <c r="A62" s="42" t="s">
        <v>25</v>
      </c>
      <c r="B62" s="58" t="s">
        <v>47</v>
      </c>
      <c r="C62" s="58" t="s">
        <v>57</v>
      </c>
      <c r="D62" s="58" t="s">
        <v>110</v>
      </c>
      <c r="E62" s="58" t="s">
        <v>50</v>
      </c>
      <c r="F62" s="58" t="s">
        <v>58</v>
      </c>
      <c r="G62" s="58" t="s">
        <v>51</v>
      </c>
      <c r="H62" s="58" t="s">
        <v>97</v>
      </c>
      <c r="I62" s="58" t="s">
        <v>52</v>
      </c>
      <c r="J62" s="58" t="s">
        <v>59</v>
      </c>
      <c r="K62" s="58" t="s">
        <v>111</v>
      </c>
      <c r="L62" s="58" t="s">
        <v>54</v>
      </c>
      <c r="M62" s="58" t="s">
        <v>112</v>
      </c>
      <c r="N62" s="58" t="s">
        <v>48</v>
      </c>
      <c r="O62" s="58" t="s">
        <v>53</v>
      </c>
      <c r="P62" s="58" t="s">
        <v>49</v>
      </c>
      <c r="Q62" s="58" t="s">
        <v>56</v>
      </c>
      <c r="R62" s="58" t="s">
        <v>102</v>
      </c>
      <c r="S62" s="58" t="s">
        <v>103</v>
      </c>
      <c r="T62" s="58" t="s">
        <v>101</v>
      </c>
      <c r="U62" s="58" t="s">
        <v>106</v>
      </c>
      <c r="V62" s="58" t="s">
        <v>113</v>
      </c>
      <c r="W62" s="58" t="s">
        <v>114</v>
      </c>
      <c r="X62" s="58" t="s">
        <v>115</v>
      </c>
      <c r="Y62" s="58" t="s">
        <v>116</v>
      </c>
      <c r="Z62" s="58" t="s">
        <v>107</v>
      </c>
      <c r="AA62" s="58" t="s">
        <v>104</v>
      </c>
      <c r="AB62" s="58" t="s">
        <v>117</v>
      </c>
      <c r="AC62" s="58" t="s">
        <v>118</v>
      </c>
      <c r="AD62" s="58" t="s">
        <v>119</v>
      </c>
      <c r="AE62" s="58" t="s">
        <v>108</v>
      </c>
      <c r="AF62" s="58" t="s">
        <v>105</v>
      </c>
    </row>
    <row r="63" spans="1:32" ht="18.75" x14ac:dyDescent="0.3">
      <c r="A63" s="42" t="s">
        <v>183</v>
      </c>
      <c r="B63" s="42">
        <v>1</v>
      </c>
      <c r="C63" s="42">
        <v>2</v>
      </c>
      <c r="D63" s="42">
        <v>3</v>
      </c>
      <c r="E63" s="42">
        <v>4</v>
      </c>
      <c r="F63" s="42">
        <v>5</v>
      </c>
      <c r="G63" s="42">
        <v>6</v>
      </c>
      <c r="H63" s="42">
        <v>7</v>
      </c>
      <c r="I63" s="42">
        <v>8</v>
      </c>
      <c r="J63" s="42">
        <v>9</v>
      </c>
      <c r="K63" s="42">
        <v>10</v>
      </c>
      <c r="L63" s="42">
        <v>11</v>
      </c>
      <c r="M63" s="42">
        <v>12</v>
      </c>
      <c r="N63" s="42">
        <v>13</v>
      </c>
      <c r="O63" s="42">
        <v>14</v>
      </c>
      <c r="P63" s="42">
        <v>15</v>
      </c>
      <c r="Q63" s="42">
        <v>16</v>
      </c>
      <c r="R63" s="42">
        <v>17</v>
      </c>
      <c r="S63" s="42">
        <v>18</v>
      </c>
      <c r="T63" s="42">
        <v>19</v>
      </c>
      <c r="U63" s="42">
        <v>20</v>
      </c>
      <c r="V63" s="42">
        <v>21</v>
      </c>
      <c r="W63" s="42">
        <v>22</v>
      </c>
      <c r="X63" s="42">
        <v>23</v>
      </c>
      <c r="Y63" s="42">
        <v>24</v>
      </c>
      <c r="Z63" s="42">
        <v>25</v>
      </c>
      <c r="AA63" s="42">
        <v>40</v>
      </c>
      <c r="AB63" s="42">
        <v>41</v>
      </c>
      <c r="AC63" s="42">
        <v>42</v>
      </c>
      <c r="AD63" s="42">
        <v>43</v>
      </c>
      <c r="AE63" s="42">
        <v>44</v>
      </c>
      <c r="AF63" s="42">
        <v>45</v>
      </c>
    </row>
    <row r="64" spans="1:32" ht="18.75" x14ac:dyDescent="0.3">
      <c r="A64" s="42">
        <v>2018</v>
      </c>
      <c r="B64" s="59" t="str">
        <f>IFERROR(
    AVERAGEIFS('Data(perSeason,perCrop)'!$E:$E,
    'Data(perSeason,perCrop)'!$S:$S,$A64,
    'Data(perSeason,perCrop)'!$O:$O,1,
    'Data(perSeason,perCrop)'!$C:$C,B$52,
    'Data(perSeason,perCrop)'!$R:$R,"IRRIGATED"),
"")</f>
        <v/>
      </c>
      <c r="C64" s="59">
        <f>IFERROR(
    AVERAGEIFS('Data(perSeason,perCrop)'!$E:$E,
    'Data(perSeason,perCrop)'!$S:$S,$A64,
    'Data(perSeason,perCrop)'!$O:$O,1,
    'Data(perSeason,perCrop)'!$C:$C,C$52,
    'Data(perSeason,perCrop)'!$R:$R,"IRRIGATED"),
"")</f>
        <v>289</v>
      </c>
      <c r="D64" s="59" t="str">
        <f>IFERROR(
    AVERAGEIFS('Data(perSeason,perCrop)'!$E:$E,
    'Data(perSeason,perCrop)'!$S:$S,$A64,
    'Data(perSeason,perCrop)'!$O:$O,1,
    'Data(perSeason,perCrop)'!$C:$C,D$52,
    'Data(perSeason,perCrop)'!$R:$R,"IRRIGATED"),
"")</f>
        <v/>
      </c>
      <c r="E64" s="59" t="str">
        <f>IFERROR(
    AVERAGEIFS('Data(perSeason,perCrop)'!$E:$E,
    'Data(perSeason,perCrop)'!$S:$S,$A64,
    'Data(perSeason,perCrop)'!$O:$O,1,
    'Data(perSeason,perCrop)'!$C:$C,E$52,
    'Data(perSeason,perCrop)'!$R:$R,"IRRIGATED"),
"")</f>
        <v/>
      </c>
      <c r="F64" s="59" t="str">
        <f>IFERROR(
    AVERAGEIFS('Data(perSeason,perCrop)'!$E:$E,
    'Data(perSeason,perCrop)'!$S:$S,$A64,
    'Data(perSeason,perCrop)'!$O:$O,1,
    'Data(perSeason,perCrop)'!$C:$C,F$52,
    'Data(perSeason,perCrop)'!$R:$R,"IRRIGATED"),
"")</f>
        <v/>
      </c>
      <c r="G64" s="59" t="str">
        <f>IFERROR(
    AVERAGEIFS('Data(perSeason,perCrop)'!$E:$E,
    'Data(perSeason,perCrop)'!$S:$S,$A64,
    'Data(perSeason,perCrop)'!$O:$O,1,
    'Data(perSeason,perCrop)'!$C:$C,G$52,
    'Data(perSeason,perCrop)'!$R:$R,"IRRIGATED"),
"")</f>
        <v/>
      </c>
      <c r="H64" s="59" t="str">
        <f>IFERROR(
    AVERAGEIFS('Data(perSeason,perCrop)'!$E:$E,
    'Data(perSeason,perCrop)'!$S:$S,$A64,
    'Data(perSeason,perCrop)'!$O:$O,1,
    'Data(perSeason,perCrop)'!$C:$C,H$52,
    'Data(perSeason,perCrop)'!$R:$R,"IRRIGATED"),
"")</f>
        <v/>
      </c>
      <c r="I64" s="59" t="str">
        <f>IFERROR(
    AVERAGEIFS('Data(perSeason,perCrop)'!$E:$E,
    'Data(perSeason,perCrop)'!$S:$S,$A64,
    'Data(perSeason,perCrop)'!$O:$O,1,
    'Data(perSeason,perCrop)'!$C:$C,I$52,
    'Data(perSeason,perCrop)'!$R:$R,"IRRIGATED"),
"")</f>
        <v/>
      </c>
      <c r="J64" s="59" t="str">
        <f>IFERROR(
    AVERAGEIFS('Data(perSeason,perCrop)'!$E:$E,
    'Data(perSeason,perCrop)'!$S:$S,$A64,
    'Data(perSeason,perCrop)'!$O:$O,1,
    'Data(perSeason,perCrop)'!$C:$C,J$52,
    'Data(perSeason,perCrop)'!$R:$R,"IRRIGATED"),
"")</f>
        <v/>
      </c>
      <c r="K64" s="59" t="str">
        <f>IFERROR(
    AVERAGEIFS('Data(perSeason,perCrop)'!$E:$E,
    'Data(perSeason,perCrop)'!$S:$S,$A64,
    'Data(perSeason,perCrop)'!$O:$O,1,
    'Data(perSeason,perCrop)'!$C:$C,K$52,
    'Data(perSeason,perCrop)'!$R:$R,"IRRIGATED"),
"")</f>
        <v/>
      </c>
      <c r="L64" s="59" t="str">
        <f>IFERROR(
    AVERAGEIFS('Data(perSeason,perCrop)'!$E:$E,
    'Data(perSeason,perCrop)'!$S:$S,$A64,
    'Data(perSeason,perCrop)'!$O:$O,1,
    'Data(perSeason,perCrop)'!$C:$C,L$52,
    'Data(perSeason,perCrop)'!$R:$R,"IRRIGATED"),
"")</f>
        <v/>
      </c>
      <c r="M64" s="59" t="str">
        <f>IFERROR(
    AVERAGEIFS('Data(perSeason,perCrop)'!$E:$E,
    'Data(perSeason,perCrop)'!$S:$S,$A64,
    'Data(perSeason,perCrop)'!$O:$O,1,
    'Data(perSeason,perCrop)'!$C:$C,M$52,
    'Data(perSeason,perCrop)'!$R:$R,"IRRIGATED"),
"")</f>
        <v/>
      </c>
      <c r="N64" s="59" t="str">
        <f>IFERROR(
    AVERAGEIFS('Data(perSeason,perCrop)'!$E:$E,
    'Data(perSeason,perCrop)'!$S:$S,$A64,
    'Data(perSeason,perCrop)'!$O:$O,1,
    'Data(perSeason,perCrop)'!$C:$C,N$52,
    'Data(perSeason,perCrop)'!$R:$R,"IRRIGATED"),
"")</f>
        <v/>
      </c>
      <c r="O64" s="59">
        <f>IFERROR(
    AVERAGEIFS('Data(perSeason,perCrop)'!$E:$E,
    'Data(perSeason,perCrop)'!$S:$S,$A64,
    'Data(perSeason,perCrop)'!$O:$O,1,
    'Data(perSeason,perCrop)'!$C:$C,O$52,
    'Data(perSeason,perCrop)'!$R:$R,"IRRIGATED"),
"")</f>
        <v>342</v>
      </c>
      <c r="P64" s="59">
        <f>IFERROR(
    AVERAGEIFS('Data(perSeason,perCrop)'!$E:$E,
    'Data(perSeason,perCrop)'!$S:$S,$A64,
    'Data(perSeason,perCrop)'!$O:$O,1,
    'Data(perSeason,perCrop)'!$C:$C,P$52,
    'Data(perSeason,perCrop)'!$R:$R,"IRRIGATED"),
"")</f>
        <v>288</v>
      </c>
      <c r="Q64" s="59" t="str">
        <f>IFERROR(
    AVERAGEIFS('Data(perSeason,perCrop)'!$E:$E,
    'Data(perSeason,perCrop)'!$S:$S,$A64,
    'Data(perSeason,perCrop)'!$O:$O,1,
    'Data(perSeason,perCrop)'!$C:$C,Q$52,
    'Data(perSeason,perCrop)'!$R:$R,"IRRIGATED"),
"")</f>
        <v/>
      </c>
      <c r="R64" s="59">
        <f>IFERROR(
    AVERAGEIFS('Data(perSeason,perCrop)'!$E:$E,
    'Data(perSeason,perCrop)'!$S:$S,$A64,
    'Data(perSeason,perCrop)'!$O:$O,1,
    'Data(perSeason,perCrop)'!$C:$C,R$52,
    'Data(perSeason,perCrop)'!$R:$R,"IRRIGATED"),
"")</f>
        <v>287</v>
      </c>
      <c r="S64" s="59" t="str">
        <f>IFERROR(
    AVERAGEIFS('Data(perSeason,perCrop)'!$E:$E,
    'Data(perSeason,perCrop)'!$S:$S,$A64,
    'Data(perSeason,perCrop)'!$O:$O,1,
    'Data(perSeason,perCrop)'!$C:$C,S$52,
    'Data(perSeason,perCrop)'!$R:$R,"IRRIGATED"),
"")</f>
        <v/>
      </c>
      <c r="T64" s="59" t="str">
        <f>IFERROR(
    AVERAGEIFS('Data(perSeason,perCrop)'!$E:$E,
    'Data(perSeason,perCrop)'!$S:$S,$A64,
    'Data(perSeason,perCrop)'!$O:$O,1,
    'Data(perSeason,perCrop)'!$C:$C,T$52,
    'Data(perSeason,perCrop)'!$R:$R,"IRRIGATED"),
"")</f>
        <v/>
      </c>
      <c r="U64" s="59">
        <f>IFERROR(
    AVERAGEIFS('Data(perSeason,perCrop)'!$E:$E,
    'Data(perSeason,perCrop)'!$S:$S,$A64,
    'Data(perSeason,perCrop)'!$O:$O,1,
    'Data(perSeason,perCrop)'!$C:$C,U$52,
    'Data(perSeason,perCrop)'!$R:$R,"IRRIGATED"),
"")</f>
        <v>302</v>
      </c>
      <c r="V64" s="59" t="str">
        <f>IFERROR(
    AVERAGEIFS('Data(perSeason,perCrop)'!$E:$E,
    'Data(perSeason,perCrop)'!$S:$S,$A64,
    'Data(perSeason,perCrop)'!$O:$O,1,
    'Data(perSeason,perCrop)'!$C:$C,V$52,
    'Data(perSeason,perCrop)'!$R:$R,"IRRIGATED"),
"")</f>
        <v/>
      </c>
      <c r="W64" s="59" t="str">
        <f>IFERROR(
    AVERAGEIFS('Data(perSeason,perCrop)'!$E:$E,
    'Data(perSeason,perCrop)'!$S:$S,$A64,
    'Data(perSeason,perCrop)'!$O:$O,1,
    'Data(perSeason,perCrop)'!$C:$C,W$52,
    'Data(perSeason,perCrop)'!$R:$R,"IRRIGATED"),
"")</f>
        <v/>
      </c>
      <c r="X64" s="59" t="str">
        <f>IFERROR(
    AVERAGEIFS('Data(perSeason,perCrop)'!$E:$E,
    'Data(perSeason,perCrop)'!$S:$S,$A64,
    'Data(perSeason,perCrop)'!$O:$O,1,
    'Data(perSeason,perCrop)'!$C:$C,X$52,
    'Data(perSeason,perCrop)'!$R:$R,"IRRIGATED"),
"")</f>
        <v/>
      </c>
      <c r="Y64" s="59" t="str">
        <f>IFERROR(
    AVERAGEIFS('Data(perSeason,perCrop)'!$E:$E,
    'Data(perSeason,perCrop)'!$S:$S,$A64,
    'Data(perSeason,perCrop)'!$O:$O,1,
    'Data(perSeason,perCrop)'!$C:$C,Y$52,
    'Data(perSeason,perCrop)'!$R:$R,"IRRIGATED"),
"")</f>
        <v/>
      </c>
      <c r="Z64" s="59" t="str">
        <f>IFERROR(
    AVERAGEIFS('Data(perSeason,perCrop)'!$E:$E,
    'Data(perSeason,perCrop)'!$S:$S,$A64,
    'Data(perSeason,perCrop)'!$O:$O,1,
    'Data(perSeason,perCrop)'!$C:$C,Z$52,
    'Data(perSeason,perCrop)'!$R:$R,"IRRIGATED"),
"")</f>
        <v/>
      </c>
      <c r="AA64" s="59" t="str">
        <f>IFERROR(
    AVERAGEIFS('Data(perSeason,perCrop)'!$E:$E,
    'Data(perSeason,perCrop)'!$S:$S,$A64,
    'Data(perSeason,perCrop)'!$O:$O,1,
    'Data(perSeason,perCrop)'!$C:$C,AA$52,
    'Data(perSeason,perCrop)'!$R:$R,"IRRIGATED"),
"")</f>
        <v/>
      </c>
      <c r="AB64" s="59" t="str">
        <f>IFERROR(
    AVERAGEIFS('Data(perSeason,perCrop)'!$E:$E,
    'Data(perSeason,perCrop)'!$S:$S,$A64,
    'Data(perSeason,perCrop)'!$O:$O,1,
    'Data(perSeason,perCrop)'!$C:$C,AB$52,
    'Data(perSeason,perCrop)'!$R:$R,"IRRIGATED"),
"")</f>
        <v/>
      </c>
      <c r="AC64" s="59" t="str">
        <f>IFERROR(
    AVERAGEIFS('Data(perSeason,perCrop)'!$E:$E,
    'Data(perSeason,perCrop)'!$S:$S,$A64,
    'Data(perSeason,perCrop)'!$O:$O,1,
    'Data(perSeason,perCrop)'!$C:$C,AC$52,
    'Data(perSeason,perCrop)'!$R:$R,"IRRIGATED"),
"")</f>
        <v/>
      </c>
      <c r="AD64" s="59" t="str">
        <f>IFERROR(
    AVERAGEIFS('Data(perSeason,perCrop)'!$E:$E,
    'Data(perSeason,perCrop)'!$S:$S,$A64,
    'Data(perSeason,perCrop)'!$O:$O,1,
    'Data(perSeason,perCrop)'!$C:$C,AD$52,
    'Data(perSeason,perCrop)'!$R:$R,"IRRIGATED"),
"")</f>
        <v/>
      </c>
      <c r="AE64" s="59" t="str">
        <f>IFERROR(
    AVERAGEIFS('Data(perSeason,perCrop)'!$E:$E,
    'Data(perSeason,perCrop)'!$S:$S,$A64,
    'Data(perSeason,perCrop)'!$O:$O,1,
    'Data(perSeason,perCrop)'!$C:$C,AE$52,
    'Data(perSeason,perCrop)'!$R:$R,"IRRIGATED"),
"")</f>
        <v/>
      </c>
      <c r="AF64" s="59" t="str">
        <f>IFERROR(
    AVERAGEIFS('Data(perSeason,perCrop)'!$E:$E,
    'Data(perSeason,perCrop)'!$S:$S,$A64,
    'Data(perSeason,perCrop)'!$O:$O,1,
    'Data(perSeason,perCrop)'!$C:$C,AF$52,
    'Data(perSeason,perCrop)'!$R:$R,"IRRIGATED"),
"")</f>
        <v/>
      </c>
    </row>
    <row r="65" spans="1:32" ht="18.75" x14ac:dyDescent="0.3">
      <c r="A65" s="42">
        <v>2019</v>
      </c>
      <c r="B65" s="59" t="str">
        <f>IFERROR(
    AVERAGEIFS('Data(perSeason,perCrop)'!$E:$E,
    'Data(perSeason,perCrop)'!$S:$S,$A65,
    'Data(perSeason,perCrop)'!$O:$O,1,
    'Data(perSeason,perCrop)'!$C:$C,B$52,
    'Data(perSeason,perCrop)'!$R:$R,"IRRIGATED"),
"")</f>
        <v/>
      </c>
      <c r="C65" s="59">
        <f>IFERROR(
    AVERAGEIFS('Data(perSeason,perCrop)'!$E:$E,
    'Data(perSeason,perCrop)'!$S:$S,$A65,
    'Data(perSeason,perCrop)'!$O:$O,1,
    'Data(perSeason,perCrop)'!$C:$C,C$52,
    'Data(perSeason,perCrop)'!$R:$R,"IRRIGATED"),
"")</f>
        <v>238</v>
      </c>
      <c r="D65" s="59" t="str">
        <f>IFERROR(
    AVERAGEIFS('Data(perSeason,perCrop)'!$E:$E,
    'Data(perSeason,perCrop)'!$S:$S,$A65,
    'Data(perSeason,perCrop)'!$O:$O,1,
    'Data(perSeason,perCrop)'!$C:$C,D$52,
    'Data(perSeason,perCrop)'!$R:$R,"IRRIGATED"),
"")</f>
        <v/>
      </c>
      <c r="E65" s="59" t="str">
        <f>IFERROR(
    AVERAGEIFS('Data(perSeason,perCrop)'!$E:$E,
    'Data(perSeason,perCrop)'!$S:$S,$A65,
    'Data(perSeason,perCrop)'!$O:$O,1,
    'Data(perSeason,perCrop)'!$C:$C,E$52,
    'Data(perSeason,perCrop)'!$R:$R,"IRRIGATED"),
"")</f>
        <v/>
      </c>
      <c r="F65" s="59" t="str">
        <f>IFERROR(
    AVERAGEIFS('Data(perSeason,perCrop)'!$E:$E,
    'Data(perSeason,perCrop)'!$S:$S,$A65,
    'Data(perSeason,perCrop)'!$O:$O,1,
    'Data(perSeason,perCrop)'!$C:$C,F$52,
    'Data(perSeason,perCrop)'!$R:$R,"IRRIGATED"),
"")</f>
        <v/>
      </c>
      <c r="G65" s="59" t="str">
        <f>IFERROR(
    AVERAGEIFS('Data(perSeason,perCrop)'!$E:$E,
    'Data(perSeason,perCrop)'!$S:$S,$A65,
    'Data(perSeason,perCrop)'!$O:$O,1,
    'Data(perSeason,perCrop)'!$C:$C,G$52,
    'Data(perSeason,perCrop)'!$R:$R,"IRRIGATED"),
"")</f>
        <v/>
      </c>
      <c r="H65" s="59" t="str">
        <f>IFERROR(
    AVERAGEIFS('Data(perSeason,perCrop)'!$E:$E,
    'Data(perSeason,perCrop)'!$S:$S,$A65,
    'Data(perSeason,perCrop)'!$O:$O,1,
    'Data(perSeason,perCrop)'!$C:$C,H$52,
    'Data(perSeason,perCrop)'!$R:$R,"IRRIGATED"),
"")</f>
        <v/>
      </c>
      <c r="I65" s="59" t="str">
        <f>IFERROR(
    AVERAGEIFS('Data(perSeason,perCrop)'!$E:$E,
    'Data(perSeason,perCrop)'!$S:$S,$A65,
    'Data(perSeason,perCrop)'!$O:$O,1,
    'Data(perSeason,perCrop)'!$C:$C,I$52,
    'Data(perSeason,perCrop)'!$R:$R,"IRRIGATED"),
"")</f>
        <v/>
      </c>
      <c r="J65" s="59" t="str">
        <f>IFERROR(
    AVERAGEIFS('Data(perSeason,perCrop)'!$E:$E,
    'Data(perSeason,perCrop)'!$S:$S,$A65,
    'Data(perSeason,perCrop)'!$O:$O,1,
    'Data(perSeason,perCrop)'!$C:$C,J$52,
    'Data(perSeason,perCrop)'!$R:$R,"IRRIGATED"),
"")</f>
        <v/>
      </c>
      <c r="K65" s="59" t="str">
        <f>IFERROR(
    AVERAGEIFS('Data(perSeason,perCrop)'!$E:$E,
    'Data(perSeason,perCrop)'!$S:$S,$A65,
    'Data(perSeason,perCrop)'!$O:$O,1,
    'Data(perSeason,perCrop)'!$C:$C,K$52,
    'Data(perSeason,perCrop)'!$R:$R,"IRRIGATED"),
"")</f>
        <v/>
      </c>
      <c r="L65" s="59" t="str">
        <f>IFERROR(
    AVERAGEIFS('Data(perSeason,perCrop)'!$E:$E,
    'Data(perSeason,perCrop)'!$S:$S,$A65,
    'Data(perSeason,perCrop)'!$O:$O,1,
    'Data(perSeason,perCrop)'!$C:$C,L$52,
    'Data(perSeason,perCrop)'!$R:$R,"IRRIGATED"),
"")</f>
        <v/>
      </c>
      <c r="M65" s="59" t="str">
        <f>IFERROR(
    AVERAGEIFS('Data(perSeason,perCrop)'!$E:$E,
    'Data(perSeason,perCrop)'!$S:$S,$A65,
    'Data(perSeason,perCrop)'!$O:$O,1,
    'Data(perSeason,perCrop)'!$C:$C,M$52,
    'Data(perSeason,perCrop)'!$R:$R,"IRRIGATED"),
"")</f>
        <v/>
      </c>
      <c r="N65" s="59" t="str">
        <f>IFERROR(
    AVERAGEIFS('Data(perSeason,perCrop)'!$E:$E,
    'Data(perSeason,perCrop)'!$S:$S,$A65,
    'Data(perSeason,perCrop)'!$O:$O,1,
    'Data(perSeason,perCrop)'!$C:$C,N$52,
    'Data(perSeason,perCrop)'!$R:$R,"IRRIGATED"),
"")</f>
        <v/>
      </c>
      <c r="O65" s="59">
        <f>IFERROR(
    AVERAGEIFS('Data(perSeason,perCrop)'!$E:$E,
    'Data(perSeason,perCrop)'!$S:$S,$A65,
    'Data(perSeason,perCrop)'!$O:$O,1,
    'Data(perSeason,perCrop)'!$C:$C,O$52,
    'Data(perSeason,perCrop)'!$R:$R,"IRRIGATED"),
"")</f>
        <v>318</v>
      </c>
      <c r="P65" s="59">
        <f>IFERROR(
    AVERAGEIFS('Data(perSeason,perCrop)'!$E:$E,
    'Data(perSeason,perCrop)'!$S:$S,$A65,
    'Data(perSeason,perCrop)'!$O:$O,1,
    'Data(perSeason,perCrop)'!$C:$C,P$52,
    'Data(perSeason,perCrop)'!$R:$R,"IRRIGATED"),
"")</f>
        <v>229</v>
      </c>
      <c r="Q65" s="59" t="str">
        <f>IFERROR(
    AVERAGEIFS('Data(perSeason,perCrop)'!$E:$E,
    'Data(perSeason,perCrop)'!$S:$S,$A65,
    'Data(perSeason,perCrop)'!$O:$O,1,
    'Data(perSeason,perCrop)'!$C:$C,Q$52,
    'Data(perSeason,perCrop)'!$R:$R,"IRRIGATED"),
"")</f>
        <v/>
      </c>
      <c r="R65" s="59">
        <f>IFERROR(
    AVERAGEIFS('Data(perSeason,perCrop)'!$E:$E,
    'Data(perSeason,perCrop)'!$S:$S,$A65,
    'Data(perSeason,perCrop)'!$O:$O,1,
    'Data(perSeason,perCrop)'!$C:$C,R$52,
    'Data(perSeason,perCrop)'!$R:$R,"IRRIGATED"),
"")</f>
        <v>235</v>
      </c>
      <c r="S65" s="59" t="str">
        <f>IFERROR(
    AVERAGEIFS('Data(perSeason,perCrop)'!$E:$E,
    'Data(perSeason,perCrop)'!$S:$S,$A65,
    'Data(perSeason,perCrop)'!$O:$O,1,
    'Data(perSeason,perCrop)'!$C:$C,S$52,
    'Data(perSeason,perCrop)'!$R:$R,"IRRIGATED"),
"")</f>
        <v/>
      </c>
      <c r="T65" s="59" t="str">
        <f>IFERROR(
    AVERAGEIFS('Data(perSeason,perCrop)'!$E:$E,
    'Data(perSeason,perCrop)'!$S:$S,$A65,
    'Data(perSeason,perCrop)'!$O:$O,1,
    'Data(perSeason,perCrop)'!$C:$C,T$52,
    'Data(perSeason,perCrop)'!$R:$R,"IRRIGATED"),
"")</f>
        <v/>
      </c>
      <c r="U65" s="59">
        <f>IFERROR(
    AVERAGEIFS('Data(perSeason,perCrop)'!$E:$E,
    'Data(perSeason,perCrop)'!$S:$S,$A65,
    'Data(perSeason,perCrop)'!$O:$O,1,
    'Data(perSeason,perCrop)'!$C:$C,U$52,
    'Data(perSeason,perCrop)'!$R:$R,"IRRIGATED"),
"")</f>
        <v>252</v>
      </c>
      <c r="V65" s="59" t="str">
        <f>IFERROR(
    AVERAGEIFS('Data(perSeason,perCrop)'!$E:$E,
    'Data(perSeason,perCrop)'!$S:$S,$A65,
    'Data(perSeason,perCrop)'!$O:$O,1,
    'Data(perSeason,perCrop)'!$C:$C,V$52,
    'Data(perSeason,perCrop)'!$R:$R,"IRRIGATED"),
"")</f>
        <v/>
      </c>
      <c r="W65" s="59" t="str">
        <f>IFERROR(
    AVERAGEIFS('Data(perSeason,perCrop)'!$E:$E,
    'Data(perSeason,perCrop)'!$S:$S,$A65,
    'Data(perSeason,perCrop)'!$O:$O,1,
    'Data(perSeason,perCrop)'!$C:$C,W$52,
    'Data(perSeason,perCrop)'!$R:$R,"IRRIGATED"),
"")</f>
        <v/>
      </c>
      <c r="X65" s="59" t="str">
        <f>IFERROR(
    AVERAGEIFS('Data(perSeason,perCrop)'!$E:$E,
    'Data(perSeason,perCrop)'!$S:$S,$A65,
    'Data(perSeason,perCrop)'!$O:$O,1,
    'Data(perSeason,perCrop)'!$C:$C,X$52,
    'Data(perSeason,perCrop)'!$R:$R,"IRRIGATED"),
"")</f>
        <v/>
      </c>
      <c r="Y65" s="59" t="str">
        <f>IFERROR(
    AVERAGEIFS('Data(perSeason,perCrop)'!$E:$E,
    'Data(perSeason,perCrop)'!$S:$S,$A65,
    'Data(perSeason,perCrop)'!$O:$O,1,
    'Data(perSeason,perCrop)'!$C:$C,Y$52,
    'Data(perSeason,perCrop)'!$R:$R,"IRRIGATED"),
"")</f>
        <v/>
      </c>
      <c r="Z65" s="59" t="str">
        <f>IFERROR(
    AVERAGEIFS('Data(perSeason,perCrop)'!$E:$E,
    'Data(perSeason,perCrop)'!$S:$S,$A65,
    'Data(perSeason,perCrop)'!$O:$O,1,
    'Data(perSeason,perCrop)'!$C:$C,Z$52,
    'Data(perSeason,perCrop)'!$R:$R,"IRRIGATED"),
"")</f>
        <v/>
      </c>
      <c r="AA65" s="59" t="str">
        <f>IFERROR(
    AVERAGEIFS('Data(perSeason,perCrop)'!$E:$E,
    'Data(perSeason,perCrop)'!$S:$S,$A65,
    'Data(perSeason,perCrop)'!$O:$O,1,
    'Data(perSeason,perCrop)'!$C:$C,AA$52,
    'Data(perSeason,perCrop)'!$R:$R,"IRRIGATED"),
"")</f>
        <v/>
      </c>
      <c r="AB65" s="59" t="str">
        <f>IFERROR(
    AVERAGEIFS('Data(perSeason,perCrop)'!$E:$E,
    'Data(perSeason,perCrop)'!$S:$S,$A65,
    'Data(perSeason,perCrop)'!$O:$O,1,
    'Data(perSeason,perCrop)'!$C:$C,AB$52,
    'Data(perSeason,perCrop)'!$R:$R,"IRRIGATED"),
"")</f>
        <v/>
      </c>
      <c r="AC65" s="59" t="str">
        <f>IFERROR(
    AVERAGEIFS('Data(perSeason,perCrop)'!$E:$E,
    'Data(perSeason,perCrop)'!$S:$S,$A65,
    'Data(perSeason,perCrop)'!$O:$O,1,
    'Data(perSeason,perCrop)'!$C:$C,AC$52,
    'Data(perSeason,perCrop)'!$R:$R,"IRRIGATED"),
"")</f>
        <v/>
      </c>
      <c r="AD65" s="59" t="str">
        <f>IFERROR(
    AVERAGEIFS('Data(perSeason,perCrop)'!$E:$E,
    'Data(perSeason,perCrop)'!$S:$S,$A65,
    'Data(perSeason,perCrop)'!$O:$O,1,
    'Data(perSeason,perCrop)'!$C:$C,AD$52,
    'Data(perSeason,perCrop)'!$R:$R,"IRRIGATED"),
"")</f>
        <v/>
      </c>
      <c r="AE65" s="59" t="str">
        <f>IFERROR(
    AVERAGEIFS('Data(perSeason,perCrop)'!$E:$E,
    'Data(perSeason,perCrop)'!$S:$S,$A65,
    'Data(perSeason,perCrop)'!$O:$O,1,
    'Data(perSeason,perCrop)'!$C:$C,AE$52,
    'Data(perSeason,perCrop)'!$R:$R,"IRRIGATED"),
"")</f>
        <v/>
      </c>
      <c r="AF65" s="59" t="str">
        <f>IFERROR(
    AVERAGEIFS('Data(perSeason,perCrop)'!$E:$E,
    'Data(perSeason,perCrop)'!$S:$S,$A65,
    'Data(perSeason,perCrop)'!$O:$O,1,
    'Data(perSeason,perCrop)'!$C:$C,AF$52,
    'Data(perSeason,perCrop)'!$R:$R,"IRRIGATED"),
"")</f>
        <v/>
      </c>
    </row>
    <row r="66" spans="1:32" ht="18.75" x14ac:dyDescent="0.3">
      <c r="A66" s="42">
        <v>2020</v>
      </c>
      <c r="B66" s="59" t="str">
        <f>IFERROR(
    AVERAGEIFS('Data(perSeason,perCrop)'!$E:$E,
    'Data(perSeason,perCrop)'!$S:$S,$A66,
    'Data(perSeason,perCrop)'!$O:$O,1,
    'Data(perSeason,perCrop)'!$C:$C,B$52,
    'Data(perSeason,perCrop)'!$R:$R,"IRRIGATED"),
"")</f>
        <v/>
      </c>
      <c r="C66" s="59">
        <f>IFERROR(
    AVERAGEIFS('Data(perSeason,perCrop)'!$E:$E,
    'Data(perSeason,perCrop)'!$S:$S,$A66,
    'Data(perSeason,perCrop)'!$O:$O,1,
    'Data(perSeason,perCrop)'!$C:$C,C$52,
    'Data(perSeason,perCrop)'!$R:$R,"IRRIGATED"),
"")</f>
        <v>288</v>
      </c>
      <c r="D66" s="59" t="str">
        <f>IFERROR(
    AVERAGEIFS('Data(perSeason,perCrop)'!$E:$E,
    'Data(perSeason,perCrop)'!$S:$S,$A66,
    'Data(perSeason,perCrop)'!$O:$O,1,
    'Data(perSeason,perCrop)'!$C:$C,D$52,
    'Data(perSeason,perCrop)'!$R:$R,"IRRIGATED"),
"")</f>
        <v/>
      </c>
      <c r="E66" s="59" t="str">
        <f>IFERROR(
    AVERAGEIFS('Data(perSeason,perCrop)'!$E:$E,
    'Data(perSeason,perCrop)'!$S:$S,$A66,
    'Data(perSeason,perCrop)'!$O:$O,1,
    'Data(perSeason,perCrop)'!$C:$C,E$52,
    'Data(perSeason,perCrop)'!$R:$R,"IRRIGATED"),
"")</f>
        <v/>
      </c>
      <c r="F66" s="59" t="str">
        <f>IFERROR(
    AVERAGEIFS('Data(perSeason,perCrop)'!$E:$E,
    'Data(perSeason,perCrop)'!$S:$S,$A66,
    'Data(perSeason,perCrop)'!$O:$O,1,
    'Data(perSeason,perCrop)'!$C:$C,F$52,
    'Data(perSeason,perCrop)'!$R:$R,"IRRIGATED"),
"")</f>
        <v/>
      </c>
      <c r="G66" s="59" t="str">
        <f>IFERROR(
    AVERAGEIFS('Data(perSeason,perCrop)'!$E:$E,
    'Data(perSeason,perCrop)'!$S:$S,$A66,
    'Data(perSeason,perCrop)'!$O:$O,1,
    'Data(perSeason,perCrop)'!$C:$C,G$52,
    'Data(perSeason,perCrop)'!$R:$R,"IRRIGATED"),
"")</f>
        <v/>
      </c>
      <c r="H66" s="59" t="str">
        <f>IFERROR(
    AVERAGEIFS('Data(perSeason,perCrop)'!$E:$E,
    'Data(perSeason,perCrop)'!$S:$S,$A66,
    'Data(perSeason,perCrop)'!$O:$O,1,
    'Data(perSeason,perCrop)'!$C:$C,H$52,
    'Data(perSeason,perCrop)'!$R:$R,"IRRIGATED"),
"")</f>
        <v/>
      </c>
      <c r="I66" s="59" t="str">
        <f>IFERROR(
    AVERAGEIFS('Data(perSeason,perCrop)'!$E:$E,
    'Data(perSeason,perCrop)'!$S:$S,$A66,
    'Data(perSeason,perCrop)'!$O:$O,1,
    'Data(perSeason,perCrop)'!$C:$C,I$52,
    'Data(perSeason,perCrop)'!$R:$R,"IRRIGATED"),
"")</f>
        <v/>
      </c>
      <c r="J66" s="59" t="str">
        <f>IFERROR(
    AVERAGEIFS('Data(perSeason,perCrop)'!$E:$E,
    'Data(perSeason,perCrop)'!$S:$S,$A66,
    'Data(perSeason,perCrop)'!$O:$O,1,
    'Data(perSeason,perCrop)'!$C:$C,J$52,
    'Data(perSeason,perCrop)'!$R:$R,"IRRIGATED"),
"")</f>
        <v/>
      </c>
      <c r="K66" s="59" t="str">
        <f>IFERROR(
    AVERAGEIFS('Data(perSeason,perCrop)'!$E:$E,
    'Data(perSeason,perCrop)'!$S:$S,$A66,
    'Data(perSeason,perCrop)'!$O:$O,1,
    'Data(perSeason,perCrop)'!$C:$C,K$52,
    'Data(perSeason,perCrop)'!$R:$R,"IRRIGATED"),
"")</f>
        <v/>
      </c>
      <c r="L66" s="59" t="str">
        <f>IFERROR(
    AVERAGEIFS('Data(perSeason,perCrop)'!$E:$E,
    'Data(perSeason,perCrop)'!$S:$S,$A66,
    'Data(perSeason,perCrop)'!$O:$O,1,
    'Data(perSeason,perCrop)'!$C:$C,L$52,
    'Data(perSeason,perCrop)'!$R:$R,"IRRIGATED"),
"")</f>
        <v/>
      </c>
      <c r="M66" s="59" t="str">
        <f>IFERROR(
    AVERAGEIFS('Data(perSeason,perCrop)'!$E:$E,
    'Data(perSeason,perCrop)'!$S:$S,$A66,
    'Data(perSeason,perCrop)'!$O:$O,1,
    'Data(perSeason,perCrop)'!$C:$C,M$52,
    'Data(perSeason,perCrop)'!$R:$R,"IRRIGATED"),
"")</f>
        <v/>
      </c>
      <c r="N66" s="59" t="str">
        <f>IFERROR(
    AVERAGEIFS('Data(perSeason,perCrop)'!$E:$E,
    'Data(perSeason,perCrop)'!$S:$S,$A66,
    'Data(perSeason,perCrop)'!$O:$O,1,
    'Data(perSeason,perCrop)'!$C:$C,N$52,
    'Data(perSeason,perCrop)'!$R:$R,"IRRIGATED"),
"")</f>
        <v/>
      </c>
      <c r="O66" s="59">
        <f>IFERROR(
    AVERAGEIFS('Data(perSeason,perCrop)'!$E:$E,
    'Data(perSeason,perCrop)'!$S:$S,$A66,
    'Data(perSeason,perCrop)'!$O:$O,1,
    'Data(perSeason,perCrop)'!$C:$C,O$52,
    'Data(perSeason,perCrop)'!$R:$R,"IRRIGATED"),
"")</f>
        <v>364</v>
      </c>
      <c r="P66" s="59">
        <f>IFERROR(
    AVERAGEIFS('Data(perSeason,perCrop)'!$E:$E,
    'Data(perSeason,perCrop)'!$S:$S,$A66,
    'Data(perSeason,perCrop)'!$O:$O,1,
    'Data(perSeason,perCrop)'!$C:$C,P$52,
    'Data(perSeason,perCrop)'!$R:$R,"IRRIGATED"),
"")</f>
        <v>316</v>
      </c>
      <c r="Q66" s="59" t="str">
        <f>IFERROR(
    AVERAGEIFS('Data(perSeason,perCrop)'!$E:$E,
    'Data(perSeason,perCrop)'!$S:$S,$A66,
    'Data(perSeason,perCrop)'!$O:$O,1,
    'Data(perSeason,perCrop)'!$C:$C,Q$52,
    'Data(perSeason,perCrop)'!$R:$R,"IRRIGATED"),
"")</f>
        <v/>
      </c>
      <c r="R66" s="59">
        <f>IFERROR(
    AVERAGEIFS('Data(perSeason,perCrop)'!$E:$E,
    'Data(perSeason,perCrop)'!$S:$S,$A66,
    'Data(perSeason,perCrop)'!$O:$O,1,
    'Data(perSeason,perCrop)'!$C:$C,R$52,
    'Data(perSeason,perCrop)'!$R:$R,"IRRIGATED"),
"")</f>
        <v>321</v>
      </c>
      <c r="S66" s="59" t="str">
        <f>IFERROR(
    AVERAGEIFS('Data(perSeason,perCrop)'!$E:$E,
    'Data(perSeason,perCrop)'!$S:$S,$A66,
    'Data(perSeason,perCrop)'!$O:$O,1,
    'Data(perSeason,perCrop)'!$C:$C,S$52,
    'Data(perSeason,perCrop)'!$R:$R,"IRRIGATED"),
"")</f>
        <v/>
      </c>
      <c r="T66" s="59" t="str">
        <f>IFERROR(
    AVERAGEIFS('Data(perSeason,perCrop)'!$E:$E,
    'Data(perSeason,perCrop)'!$S:$S,$A66,
    'Data(perSeason,perCrop)'!$O:$O,1,
    'Data(perSeason,perCrop)'!$C:$C,T$52,
    'Data(perSeason,perCrop)'!$R:$R,"IRRIGATED"),
"")</f>
        <v/>
      </c>
      <c r="U66" s="59">
        <f>IFERROR(
    AVERAGEIFS('Data(perSeason,perCrop)'!$E:$E,
    'Data(perSeason,perCrop)'!$S:$S,$A66,
    'Data(perSeason,perCrop)'!$O:$O,1,
    'Data(perSeason,perCrop)'!$C:$C,U$52,
    'Data(perSeason,perCrop)'!$R:$R,"IRRIGATED"),
"")</f>
        <v>321</v>
      </c>
      <c r="V66" s="59" t="str">
        <f>IFERROR(
    AVERAGEIFS('Data(perSeason,perCrop)'!$E:$E,
    'Data(perSeason,perCrop)'!$S:$S,$A66,
    'Data(perSeason,perCrop)'!$O:$O,1,
    'Data(perSeason,perCrop)'!$C:$C,V$52,
    'Data(perSeason,perCrop)'!$R:$R,"IRRIGATED"),
"")</f>
        <v/>
      </c>
      <c r="W66" s="59" t="str">
        <f>IFERROR(
    AVERAGEIFS('Data(perSeason,perCrop)'!$E:$E,
    'Data(perSeason,perCrop)'!$S:$S,$A66,
    'Data(perSeason,perCrop)'!$O:$O,1,
    'Data(perSeason,perCrop)'!$C:$C,W$52,
    'Data(perSeason,perCrop)'!$R:$R,"IRRIGATED"),
"")</f>
        <v/>
      </c>
      <c r="X66" s="59" t="str">
        <f>IFERROR(
    AVERAGEIFS('Data(perSeason,perCrop)'!$E:$E,
    'Data(perSeason,perCrop)'!$S:$S,$A66,
    'Data(perSeason,perCrop)'!$O:$O,1,
    'Data(perSeason,perCrop)'!$C:$C,X$52,
    'Data(perSeason,perCrop)'!$R:$R,"IRRIGATED"),
"")</f>
        <v/>
      </c>
      <c r="Y66" s="59" t="str">
        <f>IFERROR(
    AVERAGEIFS('Data(perSeason,perCrop)'!$E:$E,
    'Data(perSeason,perCrop)'!$S:$S,$A66,
    'Data(perSeason,perCrop)'!$O:$O,1,
    'Data(perSeason,perCrop)'!$C:$C,Y$52,
    'Data(perSeason,perCrop)'!$R:$R,"IRRIGATED"),
"")</f>
        <v/>
      </c>
      <c r="Z66" s="59" t="str">
        <f>IFERROR(
    AVERAGEIFS('Data(perSeason,perCrop)'!$E:$E,
    'Data(perSeason,perCrop)'!$S:$S,$A66,
    'Data(perSeason,perCrop)'!$O:$O,1,
    'Data(perSeason,perCrop)'!$C:$C,Z$52,
    'Data(perSeason,perCrop)'!$R:$R,"IRRIGATED"),
"")</f>
        <v/>
      </c>
      <c r="AA66" s="59" t="str">
        <f>IFERROR(
    AVERAGEIFS('Data(perSeason,perCrop)'!$E:$E,
    'Data(perSeason,perCrop)'!$S:$S,$A66,
    'Data(perSeason,perCrop)'!$O:$O,1,
    'Data(perSeason,perCrop)'!$C:$C,AA$52,
    'Data(perSeason,perCrop)'!$R:$R,"IRRIGATED"),
"")</f>
        <v/>
      </c>
      <c r="AB66" s="59" t="str">
        <f>IFERROR(
    AVERAGEIFS('Data(perSeason,perCrop)'!$E:$E,
    'Data(perSeason,perCrop)'!$S:$S,$A66,
    'Data(perSeason,perCrop)'!$O:$O,1,
    'Data(perSeason,perCrop)'!$C:$C,AB$52,
    'Data(perSeason,perCrop)'!$R:$R,"IRRIGATED"),
"")</f>
        <v/>
      </c>
      <c r="AC66" s="59" t="str">
        <f>IFERROR(
    AVERAGEIFS('Data(perSeason,perCrop)'!$E:$E,
    'Data(perSeason,perCrop)'!$S:$S,$A66,
    'Data(perSeason,perCrop)'!$O:$O,1,
    'Data(perSeason,perCrop)'!$C:$C,AC$52,
    'Data(perSeason,perCrop)'!$R:$R,"IRRIGATED"),
"")</f>
        <v/>
      </c>
      <c r="AD66" s="59" t="str">
        <f>IFERROR(
    AVERAGEIFS('Data(perSeason,perCrop)'!$E:$E,
    'Data(perSeason,perCrop)'!$S:$S,$A66,
    'Data(perSeason,perCrop)'!$O:$O,1,
    'Data(perSeason,perCrop)'!$C:$C,AD$52,
    'Data(perSeason,perCrop)'!$R:$R,"IRRIGATED"),
"")</f>
        <v/>
      </c>
      <c r="AE66" s="59" t="str">
        <f>IFERROR(
    AVERAGEIFS('Data(perSeason,perCrop)'!$E:$E,
    'Data(perSeason,perCrop)'!$S:$S,$A66,
    'Data(perSeason,perCrop)'!$O:$O,1,
    'Data(perSeason,perCrop)'!$C:$C,AE$52,
    'Data(perSeason,perCrop)'!$R:$R,"IRRIGATED"),
"")</f>
        <v/>
      </c>
      <c r="AF66" s="59" t="str">
        <f>IFERROR(
    AVERAGEIFS('Data(perSeason,perCrop)'!$E:$E,
    'Data(perSeason,perCrop)'!$S:$S,$A66,
    'Data(perSeason,perCrop)'!$O:$O,1,
    'Data(perSeason,perCrop)'!$C:$C,AF$52,
    'Data(perSeason,perCrop)'!$R:$R,"IRRIGATED"),
"")</f>
        <v/>
      </c>
    </row>
    <row r="67" spans="1:32" ht="18.75" x14ac:dyDescent="0.3">
      <c r="A67" s="42">
        <v>2021</v>
      </c>
      <c r="B67" s="59" t="str">
        <f>IFERROR(
    AVERAGEIFS('Data(perSeason,perCrop)'!$E:$E,
    'Data(perSeason,perCrop)'!$S:$S,$A67,
    'Data(perSeason,perCrop)'!$O:$O,1,
    'Data(perSeason,perCrop)'!$C:$C,B$52,
    'Data(perSeason,perCrop)'!$R:$R,"IRRIGATED"),
"")</f>
        <v/>
      </c>
      <c r="C67" s="59">
        <f>IFERROR(
    AVERAGEIFS('Data(perSeason,perCrop)'!$E:$E,
    'Data(perSeason,perCrop)'!$S:$S,$A67,
    'Data(perSeason,perCrop)'!$O:$O,1,
    'Data(perSeason,perCrop)'!$C:$C,C$52,
    'Data(perSeason,perCrop)'!$R:$R,"IRRIGATED"),
"")</f>
        <v>216</v>
      </c>
      <c r="D67" s="59" t="str">
        <f>IFERROR(
    AVERAGEIFS('Data(perSeason,perCrop)'!$E:$E,
    'Data(perSeason,perCrop)'!$S:$S,$A67,
    'Data(perSeason,perCrop)'!$O:$O,1,
    'Data(perSeason,perCrop)'!$C:$C,D$52,
    'Data(perSeason,perCrop)'!$R:$R,"IRRIGATED"),
"")</f>
        <v/>
      </c>
      <c r="E67" s="59" t="str">
        <f>IFERROR(
    AVERAGEIFS('Data(perSeason,perCrop)'!$E:$E,
    'Data(perSeason,perCrop)'!$S:$S,$A67,
    'Data(perSeason,perCrop)'!$O:$O,1,
    'Data(perSeason,perCrop)'!$C:$C,E$52,
    'Data(perSeason,perCrop)'!$R:$R,"IRRIGATED"),
"")</f>
        <v/>
      </c>
      <c r="F67" s="59" t="str">
        <f>IFERROR(
    AVERAGEIFS('Data(perSeason,perCrop)'!$E:$E,
    'Data(perSeason,perCrop)'!$S:$S,$A67,
    'Data(perSeason,perCrop)'!$O:$O,1,
    'Data(perSeason,perCrop)'!$C:$C,F$52,
    'Data(perSeason,perCrop)'!$R:$R,"IRRIGATED"),
"")</f>
        <v/>
      </c>
      <c r="G67" s="59" t="str">
        <f>IFERROR(
    AVERAGEIFS('Data(perSeason,perCrop)'!$E:$E,
    'Data(perSeason,perCrop)'!$S:$S,$A67,
    'Data(perSeason,perCrop)'!$O:$O,1,
    'Data(perSeason,perCrop)'!$C:$C,G$52,
    'Data(perSeason,perCrop)'!$R:$R,"IRRIGATED"),
"")</f>
        <v/>
      </c>
      <c r="H67" s="59" t="str">
        <f>IFERROR(
    AVERAGEIFS('Data(perSeason,perCrop)'!$E:$E,
    'Data(perSeason,perCrop)'!$S:$S,$A67,
    'Data(perSeason,perCrop)'!$O:$O,1,
    'Data(perSeason,perCrop)'!$C:$C,H$52,
    'Data(perSeason,perCrop)'!$R:$R,"IRRIGATED"),
"")</f>
        <v/>
      </c>
      <c r="I67" s="59" t="str">
        <f>IFERROR(
    AVERAGEIFS('Data(perSeason,perCrop)'!$E:$E,
    'Data(perSeason,perCrop)'!$S:$S,$A67,
    'Data(perSeason,perCrop)'!$O:$O,1,
    'Data(perSeason,perCrop)'!$C:$C,I$52,
    'Data(perSeason,perCrop)'!$R:$R,"IRRIGATED"),
"")</f>
        <v/>
      </c>
      <c r="J67" s="59" t="str">
        <f>IFERROR(
    AVERAGEIFS('Data(perSeason,perCrop)'!$E:$E,
    'Data(perSeason,perCrop)'!$S:$S,$A67,
    'Data(perSeason,perCrop)'!$O:$O,1,
    'Data(perSeason,perCrop)'!$C:$C,J$52,
    'Data(perSeason,perCrop)'!$R:$R,"IRRIGATED"),
"")</f>
        <v/>
      </c>
      <c r="K67" s="59" t="str">
        <f>IFERROR(
    AVERAGEIFS('Data(perSeason,perCrop)'!$E:$E,
    'Data(perSeason,perCrop)'!$S:$S,$A67,
    'Data(perSeason,perCrop)'!$O:$O,1,
    'Data(perSeason,perCrop)'!$C:$C,K$52,
    'Data(perSeason,perCrop)'!$R:$R,"IRRIGATED"),
"")</f>
        <v/>
      </c>
      <c r="L67" s="59" t="str">
        <f>IFERROR(
    AVERAGEIFS('Data(perSeason,perCrop)'!$E:$E,
    'Data(perSeason,perCrop)'!$S:$S,$A67,
    'Data(perSeason,perCrop)'!$O:$O,1,
    'Data(perSeason,perCrop)'!$C:$C,L$52,
    'Data(perSeason,perCrop)'!$R:$R,"IRRIGATED"),
"")</f>
        <v/>
      </c>
      <c r="M67" s="59" t="str">
        <f>IFERROR(
    AVERAGEIFS('Data(perSeason,perCrop)'!$E:$E,
    'Data(perSeason,perCrop)'!$S:$S,$A67,
    'Data(perSeason,perCrop)'!$O:$O,1,
    'Data(perSeason,perCrop)'!$C:$C,M$52,
    'Data(perSeason,perCrop)'!$R:$R,"IRRIGATED"),
"")</f>
        <v/>
      </c>
      <c r="N67" s="59" t="str">
        <f>IFERROR(
    AVERAGEIFS('Data(perSeason,perCrop)'!$E:$E,
    'Data(perSeason,perCrop)'!$S:$S,$A67,
    'Data(perSeason,perCrop)'!$O:$O,1,
    'Data(perSeason,perCrop)'!$C:$C,N$52,
    'Data(perSeason,perCrop)'!$R:$R,"IRRIGATED"),
"")</f>
        <v/>
      </c>
      <c r="O67" s="59">
        <f>IFERROR(
    AVERAGEIFS('Data(perSeason,perCrop)'!$E:$E,
    'Data(perSeason,perCrop)'!$S:$S,$A67,
    'Data(perSeason,perCrop)'!$O:$O,1,
    'Data(perSeason,perCrop)'!$C:$C,O$52,
    'Data(perSeason,perCrop)'!$R:$R,"IRRIGATED"),
"")</f>
        <v>293</v>
      </c>
      <c r="P67" s="59">
        <f>IFERROR(
    AVERAGEIFS('Data(perSeason,perCrop)'!$E:$E,
    'Data(perSeason,perCrop)'!$S:$S,$A67,
    'Data(perSeason,perCrop)'!$O:$O,1,
    'Data(perSeason,perCrop)'!$C:$C,P$52,
    'Data(perSeason,perCrop)'!$R:$R,"IRRIGATED"),
"")</f>
        <v>243</v>
      </c>
      <c r="Q67" s="59" t="str">
        <f>IFERROR(
    AVERAGEIFS('Data(perSeason,perCrop)'!$E:$E,
    'Data(perSeason,perCrop)'!$S:$S,$A67,
    'Data(perSeason,perCrop)'!$O:$O,1,
    'Data(perSeason,perCrop)'!$C:$C,Q$52,
    'Data(perSeason,perCrop)'!$R:$R,"IRRIGATED"),
"")</f>
        <v/>
      </c>
      <c r="R67" s="59">
        <f>IFERROR(
    AVERAGEIFS('Data(perSeason,perCrop)'!$E:$E,
    'Data(perSeason,perCrop)'!$S:$S,$A67,
    'Data(perSeason,perCrop)'!$O:$O,1,
    'Data(perSeason,perCrop)'!$C:$C,R$52,
    'Data(perSeason,perCrop)'!$R:$R,"IRRIGATED"),
"")</f>
        <v>220</v>
      </c>
      <c r="S67" s="59" t="str">
        <f>IFERROR(
    AVERAGEIFS('Data(perSeason,perCrop)'!$E:$E,
    'Data(perSeason,perCrop)'!$S:$S,$A67,
    'Data(perSeason,perCrop)'!$O:$O,1,
    'Data(perSeason,perCrop)'!$C:$C,S$52,
    'Data(perSeason,perCrop)'!$R:$R,"IRRIGATED"),
"")</f>
        <v/>
      </c>
      <c r="T67" s="59" t="str">
        <f>IFERROR(
    AVERAGEIFS('Data(perSeason,perCrop)'!$E:$E,
    'Data(perSeason,perCrop)'!$S:$S,$A67,
    'Data(perSeason,perCrop)'!$O:$O,1,
    'Data(perSeason,perCrop)'!$C:$C,T$52,
    'Data(perSeason,perCrop)'!$R:$R,"IRRIGATED"),
"")</f>
        <v/>
      </c>
      <c r="U67" s="59">
        <f>IFERROR(
    AVERAGEIFS('Data(perSeason,perCrop)'!$E:$E,
    'Data(perSeason,perCrop)'!$S:$S,$A67,
    'Data(perSeason,perCrop)'!$O:$O,1,
    'Data(perSeason,perCrop)'!$C:$C,U$52,
    'Data(perSeason,perCrop)'!$R:$R,"IRRIGATED"),
"")</f>
        <v>250</v>
      </c>
      <c r="V67" s="59" t="str">
        <f>IFERROR(
    AVERAGEIFS('Data(perSeason,perCrop)'!$E:$E,
    'Data(perSeason,perCrop)'!$S:$S,$A67,
    'Data(perSeason,perCrop)'!$O:$O,1,
    'Data(perSeason,perCrop)'!$C:$C,V$52,
    'Data(perSeason,perCrop)'!$R:$R,"IRRIGATED"),
"")</f>
        <v/>
      </c>
      <c r="W67" s="59" t="str">
        <f>IFERROR(
    AVERAGEIFS('Data(perSeason,perCrop)'!$E:$E,
    'Data(perSeason,perCrop)'!$S:$S,$A67,
    'Data(perSeason,perCrop)'!$O:$O,1,
    'Data(perSeason,perCrop)'!$C:$C,W$52,
    'Data(perSeason,perCrop)'!$R:$R,"IRRIGATED"),
"")</f>
        <v/>
      </c>
      <c r="X67" s="59" t="str">
        <f>IFERROR(
    AVERAGEIFS('Data(perSeason,perCrop)'!$E:$E,
    'Data(perSeason,perCrop)'!$S:$S,$A67,
    'Data(perSeason,perCrop)'!$O:$O,1,
    'Data(perSeason,perCrop)'!$C:$C,X$52,
    'Data(perSeason,perCrop)'!$R:$R,"IRRIGATED"),
"")</f>
        <v/>
      </c>
      <c r="Y67" s="59" t="str">
        <f>IFERROR(
    AVERAGEIFS('Data(perSeason,perCrop)'!$E:$E,
    'Data(perSeason,perCrop)'!$S:$S,$A67,
    'Data(perSeason,perCrop)'!$O:$O,1,
    'Data(perSeason,perCrop)'!$C:$C,Y$52,
    'Data(perSeason,perCrop)'!$R:$R,"IRRIGATED"),
"")</f>
        <v/>
      </c>
      <c r="Z67" s="59" t="str">
        <f>IFERROR(
    AVERAGEIFS('Data(perSeason,perCrop)'!$E:$E,
    'Data(perSeason,perCrop)'!$S:$S,$A67,
    'Data(perSeason,perCrop)'!$O:$O,1,
    'Data(perSeason,perCrop)'!$C:$C,Z$52,
    'Data(perSeason,perCrop)'!$R:$R,"IRRIGATED"),
"")</f>
        <v/>
      </c>
      <c r="AA67" s="59" t="str">
        <f>IFERROR(
    AVERAGEIFS('Data(perSeason,perCrop)'!$E:$E,
    'Data(perSeason,perCrop)'!$S:$S,$A67,
    'Data(perSeason,perCrop)'!$O:$O,1,
    'Data(perSeason,perCrop)'!$C:$C,AA$52,
    'Data(perSeason,perCrop)'!$R:$R,"IRRIGATED"),
"")</f>
        <v/>
      </c>
      <c r="AB67" s="59" t="str">
        <f>IFERROR(
    AVERAGEIFS('Data(perSeason,perCrop)'!$E:$E,
    'Data(perSeason,perCrop)'!$S:$S,$A67,
    'Data(perSeason,perCrop)'!$O:$O,1,
    'Data(perSeason,perCrop)'!$C:$C,AB$52,
    'Data(perSeason,perCrop)'!$R:$R,"IRRIGATED"),
"")</f>
        <v/>
      </c>
      <c r="AC67" s="59" t="str">
        <f>IFERROR(
    AVERAGEIFS('Data(perSeason,perCrop)'!$E:$E,
    'Data(perSeason,perCrop)'!$S:$S,$A67,
    'Data(perSeason,perCrop)'!$O:$O,1,
    'Data(perSeason,perCrop)'!$C:$C,AC$52,
    'Data(perSeason,perCrop)'!$R:$R,"IRRIGATED"),
"")</f>
        <v/>
      </c>
      <c r="AD67" s="59" t="str">
        <f>IFERROR(
    AVERAGEIFS('Data(perSeason,perCrop)'!$E:$E,
    'Data(perSeason,perCrop)'!$S:$S,$A67,
    'Data(perSeason,perCrop)'!$O:$O,1,
    'Data(perSeason,perCrop)'!$C:$C,AD$52,
    'Data(perSeason,perCrop)'!$R:$R,"IRRIGATED"),
"")</f>
        <v/>
      </c>
      <c r="AE67" s="59" t="str">
        <f>IFERROR(
    AVERAGEIFS('Data(perSeason,perCrop)'!$E:$E,
    'Data(perSeason,perCrop)'!$S:$S,$A67,
    'Data(perSeason,perCrop)'!$O:$O,1,
    'Data(perSeason,perCrop)'!$C:$C,AE$52,
    'Data(perSeason,perCrop)'!$R:$R,"IRRIGATED"),
"")</f>
        <v/>
      </c>
      <c r="AF67" s="59" t="str">
        <f>IFERROR(
    AVERAGEIFS('Data(perSeason,perCrop)'!$E:$E,
    'Data(perSeason,perCrop)'!$S:$S,$A67,
    'Data(perSeason,perCrop)'!$O:$O,1,
    'Data(perSeason,perCrop)'!$C:$C,AF$52,
    'Data(perSeason,perCrop)'!$R:$R,"IRRIGATED"),
"")</f>
        <v/>
      </c>
    </row>
    <row r="68" spans="1:32" ht="18.75" x14ac:dyDescent="0.3">
      <c r="A68" s="42">
        <v>2022</v>
      </c>
      <c r="B68" s="59" t="str">
        <f>IFERROR(
    AVERAGEIFS('Data(perSeason,perCrop)'!$E:$E,
    'Data(perSeason,perCrop)'!$S:$S,$A68,
    'Data(perSeason,perCrop)'!$O:$O,1,
    'Data(perSeason,perCrop)'!$C:$C,B$52,
    'Data(perSeason,perCrop)'!$R:$R,"IRRIGATED"),
"")</f>
        <v/>
      </c>
      <c r="C68" s="59">
        <f>IFERROR(
    AVERAGEIFS('Data(perSeason,perCrop)'!$E:$E,
    'Data(perSeason,perCrop)'!$S:$S,$A68,
    'Data(perSeason,perCrop)'!$O:$O,1,
    'Data(perSeason,perCrop)'!$C:$C,C$52,
    'Data(perSeason,perCrop)'!$R:$R,"IRRIGATED"),
"")</f>
        <v>249</v>
      </c>
      <c r="D68" s="59" t="str">
        <f>IFERROR(
    AVERAGEIFS('Data(perSeason,perCrop)'!$E:$E,
    'Data(perSeason,perCrop)'!$S:$S,$A68,
    'Data(perSeason,perCrop)'!$O:$O,1,
    'Data(perSeason,perCrop)'!$C:$C,D$52,
    'Data(perSeason,perCrop)'!$R:$R,"IRRIGATED"),
"")</f>
        <v/>
      </c>
      <c r="E68" s="59" t="str">
        <f>IFERROR(
    AVERAGEIFS('Data(perSeason,perCrop)'!$E:$E,
    'Data(perSeason,perCrop)'!$S:$S,$A68,
    'Data(perSeason,perCrop)'!$O:$O,1,
    'Data(perSeason,perCrop)'!$C:$C,E$52,
    'Data(perSeason,perCrop)'!$R:$R,"IRRIGATED"),
"")</f>
        <v/>
      </c>
      <c r="F68" s="59" t="str">
        <f>IFERROR(
    AVERAGEIFS('Data(perSeason,perCrop)'!$E:$E,
    'Data(perSeason,perCrop)'!$S:$S,$A68,
    'Data(perSeason,perCrop)'!$O:$O,1,
    'Data(perSeason,perCrop)'!$C:$C,F$52,
    'Data(perSeason,perCrop)'!$R:$R,"IRRIGATED"),
"")</f>
        <v/>
      </c>
      <c r="G68" s="59" t="str">
        <f>IFERROR(
    AVERAGEIFS('Data(perSeason,perCrop)'!$E:$E,
    'Data(perSeason,perCrop)'!$S:$S,$A68,
    'Data(perSeason,perCrop)'!$O:$O,1,
    'Data(perSeason,perCrop)'!$C:$C,G$52,
    'Data(perSeason,perCrop)'!$R:$R,"IRRIGATED"),
"")</f>
        <v/>
      </c>
      <c r="H68" s="59" t="str">
        <f>IFERROR(
    AVERAGEIFS('Data(perSeason,perCrop)'!$E:$E,
    'Data(perSeason,perCrop)'!$S:$S,$A68,
    'Data(perSeason,perCrop)'!$O:$O,1,
    'Data(perSeason,perCrop)'!$C:$C,H$52,
    'Data(perSeason,perCrop)'!$R:$R,"IRRIGATED"),
"")</f>
        <v/>
      </c>
      <c r="I68" s="59" t="str">
        <f>IFERROR(
    AVERAGEIFS('Data(perSeason,perCrop)'!$E:$E,
    'Data(perSeason,perCrop)'!$S:$S,$A68,
    'Data(perSeason,perCrop)'!$O:$O,1,
    'Data(perSeason,perCrop)'!$C:$C,I$52,
    'Data(perSeason,perCrop)'!$R:$R,"IRRIGATED"),
"")</f>
        <v/>
      </c>
      <c r="J68" s="59" t="str">
        <f>IFERROR(
    AVERAGEIFS('Data(perSeason,perCrop)'!$E:$E,
    'Data(perSeason,perCrop)'!$S:$S,$A68,
    'Data(perSeason,perCrop)'!$O:$O,1,
    'Data(perSeason,perCrop)'!$C:$C,J$52,
    'Data(perSeason,perCrop)'!$R:$R,"IRRIGATED"),
"")</f>
        <v/>
      </c>
      <c r="K68" s="59" t="str">
        <f>IFERROR(
    AVERAGEIFS('Data(perSeason,perCrop)'!$E:$E,
    'Data(perSeason,perCrop)'!$S:$S,$A68,
    'Data(perSeason,perCrop)'!$O:$O,1,
    'Data(perSeason,perCrop)'!$C:$C,K$52,
    'Data(perSeason,perCrop)'!$R:$R,"IRRIGATED"),
"")</f>
        <v/>
      </c>
      <c r="L68" s="59" t="str">
        <f>IFERROR(
    AVERAGEIFS('Data(perSeason,perCrop)'!$E:$E,
    'Data(perSeason,perCrop)'!$S:$S,$A68,
    'Data(perSeason,perCrop)'!$O:$O,1,
    'Data(perSeason,perCrop)'!$C:$C,L$52,
    'Data(perSeason,perCrop)'!$R:$R,"IRRIGATED"),
"")</f>
        <v/>
      </c>
      <c r="M68" s="59" t="str">
        <f>IFERROR(
    AVERAGEIFS('Data(perSeason,perCrop)'!$E:$E,
    'Data(perSeason,perCrop)'!$S:$S,$A68,
    'Data(perSeason,perCrop)'!$O:$O,1,
    'Data(perSeason,perCrop)'!$C:$C,M$52,
    'Data(perSeason,perCrop)'!$R:$R,"IRRIGATED"),
"")</f>
        <v/>
      </c>
      <c r="N68" s="59" t="str">
        <f>IFERROR(
    AVERAGEIFS('Data(perSeason,perCrop)'!$E:$E,
    'Data(perSeason,perCrop)'!$S:$S,$A68,
    'Data(perSeason,perCrop)'!$O:$O,1,
    'Data(perSeason,perCrop)'!$C:$C,N$52,
    'Data(perSeason,perCrop)'!$R:$R,"IRRIGATED"),
"")</f>
        <v/>
      </c>
      <c r="O68" s="59">
        <f>IFERROR(
    AVERAGEIFS('Data(perSeason,perCrop)'!$E:$E,
    'Data(perSeason,perCrop)'!$S:$S,$A68,
    'Data(perSeason,perCrop)'!$O:$O,1,
    'Data(perSeason,perCrop)'!$C:$C,O$52,
    'Data(perSeason,perCrop)'!$R:$R,"IRRIGATED"),
"")</f>
        <v>337</v>
      </c>
      <c r="P68" s="59">
        <f>IFERROR(
    AVERAGEIFS('Data(perSeason,perCrop)'!$E:$E,
    'Data(perSeason,perCrop)'!$S:$S,$A68,
    'Data(perSeason,perCrop)'!$O:$O,1,
    'Data(perSeason,perCrop)'!$C:$C,P$52,
    'Data(perSeason,perCrop)'!$R:$R,"IRRIGATED"),
"")</f>
        <v>280</v>
      </c>
      <c r="Q68" s="59" t="str">
        <f>IFERROR(
    AVERAGEIFS('Data(perSeason,perCrop)'!$E:$E,
    'Data(perSeason,perCrop)'!$S:$S,$A68,
    'Data(perSeason,perCrop)'!$O:$O,1,
    'Data(perSeason,perCrop)'!$C:$C,Q$52,
    'Data(perSeason,perCrop)'!$R:$R,"IRRIGATED"),
"")</f>
        <v/>
      </c>
      <c r="R68" s="59">
        <f>IFERROR(
    AVERAGEIFS('Data(perSeason,perCrop)'!$E:$E,
    'Data(perSeason,perCrop)'!$S:$S,$A68,
    'Data(perSeason,perCrop)'!$O:$O,1,
    'Data(perSeason,perCrop)'!$C:$C,R$52,
    'Data(perSeason,perCrop)'!$R:$R,"IRRIGATED"),
"")</f>
        <v>265</v>
      </c>
      <c r="S68" s="59" t="str">
        <f>IFERROR(
    AVERAGEIFS('Data(perSeason,perCrop)'!$E:$E,
    'Data(perSeason,perCrop)'!$S:$S,$A68,
    'Data(perSeason,perCrop)'!$O:$O,1,
    'Data(perSeason,perCrop)'!$C:$C,S$52,
    'Data(perSeason,perCrop)'!$R:$R,"IRRIGATED"),
"")</f>
        <v/>
      </c>
      <c r="T68" s="59" t="str">
        <f>IFERROR(
    AVERAGEIFS('Data(perSeason,perCrop)'!$E:$E,
    'Data(perSeason,perCrop)'!$S:$S,$A68,
    'Data(perSeason,perCrop)'!$O:$O,1,
    'Data(perSeason,perCrop)'!$C:$C,T$52,
    'Data(perSeason,perCrop)'!$R:$R,"IRRIGATED"),
"")</f>
        <v/>
      </c>
      <c r="U68" s="59">
        <f>IFERROR(
    AVERAGEIFS('Data(perSeason,perCrop)'!$E:$E,
    'Data(perSeason,perCrop)'!$S:$S,$A68,
    'Data(perSeason,perCrop)'!$O:$O,1,
    'Data(perSeason,perCrop)'!$C:$C,U$52,
    'Data(perSeason,perCrop)'!$R:$R,"IRRIGATED"),
"")</f>
        <v>274</v>
      </c>
      <c r="V68" s="59" t="str">
        <f>IFERROR(
    AVERAGEIFS('Data(perSeason,perCrop)'!$E:$E,
    'Data(perSeason,perCrop)'!$S:$S,$A68,
    'Data(perSeason,perCrop)'!$O:$O,1,
    'Data(perSeason,perCrop)'!$C:$C,V$52,
    'Data(perSeason,perCrop)'!$R:$R,"IRRIGATED"),
"")</f>
        <v/>
      </c>
      <c r="W68" s="59" t="str">
        <f>IFERROR(
    AVERAGEIFS('Data(perSeason,perCrop)'!$E:$E,
    'Data(perSeason,perCrop)'!$S:$S,$A68,
    'Data(perSeason,perCrop)'!$O:$O,1,
    'Data(perSeason,perCrop)'!$C:$C,W$52,
    'Data(perSeason,perCrop)'!$R:$R,"IRRIGATED"),
"")</f>
        <v/>
      </c>
      <c r="X68" s="59" t="str">
        <f>IFERROR(
    AVERAGEIFS('Data(perSeason,perCrop)'!$E:$E,
    'Data(perSeason,perCrop)'!$S:$S,$A68,
    'Data(perSeason,perCrop)'!$O:$O,1,
    'Data(perSeason,perCrop)'!$C:$C,X$52,
    'Data(perSeason,perCrop)'!$R:$R,"IRRIGATED"),
"")</f>
        <v/>
      </c>
      <c r="Y68" s="59" t="str">
        <f>IFERROR(
    AVERAGEIFS('Data(perSeason,perCrop)'!$E:$E,
    'Data(perSeason,perCrop)'!$S:$S,$A68,
    'Data(perSeason,perCrop)'!$O:$O,1,
    'Data(perSeason,perCrop)'!$C:$C,Y$52,
    'Data(perSeason,perCrop)'!$R:$R,"IRRIGATED"),
"")</f>
        <v/>
      </c>
      <c r="Z68" s="59" t="str">
        <f>IFERROR(
    AVERAGEIFS('Data(perSeason,perCrop)'!$E:$E,
    'Data(perSeason,perCrop)'!$S:$S,$A68,
    'Data(perSeason,perCrop)'!$O:$O,1,
    'Data(perSeason,perCrop)'!$C:$C,Z$52,
    'Data(perSeason,perCrop)'!$R:$R,"IRRIGATED"),
"")</f>
        <v/>
      </c>
      <c r="AA68" s="59" t="str">
        <f>IFERROR(
    AVERAGEIFS('Data(perSeason,perCrop)'!$E:$E,
    'Data(perSeason,perCrop)'!$S:$S,$A68,
    'Data(perSeason,perCrop)'!$O:$O,1,
    'Data(perSeason,perCrop)'!$C:$C,AA$52,
    'Data(perSeason,perCrop)'!$R:$R,"IRRIGATED"),
"")</f>
        <v/>
      </c>
      <c r="AB68" s="59" t="str">
        <f>IFERROR(
    AVERAGEIFS('Data(perSeason,perCrop)'!$E:$E,
    'Data(perSeason,perCrop)'!$S:$S,$A68,
    'Data(perSeason,perCrop)'!$O:$O,1,
    'Data(perSeason,perCrop)'!$C:$C,AB$52,
    'Data(perSeason,perCrop)'!$R:$R,"IRRIGATED"),
"")</f>
        <v/>
      </c>
      <c r="AC68" s="59" t="str">
        <f>IFERROR(
    AVERAGEIFS('Data(perSeason,perCrop)'!$E:$E,
    'Data(perSeason,perCrop)'!$S:$S,$A68,
    'Data(perSeason,perCrop)'!$O:$O,1,
    'Data(perSeason,perCrop)'!$C:$C,AC$52,
    'Data(perSeason,perCrop)'!$R:$R,"IRRIGATED"),
"")</f>
        <v/>
      </c>
      <c r="AD68" s="59" t="str">
        <f>IFERROR(
    AVERAGEIFS('Data(perSeason,perCrop)'!$E:$E,
    'Data(perSeason,perCrop)'!$S:$S,$A68,
    'Data(perSeason,perCrop)'!$O:$O,1,
    'Data(perSeason,perCrop)'!$C:$C,AD$52,
    'Data(perSeason,perCrop)'!$R:$R,"IRRIGATED"),
"")</f>
        <v/>
      </c>
      <c r="AE68" s="59" t="str">
        <f>IFERROR(
    AVERAGEIFS('Data(perSeason,perCrop)'!$E:$E,
    'Data(perSeason,perCrop)'!$S:$S,$A68,
    'Data(perSeason,perCrop)'!$O:$O,1,
    'Data(perSeason,perCrop)'!$C:$C,AE$52,
    'Data(perSeason,perCrop)'!$R:$R,"IRRIGATED"),
"")</f>
        <v/>
      </c>
      <c r="AF68" s="59" t="str">
        <f>IFERROR(
    AVERAGEIFS('Data(perSeason,perCrop)'!$E:$E,
    'Data(perSeason,perCrop)'!$S:$S,$A68,
    'Data(perSeason,perCrop)'!$O:$O,1,
    'Data(perSeason,perCrop)'!$C:$C,AF$52,
    'Data(perSeason,perCrop)'!$R:$R,"IRRIGATED"),
"")</f>
        <v/>
      </c>
    </row>
    <row r="69" spans="1:32" ht="18.75" x14ac:dyDescent="0.3">
      <c r="A69" s="47" t="s">
        <v>184</v>
      </c>
      <c r="B69" s="48" t="str">
        <f>IFERROR(AVERAGE(B64:B68),"")</f>
        <v/>
      </c>
      <c r="C69" s="48">
        <f t="shared" ref="C69:AF69" si="8">IFERROR(AVERAGE(C64:C68),"")</f>
        <v>256</v>
      </c>
      <c r="D69" s="48" t="str">
        <f t="shared" si="8"/>
        <v/>
      </c>
      <c r="E69" s="48" t="str">
        <f t="shared" si="8"/>
        <v/>
      </c>
      <c r="F69" s="48" t="str">
        <f t="shared" si="8"/>
        <v/>
      </c>
      <c r="G69" s="48" t="str">
        <f t="shared" si="8"/>
        <v/>
      </c>
      <c r="H69" s="48" t="str">
        <f t="shared" si="8"/>
        <v/>
      </c>
      <c r="I69" s="48" t="str">
        <f t="shared" si="8"/>
        <v/>
      </c>
      <c r="J69" s="48" t="str">
        <f t="shared" si="8"/>
        <v/>
      </c>
      <c r="K69" s="48" t="str">
        <f t="shared" si="8"/>
        <v/>
      </c>
      <c r="L69" s="48" t="str">
        <f t="shared" si="8"/>
        <v/>
      </c>
      <c r="M69" s="48" t="str">
        <f t="shared" si="8"/>
        <v/>
      </c>
      <c r="N69" s="48" t="str">
        <f t="shared" si="8"/>
        <v/>
      </c>
      <c r="O69" s="48">
        <f t="shared" si="8"/>
        <v>330.8</v>
      </c>
      <c r="P69" s="48">
        <f t="shared" si="8"/>
        <v>271.2</v>
      </c>
      <c r="Q69" s="48" t="str">
        <f t="shared" si="8"/>
        <v/>
      </c>
      <c r="R69" s="48">
        <f t="shared" si="8"/>
        <v>265.60000000000002</v>
      </c>
      <c r="S69" s="48" t="str">
        <f t="shared" si="8"/>
        <v/>
      </c>
      <c r="T69" s="48" t="str">
        <f t="shared" si="8"/>
        <v/>
      </c>
      <c r="U69" s="48">
        <f t="shared" si="8"/>
        <v>279.8</v>
      </c>
      <c r="V69" s="48" t="str">
        <f t="shared" si="8"/>
        <v/>
      </c>
      <c r="W69" s="48" t="str">
        <f t="shared" si="8"/>
        <v/>
      </c>
      <c r="X69" s="48" t="str">
        <f t="shared" si="8"/>
        <v/>
      </c>
      <c r="Y69" s="48" t="str">
        <f t="shared" si="8"/>
        <v/>
      </c>
      <c r="Z69" s="48" t="str">
        <f t="shared" si="8"/>
        <v/>
      </c>
      <c r="AA69" s="48" t="str">
        <f t="shared" si="8"/>
        <v/>
      </c>
      <c r="AB69" s="48" t="str">
        <f t="shared" si="8"/>
        <v/>
      </c>
      <c r="AC69" s="48" t="str">
        <f t="shared" si="8"/>
        <v/>
      </c>
      <c r="AD69" s="48" t="str">
        <f t="shared" si="8"/>
        <v/>
      </c>
      <c r="AE69" s="48" t="str">
        <f t="shared" si="8"/>
        <v/>
      </c>
      <c r="AF69" s="48" t="str">
        <f t="shared" si="8"/>
        <v/>
      </c>
    </row>
    <row r="71" spans="1:32" ht="18.75" x14ac:dyDescent="0.3">
      <c r="A71" s="42" t="s">
        <v>34</v>
      </c>
      <c r="B71" s="58" t="s">
        <v>47</v>
      </c>
      <c r="C71" s="58" t="s">
        <v>57</v>
      </c>
      <c r="D71" s="58" t="s">
        <v>110</v>
      </c>
      <c r="E71" s="58" t="s">
        <v>50</v>
      </c>
      <c r="F71" s="58" t="s">
        <v>58</v>
      </c>
      <c r="G71" s="58" t="s">
        <v>51</v>
      </c>
      <c r="H71" s="58" t="s">
        <v>97</v>
      </c>
      <c r="I71" s="58" t="s">
        <v>52</v>
      </c>
      <c r="J71" s="58" t="s">
        <v>59</v>
      </c>
      <c r="K71" s="58" t="s">
        <v>111</v>
      </c>
      <c r="L71" s="58" t="s">
        <v>54</v>
      </c>
      <c r="M71" s="58" t="s">
        <v>112</v>
      </c>
      <c r="N71" s="58" t="s">
        <v>48</v>
      </c>
      <c r="O71" s="58" t="s">
        <v>53</v>
      </c>
      <c r="P71" s="58" t="s">
        <v>49</v>
      </c>
      <c r="Q71" s="58" t="s">
        <v>56</v>
      </c>
      <c r="R71" s="58" t="s">
        <v>102</v>
      </c>
      <c r="S71" s="58" t="s">
        <v>103</v>
      </c>
      <c r="T71" s="58" t="s">
        <v>101</v>
      </c>
      <c r="U71" s="58" t="s">
        <v>106</v>
      </c>
      <c r="V71" s="58" t="s">
        <v>113</v>
      </c>
      <c r="W71" s="58" t="s">
        <v>114</v>
      </c>
      <c r="X71" s="58" t="s">
        <v>115</v>
      </c>
      <c r="Y71" s="58" t="s">
        <v>116</v>
      </c>
      <c r="Z71" s="58" t="s">
        <v>107</v>
      </c>
      <c r="AA71" s="58" t="s">
        <v>104</v>
      </c>
      <c r="AB71" s="58" t="s">
        <v>117</v>
      </c>
      <c r="AC71" s="58" t="s">
        <v>118</v>
      </c>
      <c r="AD71" s="58" t="s">
        <v>119</v>
      </c>
      <c r="AE71" s="58" t="s">
        <v>108</v>
      </c>
      <c r="AF71" s="58" t="s">
        <v>105</v>
      </c>
    </row>
    <row r="72" spans="1:32" ht="18.75" x14ac:dyDescent="0.3">
      <c r="A72" s="42" t="s">
        <v>183</v>
      </c>
      <c r="B72" s="42">
        <v>1</v>
      </c>
      <c r="C72" s="42">
        <v>2</v>
      </c>
      <c r="D72" s="42">
        <v>3</v>
      </c>
      <c r="E72" s="42">
        <v>4</v>
      </c>
      <c r="F72" s="42">
        <v>5</v>
      </c>
      <c r="G72" s="42">
        <v>6</v>
      </c>
      <c r="H72" s="42">
        <v>7</v>
      </c>
      <c r="I72" s="42">
        <v>8</v>
      </c>
      <c r="J72" s="42">
        <v>9</v>
      </c>
      <c r="K72" s="42">
        <v>10</v>
      </c>
      <c r="L72" s="42">
        <v>11</v>
      </c>
      <c r="M72" s="42">
        <v>12</v>
      </c>
      <c r="N72" s="42">
        <v>13</v>
      </c>
      <c r="O72" s="42">
        <v>14</v>
      </c>
      <c r="P72" s="42">
        <v>15</v>
      </c>
      <c r="Q72" s="42">
        <v>16</v>
      </c>
      <c r="R72" s="42">
        <v>17</v>
      </c>
      <c r="S72" s="42">
        <v>18</v>
      </c>
      <c r="T72" s="42">
        <v>19</v>
      </c>
      <c r="U72" s="42">
        <v>20</v>
      </c>
      <c r="V72" s="42">
        <v>21</v>
      </c>
      <c r="W72" s="42">
        <v>22</v>
      </c>
      <c r="X72" s="42">
        <v>23</v>
      </c>
      <c r="Y72" s="42">
        <v>24</v>
      </c>
      <c r="Z72" s="42">
        <v>25</v>
      </c>
      <c r="AA72" s="42">
        <v>40</v>
      </c>
      <c r="AB72" s="42">
        <v>41</v>
      </c>
      <c r="AC72" s="42">
        <v>42</v>
      </c>
      <c r="AD72" s="42">
        <v>43</v>
      </c>
      <c r="AE72" s="42">
        <v>44</v>
      </c>
      <c r="AF72" s="42">
        <v>45</v>
      </c>
    </row>
    <row r="73" spans="1:32" ht="18.75" x14ac:dyDescent="0.3">
      <c r="A73" s="42">
        <v>2018</v>
      </c>
      <c r="B73" s="59" t="str">
        <f>IFERROR(AVERAGEIFS('Data(perSeason,perCrop)'!$P:$P,'Data(perSeason,perCrop)'!$S:$S,$A73,'Data(perSeason,perCrop)'!$O:$O,1,'Data(perSeason,perCrop)'!$C:$C,B$52,'Data(perSeason,perCrop)'!$R:$R,"IRRIGATED"),"")</f>
        <v/>
      </c>
      <c r="C73" s="59">
        <f>IFERROR(AVERAGEIFS('Data(perSeason,perCrop)'!$P:$P,'Data(perSeason,perCrop)'!$S:$S,$A73,'Data(perSeason,perCrop)'!$O:$O,1,'Data(perSeason,perCrop)'!$C:$C,C$52,'Data(perSeason,perCrop)'!$R:$R,"IRRIGATED"),"")</f>
        <v>6299</v>
      </c>
      <c r="D73" s="59" t="str">
        <f>IFERROR(AVERAGEIFS('Data(perSeason,perCrop)'!$P:$P,'Data(perSeason,perCrop)'!$S:$S,$A73,'Data(perSeason,perCrop)'!$O:$O,1,'Data(perSeason,perCrop)'!$C:$C,D$52,'Data(perSeason,perCrop)'!$R:$R,"IRRIGATED"),"")</f>
        <v/>
      </c>
      <c r="E73" s="59" t="str">
        <f>IFERROR(AVERAGEIFS('Data(perSeason,perCrop)'!$P:$P,'Data(perSeason,perCrop)'!$S:$S,$A73,'Data(perSeason,perCrop)'!$O:$O,1,'Data(perSeason,perCrop)'!$C:$C,E$52,'Data(perSeason,perCrop)'!$R:$R,"IRRIGATED"),"")</f>
        <v/>
      </c>
      <c r="F73" s="59" t="str">
        <f>IFERROR(AVERAGEIFS('Data(perSeason,perCrop)'!$P:$P,'Data(perSeason,perCrop)'!$S:$S,$A73,'Data(perSeason,perCrop)'!$O:$O,1,'Data(perSeason,perCrop)'!$C:$C,F$52,'Data(perSeason,perCrop)'!$R:$R,"IRRIGATED"),"")</f>
        <v/>
      </c>
      <c r="G73" s="59" t="str">
        <f>IFERROR(AVERAGEIFS('Data(perSeason,perCrop)'!$P:$P,'Data(perSeason,perCrop)'!$S:$S,$A73,'Data(perSeason,perCrop)'!$O:$O,1,'Data(perSeason,perCrop)'!$C:$C,G$52,'Data(perSeason,perCrop)'!$R:$R,"IRRIGATED"),"")</f>
        <v/>
      </c>
      <c r="H73" s="59" t="str">
        <f>IFERROR(AVERAGEIFS('Data(perSeason,perCrop)'!$P:$P,'Data(perSeason,perCrop)'!$S:$S,$A73,'Data(perSeason,perCrop)'!$O:$O,1,'Data(perSeason,perCrop)'!$C:$C,H$52,'Data(perSeason,perCrop)'!$R:$R,"IRRIGATED"),"")</f>
        <v/>
      </c>
      <c r="I73" s="59" t="str">
        <f>IFERROR(AVERAGEIFS('Data(perSeason,perCrop)'!$P:$P,'Data(perSeason,perCrop)'!$S:$S,$A73,'Data(perSeason,perCrop)'!$O:$O,1,'Data(perSeason,perCrop)'!$C:$C,I$52,'Data(perSeason,perCrop)'!$R:$R,"IRRIGATED"),"")</f>
        <v/>
      </c>
      <c r="J73" s="59" t="str">
        <f>IFERROR(AVERAGEIFS('Data(perSeason,perCrop)'!$P:$P,'Data(perSeason,perCrop)'!$S:$S,$A73,'Data(perSeason,perCrop)'!$O:$O,1,'Data(perSeason,perCrop)'!$C:$C,J$52,'Data(perSeason,perCrop)'!$R:$R,"IRRIGATED"),"")</f>
        <v/>
      </c>
      <c r="K73" s="59" t="str">
        <f>IFERROR(AVERAGEIFS('Data(perSeason,perCrop)'!$P:$P,'Data(perSeason,perCrop)'!$S:$S,$A73,'Data(perSeason,perCrop)'!$O:$O,1,'Data(perSeason,perCrop)'!$C:$C,K$52,'Data(perSeason,perCrop)'!$R:$R,"IRRIGATED"),"")</f>
        <v/>
      </c>
      <c r="L73" s="59" t="str">
        <f>IFERROR(AVERAGEIFS('Data(perSeason,perCrop)'!$P:$P,'Data(perSeason,perCrop)'!$S:$S,$A73,'Data(perSeason,perCrop)'!$O:$O,1,'Data(perSeason,perCrop)'!$C:$C,L$52,'Data(perSeason,perCrop)'!$R:$R,"IRRIGATED"),"")</f>
        <v/>
      </c>
      <c r="M73" s="59" t="str">
        <f>IFERROR(AVERAGEIFS('Data(perSeason,perCrop)'!$P:$P,'Data(perSeason,perCrop)'!$S:$S,$A73,'Data(perSeason,perCrop)'!$O:$O,1,'Data(perSeason,perCrop)'!$C:$C,M$52,'Data(perSeason,perCrop)'!$R:$R,"IRRIGATED"),"")</f>
        <v/>
      </c>
      <c r="N73" s="59" t="str">
        <f>IFERROR(AVERAGEIFS('Data(perSeason,perCrop)'!$P:$P,'Data(perSeason,perCrop)'!$S:$S,$A73,'Data(perSeason,perCrop)'!$O:$O,1,'Data(perSeason,perCrop)'!$C:$C,N$52,'Data(perSeason,perCrop)'!$R:$R,"IRRIGATED"),"")</f>
        <v/>
      </c>
      <c r="O73" s="59">
        <f>IFERROR(AVERAGEIFS('Data(perSeason,perCrop)'!$P:$P,'Data(perSeason,perCrop)'!$S:$S,$A73,'Data(perSeason,perCrop)'!$O:$O,1,'Data(perSeason,perCrop)'!$C:$C,O$52,'Data(perSeason,perCrop)'!$R:$R,"IRRIGATED"),"")</f>
        <v>6652</v>
      </c>
      <c r="P73" s="59">
        <f>IFERROR(AVERAGEIFS('Data(perSeason,perCrop)'!$P:$P,'Data(perSeason,perCrop)'!$S:$S,$A73,'Data(perSeason,perCrop)'!$O:$O,1,'Data(perSeason,perCrop)'!$C:$C,P$52,'Data(perSeason,perCrop)'!$R:$R,"IRRIGATED"),"")</f>
        <v>6208</v>
      </c>
      <c r="Q73" s="59" t="str">
        <f>IFERROR(AVERAGEIFS('Data(perSeason,perCrop)'!$P:$P,'Data(perSeason,perCrop)'!$S:$S,$A73,'Data(perSeason,perCrop)'!$O:$O,1,'Data(perSeason,perCrop)'!$C:$C,Q$52,'Data(perSeason,perCrop)'!$R:$R,"IRRIGATED"),"")</f>
        <v/>
      </c>
      <c r="R73" s="59">
        <f>IFERROR(AVERAGEIFS('Data(perSeason,perCrop)'!$P:$P,'Data(perSeason,perCrop)'!$S:$S,$A73,'Data(perSeason,perCrop)'!$O:$O,1,'Data(perSeason,perCrop)'!$C:$C,R$52,'Data(perSeason,perCrop)'!$R:$R,"IRRIGATED"),"")</f>
        <v>6243</v>
      </c>
      <c r="S73" s="59" t="str">
        <f>IFERROR(AVERAGEIFS('Data(perSeason,perCrop)'!$P:$P,'Data(perSeason,perCrop)'!$S:$S,$A73,'Data(perSeason,perCrop)'!$O:$O,1,'Data(perSeason,perCrop)'!$C:$C,S$52,'Data(perSeason,perCrop)'!$R:$R,"IRRIGATED"),"")</f>
        <v/>
      </c>
      <c r="T73" s="59" t="str">
        <f>IFERROR(AVERAGEIFS('Data(perSeason,perCrop)'!$P:$P,'Data(perSeason,perCrop)'!$S:$S,$A73,'Data(perSeason,perCrop)'!$O:$O,1,'Data(perSeason,perCrop)'!$C:$C,T$52,'Data(perSeason,perCrop)'!$R:$R,"IRRIGATED"),"")</f>
        <v/>
      </c>
      <c r="U73" s="59">
        <f>IFERROR(AVERAGEIFS('Data(perSeason,perCrop)'!$P:$P,'Data(perSeason,perCrop)'!$S:$S,$A73,'Data(perSeason,perCrop)'!$O:$O,1,'Data(perSeason,perCrop)'!$C:$C,U$52,'Data(perSeason,perCrop)'!$R:$R,"IRRIGATED"),"")</f>
        <v>6380</v>
      </c>
      <c r="V73" s="59" t="str">
        <f>IFERROR(AVERAGEIFS('Data(perSeason,perCrop)'!$P:$P,'Data(perSeason,perCrop)'!$S:$S,$A73,'Data(perSeason,perCrop)'!$O:$O,1,'Data(perSeason,perCrop)'!$C:$C,V$52,'Data(perSeason,perCrop)'!$R:$R,"IRRIGATED"),"")</f>
        <v/>
      </c>
      <c r="W73" s="59" t="str">
        <f>IFERROR(AVERAGEIFS('Data(perSeason,perCrop)'!$P:$P,'Data(perSeason,perCrop)'!$S:$S,$A73,'Data(perSeason,perCrop)'!$O:$O,1,'Data(perSeason,perCrop)'!$C:$C,W$52,'Data(perSeason,perCrop)'!$R:$R,"IRRIGATED"),"")</f>
        <v/>
      </c>
      <c r="X73" s="59" t="str">
        <f>IFERROR(AVERAGEIFS('Data(perSeason,perCrop)'!$P:$P,'Data(perSeason,perCrop)'!$S:$S,$A73,'Data(perSeason,perCrop)'!$O:$O,1,'Data(perSeason,perCrop)'!$C:$C,X$52,'Data(perSeason,perCrop)'!$R:$R,"IRRIGATED"),"")</f>
        <v/>
      </c>
      <c r="Y73" s="59" t="str">
        <f>IFERROR(AVERAGEIFS('Data(perSeason,perCrop)'!$P:$P,'Data(perSeason,perCrop)'!$S:$S,$A73,'Data(perSeason,perCrop)'!$O:$O,1,'Data(perSeason,perCrop)'!$C:$C,Y$52,'Data(perSeason,perCrop)'!$R:$R,"IRRIGATED"),"")</f>
        <v/>
      </c>
      <c r="Z73" s="59" t="str">
        <f>IFERROR(AVERAGEIFS('Data(perSeason,perCrop)'!$P:$P,'Data(perSeason,perCrop)'!$S:$S,$A73,'Data(perSeason,perCrop)'!$O:$O,1,'Data(perSeason,perCrop)'!$C:$C,Z$52,'Data(perSeason,perCrop)'!$R:$R,"IRRIGATED"),"")</f>
        <v/>
      </c>
      <c r="AA73" s="59" t="str">
        <f>IFERROR(AVERAGEIFS('Data(perSeason,perCrop)'!$P:$P,'Data(perSeason,perCrop)'!$S:$S,$A73,'Data(perSeason,perCrop)'!$O:$O,1,'Data(perSeason,perCrop)'!$C:$C,AA$52,'Data(perSeason,perCrop)'!$R:$R,"IRRIGATED"),"")</f>
        <v/>
      </c>
      <c r="AB73" s="59" t="str">
        <f>IFERROR(AVERAGEIFS('Data(perSeason,perCrop)'!$P:$P,'Data(perSeason,perCrop)'!$S:$S,$A73,'Data(perSeason,perCrop)'!$O:$O,1,'Data(perSeason,perCrop)'!$C:$C,AB$52,'Data(perSeason,perCrop)'!$R:$R,"IRRIGATED"),"")</f>
        <v/>
      </c>
      <c r="AC73" s="59" t="str">
        <f>IFERROR(AVERAGEIFS('Data(perSeason,perCrop)'!$P:$P,'Data(perSeason,perCrop)'!$S:$S,$A73,'Data(perSeason,perCrop)'!$O:$O,1,'Data(perSeason,perCrop)'!$C:$C,AC$52,'Data(perSeason,perCrop)'!$R:$R,"IRRIGATED"),"")</f>
        <v/>
      </c>
      <c r="AD73" s="59" t="str">
        <f>IFERROR(AVERAGEIFS('Data(perSeason,perCrop)'!$P:$P,'Data(perSeason,perCrop)'!$S:$S,$A73,'Data(perSeason,perCrop)'!$O:$O,1,'Data(perSeason,perCrop)'!$C:$C,AD$52,'Data(perSeason,perCrop)'!$R:$R,"IRRIGATED"),"")</f>
        <v/>
      </c>
      <c r="AE73" s="59" t="str">
        <f>IFERROR(AVERAGEIFS('Data(perSeason,perCrop)'!$P:$P,'Data(perSeason,perCrop)'!$S:$S,$A73,'Data(perSeason,perCrop)'!$O:$O,1,'Data(perSeason,perCrop)'!$C:$C,AE$52,'Data(perSeason,perCrop)'!$R:$R,"IRRIGATED"),"")</f>
        <v/>
      </c>
      <c r="AF73" s="59" t="str">
        <f>IFERROR(AVERAGEIFS('Data(perSeason,perCrop)'!$P:$P,'Data(perSeason,perCrop)'!$S:$S,$A73,'Data(perSeason,perCrop)'!$O:$O,1,'Data(perSeason,perCrop)'!$C:$C,AF$52,'Data(perSeason,perCrop)'!$R:$R,"IRRIGATED"),"")</f>
        <v/>
      </c>
    </row>
    <row r="74" spans="1:32" ht="18.75" x14ac:dyDescent="0.3">
      <c r="A74" s="42">
        <v>2019</v>
      </c>
      <c r="B74" s="59" t="str">
        <f>IFERROR(AVERAGEIFS('Data(perSeason,perCrop)'!$P:$P,'Data(perSeason,perCrop)'!$S:$S,$A74,'Data(perSeason,perCrop)'!$O:$O,1,'Data(perSeason,perCrop)'!$C:$C,B$52,'Data(perSeason,perCrop)'!$R:$R,"IRRIGATED"),"")</f>
        <v/>
      </c>
      <c r="C74" s="59">
        <f>IFERROR(AVERAGEIFS('Data(perSeason,perCrop)'!$P:$P,'Data(perSeason,perCrop)'!$S:$S,$A74,'Data(perSeason,perCrop)'!$O:$O,1,'Data(perSeason,perCrop)'!$C:$C,C$52,'Data(perSeason,perCrop)'!$R:$R,"IRRIGATED"),"")</f>
        <v>4178</v>
      </c>
      <c r="D74" s="59" t="str">
        <f>IFERROR(AVERAGEIFS('Data(perSeason,perCrop)'!$P:$P,'Data(perSeason,perCrop)'!$S:$S,$A74,'Data(perSeason,perCrop)'!$O:$O,1,'Data(perSeason,perCrop)'!$C:$C,D$52,'Data(perSeason,perCrop)'!$R:$R,"IRRIGATED"),"")</f>
        <v/>
      </c>
      <c r="E74" s="59" t="str">
        <f>IFERROR(AVERAGEIFS('Data(perSeason,perCrop)'!$P:$P,'Data(perSeason,perCrop)'!$S:$S,$A74,'Data(perSeason,perCrop)'!$O:$O,1,'Data(perSeason,perCrop)'!$C:$C,E$52,'Data(perSeason,perCrop)'!$R:$R,"IRRIGATED"),"")</f>
        <v/>
      </c>
      <c r="F74" s="59" t="str">
        <f>IFERROR(AVERAGEIFS('Data(perSeason,perCrop)'!$P:$P,'Data(perSeason,perCrop)'!$S:$S,$A74,'Data(perSeason,perCrop)'!$O:$O,1,'Data(perSeason,perCrop)'!$C:$C,F$52,'Data(perSeason,perCrop)'!$R:$R,"IRRIGATED"),"")</f>
        <v/>
      </c>
      <c r="G74" s="59" t="str">
        <f>IFERROR(AVERAGEIFS('Data(perSeason,perCrop)'!$P:$P,'Data(perSeason,perCrop)'!$S:$S,$A74,'Data(perSeason,perCrop)'!$O:$O,1,'Data(perSeason,perCrop)'!$C:$C,G$52,'Data(perSeason,perCrop)'!$R:$R,"IRRIGATED"),"")</f>
        <v/>
      </c>
      <c r="H74" s="59" t="str">
        <f>IFERROR(AVERAGEIFS('Data(perSeason,perCrop)'!$P:$P,'Data(perSeason,perCrop)'!$S:$S,$A74,'Data(perSeason,perCrop)'!$O:$O,1,'Data(perSeason,perCrop)'!$C:$C,H$52,'Data(perSeason,perCrop)'!$R:$R,"IRRIGATED"),"")</f>
        <v/>
      </c>
      <c r="I74" s="59" t="str">
        <f>IFERROR(AVERAGEIFS('Data(perSeason,perCrop)'!$P:$P,'Data(perSeason,perCrop)'!$S:$S,$A74,'Data(perSeason,perCrop)'!$O:$O,1,'Data(perSeason,perCrop)'!$C:$C,I$52,'Data(perSeason,perCrop)'!$R:$R,"IRRIGATED"),"")</f>
        <v/>
      </c>
      <c r="J74" s="59" t="str">
        <f>IFERROR(AVERAGEIFS('Data(perSeason,perCrop)'!$P:$P,'Data(perSeason,perCrop)'!$S:$S,$A74,'Data(perSeason,perCrop)'!$O:$O,1,'Data(perSeason,perCrop)'!$C:$C,J$52,'Data(perSeason,perCrop)'!$R:$R,"IRRIGATED"),"")</f>
        <v/>
      </c>
      <c r="K74" s="59" t="str">
        <f>IFERROR(AVERAGEIFS('Data(perSeason,perCrop)'!$P:$P,'Data(perSeason,perCrop)'!$S:$S,$A74,'Data(perSeason,perCrop)'!$O:$O,1,'Data(perSeason,perCrop)'!$C:$C,K$52,'Data(perSeason,perCrop)'!$R:$R,"IRRIGATED"),"")</f>
        <v/>
      </c>
      <c r="L74" s="59" t="str">
        <f>IFERROR(AVERAGEIFS('Data(perSeason,perCrop)'!$P:$P,'Data(perSeason,perCrop)'!$S:$S,$A74,'Data(perSeason,perCrop)'!$O:$O,1,'Data(perSeason,perCrop)'!$C:$C,L$52,'Data(perSeason,perCrop)'!$R:$R,"IRRIGATED"),"")</f>
        <v/>
      </c>
      <c r="M74" s="59" t="str">
        <f>IFERROR(AVERAGEIFS('Data(perSeason,perCrop)'!$P:$P,'Data(perSeason,perCrop)'!$S:$S,$A74,'Data(perSeason,perCrop)'!$O:$O,1,'Data(perSeason,perCrop)'!$C:$C,M$52,'Data(perSeason,perCrop)'!$R:$R,"IRRIGATED"),"")</f>
        <v/>
      </c>
      <c r="N74" s="59" t="str">
        <f>IFERROR(AVERAGEIFS('Data(perSeason,perCrop)'!$P:$P,'Data(perSeason,perCrop)'!$S:$S,$A74,'Data(perSeason,perCrop)'!$O:$O,1,'Data(perSeason,perCrop)'!$C:$C,N$52,'Data(perSeason,perCrop)'!$R:$R,"IRRIGATED"),"")</f>
        <v/>
      </c>
      <c r="O74" s="59">
        <f>IFERROR(AVERAGEIFS('Data(perSeason,perCrop)'!$P:$P,'Data(perSeason,perCrop)'!$S:$S,$A74,'Data(perSeason,perCrop)'!$O:$O,1,'Data(perSeason,perCrop)'!$C:$C,O$52,'Data(perSeason,perCrop)'!$R:$R,"IRRIGATED"),"")</f>
        <v>4626</v>
      </c>
      <c r="P74" s="59">
        <f>IFERROR(AVERAGEIFS('Data(perSeason,perCrop)'!$P:$P,'Data(perSeason,perCrop)'!$S:$S,$A74,'Data(perSeason,perCrop)'!$O:$O,1,'Data(perSeason,perCrop)'!$C:$C,P$52,'Data(perSeason,perCrop)'!$R:$R,"IRRIGATED"),"")</f>
        <v>4023</v>
      </c>
      <c r="Q74" s="59" t="str">
        <f>IFERROR(AVERAGEIFS('Data(perSeason,perCrop)'!$P:$P,'Data(perSeason,perCrop)'!$S:$S,$A74,'Data(perSeason,perCrop)'!$O:$O,1,'Data(perSeason,perCrop)'!$C:$C,Q$52,'Data(perSeason,perCrop)'!$R:$R,"IRRIGATED"),"")</f>
        <v/>
      </c>
      <c r="R74" s="59">
        <f>IFERROR(AVERAGEIFS('Data(perSeason,perCrop)'!$P:$P,'Data(perSeason,perCrop)'!$S:$S,$A74,'Data(perSeason,perCrop)'!$O:$O,1,'Data(perSeason,perCrop)'!$C:$C,R$52,'Data(perSeason,perCrop)'!$R:$R,"IRRIGATED"),"")</f>
        <v>4175</v>
      </c>
      <c r="S74" s="59" t="str">
        <f>IFERROR(AVERAGEIFS('Data(perSeason,perCrop)'!$P:$P,'Data(perSeason,perCrop)'!$S:$S,$A74,'Data(perSeason,perCrop)'!$O:$O,1,'Data(perSeason,perCrop)'!$C:$C,S$52,'Data(perSeason,perCrop)'!$R:$R,"IRRIGATED"),"")</f>
        <v/>
      </c>
      <c r="T74" s="59" t="str">
        <f>IFERROR(AVERAGEIFS('Data(perSeason,perCrop)'!$P:$P,'Data(perSeason,perCrop)'!$S:$S,$A74,'Data(perSeason,perCrop)'!$O:$O,1,'Data(perSeason,perCrop)'!$C:$C,T$52,'Data(perSeason,perCrop)'!$R:$R,"IRRIGATED"),"")</f>
        <v/>
      </c>
      <c r="U74" s="59">
        <f>IFERROR(AVERAGEIFS('Data(perSeason,perCrop)'!$P:$P,'Data(perSeason,perCrop)'!$S:$S,$A74,'Data(perSeason,perCrop)'!$O:$O,1,'Data(perSeason,perCrop)'!$C:$C,U$52,'Data(perSeason,perCrop)'!$R:$R,"IRRIGATED"),"")</f>
        <v>4294</v>
      </c>
      <c r="V74" s="59" t="str">
        <f>IFERROR(AVERAGEIFS('Data(perSeason,perCrop)'!$P:$P,'Data(perSeason,perCrop)'!$S:$S,$A74,'Data(perSeason,perCrop)'!$O:$O,1,'Data(perSeason,perCrop)'!$C:$C,V$52,'Data(perSeason,perCrop)'!$R:$R,"IRRIGATED"),"")</f>
        <v/>
      </c>
      <c r="W74" s="59" t="str">
        <f>IFERROR(AVERAGEIFS('Data(perSeason,perCrop)'!$P:$P,'Data(perSeason,perCrop)'!$S:$S,$A74,'Data(perSeason,perCrop)'!$O:$O,1,'Data(perSeason,perCrop)'!$C:$C,W$52,'Data(perSeason,perCrop)'!$R:$R,"IRRIGATED"),"")</f>
        <v/>
      </c>
      <c r="X74" s="59" t="str">
        <f>IFERROR(AVERAGEIFS('Data(perSeason,perCrop)'!$P:$P,'Data(perSeason,perCrop)'!$S:$S,$A74,'Data(perSeason,perCrop)'!$O:$O,1,'Data(perSeason,perCrop)'!$C:$C,X$52,'Data(perSeason,perCrop)'!$R:$R,"IRRIGATED"),"")</f>
        <v/>
      </c>
      <c r="Y74" s="59" t="str">
        <f>IFERROR(AVERAGEIFS('Data(perSeason,perCrop)'!$P:$P,'Data(perSeason,perCrop)'!$S:$S,$A74,'Data(perSeason,perCrop)'!$O:$O,1,'Data(perSeason,perCrop)'!$C:$C,Y$52,'Data(perSeason,perCrop)'!$R:$R,"IRRIGATED"),"")</f>
        <v/>
      </c>
      <c r="Z74" s="59" t="str">
        <f>IFERROR(AVERAGEIFS('Data(perSeason,perCrop)'!$P:$P,'Data(perSeason,perCrop)'!$S:$S,$A74,'Data(perSeason,perCrop)'!$O:$O,1,'Data(perSeason,perCrop)'!$C:$C,Z$52,'Data(perSeason,perCrop)'!$R:$R,"IRRIGATED"),"")</f>
        <v/>
      </c>
      <c r="AA74" s="59" t="str">
        <f>IFERROR(AVERAGEIFS('Data(perSeason,perCrop)'!$P:$P,'Data(perSeason,perCrop)'!$S:$S,$A74,'Data(perSeason,perCrop)'!$O:$O,1,'Data(perSeason,perCrop)'!$C:$C,AA$52,'Data(perSeason,perCrop)'!$R:$R,"IRRIGATED"),"")</f>
        <v/>
      </c>
      <c r="AB74" s="59" t="str">
        <f>IFERROR(AVERAGEIFS('Data(perSeason,perCrop)'!$P:$P,'Data(perSeason,perCrop)'!$S:$S,$A74,'Data(perSeason,perCrop)'!$O:$O,1,'Data(perSeason,perCrop)'!$C:$C,AB$52,'Data(perSeason,perCrop)'!$R:$R,"IRRIGATED"),"")</f>
        <v/>
      </c>
      <c r="AC74" s="59" t="str">
        <f>IFERROR(AVERAGEIFS('Data(perSeason,perCrop)'!$P:$P,'Data(perSeason,perCrop)'!$S:$S,$A74,'Data(perSeason,perCrop)'!$O:$O,1,'Data(perSeason,perCrop)'!$C:$C,AC$52,'Data(perSeason,perCrop)'!$R:$R,"IRRIGATED"),"")</f>
        <v/>
      </c>
      <c r="AD74" s="59" t="str">
        <f>IFERROR(AVERAGEIFS('Data(perSeason,perCrop)'!$P:$P,'Data(perSeason,perCrop)'!$S:$S,$A74,'Data(perSeason,perCrop)'!$O:$O,1,'Data(perSeason,perCrop)'!$C:$C,AD$52,'Data(perSeason,perCrop)'!$R:$R,"IRRIGATED"),"")</f>
        <v/>
      </c>
      <c r="AE74" s="59" t="str">
        <f>IFERROR(AVERAGEIFS('Data(perSeason,perCrop)'!$P:$P,'Data(perSeason,perCrop)'!$S:$S,$A74,'Data(perSeason,perCrop)'!$O:$O,1,'Data(perSeason,perCrop)'!$C:$C,AE$52,'Data(perSeason,perCrop)'!$R:$R,"IRRIGATED"),"")</f>
        <v/>
      </c>
      <c r="AF74" s="59" t="str">
        <f>IFERROR(AVERAGEIFS('Data(perSeason,perCrop)'!$P:$P,'Data(perSeason,perCrop)'!$S:$S,$A74,'Data(perSeason,perCrop)'!$O:$O,1,'Data(perSeason,perCrop)'!$C:$C,AF$52,'Data(perSeason,perCrop)'!$R:$R,"IRRIGATED"),"")</f>
        <v/>
      </c>
    </row>
    <row r="75" spans="1:32" ht="18.75" x14ac:dyDescent="0.3">
      <c r="A75" s="42">
        <v>2020</v>
      </c>
      <c r="B75" s="59" t="str">
        <f>IFERROR(AVERAGEIFS('Data(perSeason,perCrop)'!$P:$P,'Data(perSeason,perCrop)'!$S:$S,$A75,'Data(perSeason,perCrop)'!$O:$O,1,'Data(perSeason,perCrop)'!$C:$C,B$52,'Data(perSeason,perCrop)'!$R:$R,"IRRIGATED"),"")</f>
        <v/>
      </c>
      <c r="C75" s="59">
        <f>IFERROR(AVERAGEIFS('Data(perSeason,perCrop)'!$P:$P,'Data(perSeason,perCrop)'!$S:$S,$A75,'Data(perSeason,perCrop)'!$O:$O,1,'Data(perSeason,perCrop)'!$C:$C,C$52,'Data(perSeason,perCrop)'!$R:$R,"IRRIGATED"),"")</f>
        <v>4441</v>
      </c>
      <c r="D75" s="59" t="str">
        <f>IFERROR(AVERAGEIFS('Data(perSeason,perCrop)'!$P:$P,'Data(perSeason,perCrop)'!$S:$S,$A75,'Data(perSeason,perCrop)'!$O:$O,1,'Data(perSeason,perCrop)'!$C:$C,D$52,'Data(perSeason,perCrop)'!$R:$R,"IRRIGATED"),"")</f>
        <v/>
      </c>
      <c r="E75" s="59" t="str">
        <f>IFERROR(AVERAGEIFS('Data(perSeason,perCrop)'!$P:$P,'Data(perSeason,perCrop)'!$S:$S,$A75,'Data(perSeason,perCrop)'!$O:$O,1,'Data(perSeason,perCrop)'!$C:$C,E$52,'Data(perSeason,perCrop)'!$R:$R,"IRRIGATED"),"")</f>
        <v/>
      </c>
      <c r="F75" s="59" t="str">
        <f>IFERROR(AVERAGEIFS('Data(perSeason,perCrop)'!$P:$P,'Data(perSeason,perCrop)'!$S:$S,$A75,'Data(perSeason,perCrop)'!$O:$O,1,'Data(perSeason,perCrop)'!$C:$C,F$52,'Data(perSeason,perCrop)'!$R:$R,"IRRIGATED"),"")</f>
        <v/>
      </c>
      <c r="G75" s="59" t="str">
        <f>IFERROR(AVERAGEIFS('Data(perSeason,perCrop)'!$P:$P,'Data(perSeason,perCrop)'!$S:$S,$A75,'Data(perSeason,perCrop)'!$O:$O,1,'Data(perSeason,perCrop)'!$C:$C,G$52,'Data(perSeason,perCrop)'!$R:$R,"IRRIGATED"),"")</f>
        <v/>
      </c>
      <c r="H75" s="59" t="str">
        <f>IFERROR(AVERAGEIFS('Data(perSeason,perCrop)'!$P:$P,'Data(perSeason,perCrop)'!$S:$S,$A75,'Data(perSeason,perCrop)'!$O:$O,1,'Data(perSeason,perCrop)'!$C:$C,H$52,'Data(perSeason,perCrop)'!$R:$R,"IRRIGATED"),"")</f>
        <v/>
      </c>
      <c r="I75" s="59" t="str">
        <f>IFERROR(AVERAGEIFS('Data(perSeason,perCrop)'!$P:$P,'Data(perSeason,perCrop)'!$S:$S,$A75,'Data(perSeason,perCrop)'!$O:$O,1,'Data(perSeason,perCrop)'!$C:$C,I$52,'Data(perSeason,perCrop)'!$R:$R,"IRRIGATED"),"")</f>
        <v/>
      </c>
      <c r="J75" s="59" t="str">
        <f>IFERROR(AVERAGEIFS('Data(perSeason,perCrop)'!$P:$P,'Data(perSeason,perCrop)'!$S:$S,$A75,'Data(perSeason,perCrop)'!$O:$O,1,'Data(perSeason,perCrop)'!$C:$C,J$52,'Data(perSeason,perCrop)'!$R:$R,"IRRIGATED"),"")</f>
        <v/>
      </c>
      <c r="K75" s="59" t="str">
        <f>IFERROR(AVERAGEIFS('Data(perSeason,perCrop)'!$P:$P,'Data(perSeason,perCrop)'!$S:$S,$A75,'Data(perSeason,perCrop)'!$O:$O,1,'Data(perSeason,perCrop)'!$C:$C,K$52,'Data(perSeason,perCrop)'!$R:$R,"IRRIGATED"),"")</f>
        <v/>
      </c>
      <c r="L75" s="59" t="str">
        <f>IFERROR(AVERAGEIFS('Data(perSeason,perCrop)'!$P:$P,'Data(perSeason,perCrop)'!$S:$S,$A75,'Data(perSeason,perCrop)'!$O:$O,1,'Data(perSeason,perCrop)'!$C:$C,L$52,'Data(perSeason,perCrop)'!$R:$R,"IRRIGATED"),"")</f>
        <v/>
      </c>
      <c r="M75" s="59" t="str">
        <f>IFERROR(AVERAGEIFS('Data(perSeason,perCrop)'!$P:$P,'Data(perSeason,perCrop)'!$S:$S,$A75,'Data(perSeason,perCrop)'!$O:$O,1,'Data(perSeason,perCrop)'!$C:$C,M$52,'Data(perSeason,perCrop)'!$R:$R,"IRRIGATED"),"")</f>
        <v/>
      </c>
      <c r="N75" s="59" t="str">
        <f>IFERROR(AVERAGEIFS('Data(perSeason,perCrop)'!$P:$P,'Data(perSeason,perCrop)'!$S:$S,$A75,'Data(perSeason,perCrop)'!$O:$O,1,'Data(perSeason,perCrop)'!$C:$C,N$52,'Data(perSeason,perCrop)'!$R:$R,"IRRIGATED"),"")</f>
        <v/>
      </c>
      <c r="O75" s="59">
        <f>IFERROR(AVERAGEIFS('Data(perSeason,perCrop)'!$P:$P,'Data(perSeason,perCrop)'!$S:$S,$A75,'Data(perSeason,perCrop)'!$O:$O,1,'Data(perSeason,perCrop)'!$C:$C,O$52,'Data(perSeason,perCrop)'!$R:$R,"IRRIGATED"),"")</f>
        <v>5696</v>
      </c>
      <c r="P75" s="59">
        <f>IFERROR(AVERAGEIFS('Data(perSeason,perCrop)'!$P:$P,'Data(perSeason,perCrop)'!$S:$S,$A75,'Data(perSeason,perCrop)'!$O:$O,1,'Data(perSeason,perCrop)'!$C:$C,P$52,'Data(perSeason,perCrop)'!$R:$R,"IRRIGATED"),"")</f>
        <v>4695</v>
      </c>
      <c r="Q75" s="59" t="str">
        <f>IFERROR(AVERAGEIFS('Data(perSeason,perCrop)'!$P:$P,'Data(perSeason,perCrop)'!$S:$S,$A75,'Data(perSeason,perCrop)'!$O:$O,1,'Data(perSeason,perCrop)'!$C:$C,Q$52,'Data(perSeason,perCrop)'!$R:$R,"IRRIGATED"),"")</f>
        <v/>
      </c>
      <c r="R75" s="59">
        <f>IFERROR(AVERAGEIFS('Data(perSeason,perCrop)'!$P:$P,'Data(perSeason,perCrop)'!$S:$S,$A75,'Data(perSeason,perCrop)'!$O:$O,1,'Data(perSeason,perCrop)'!$C:$C,R$52,'Data(perSeason,perCrop)'!$R:$R,"IRRIGATED"),"")</f>
        <v>4863</v>
      </c>
      <c r="S75" s="59" t="str">
        <f>IFERROR(AVERAGEIFS('Data(perSeason,perCrop)'!$P:$P,'Data(perSeason,perCrop)'!$S:$S,$A75,'Data(perSeason,perCrop)'!$O:$O,1,'Data(perSeason,perCrop)'!$C:$C,S$52,'Data(perSeason,perCrop)'!$R:$R,"IRRIGATED"),"")</f>
        <v/>
      </c>
      <c r="T75" s="59" t="str">
        <f>IFERROR(AVERAGEIFS('Data(perSeason,perCrop)'!$P:$P,'Data(perSeason,perCrop)'!$S:$S,$A75,'Data(perSeason,perCrop)'!$O:$O,1,'Data(perSeason,perCrop)'!$C:$C,T$52,'Data(perSeason,perCrop)'!$R:$R,"IRRIGATED"),"")</f>
        <v/>
      </c>
      <c r="U75" s="59">
        <f>IFERROR(AVERAGEIFS('Data(perSeason,perCrop)'!$P:$P,'Data(perSeason,perCrop)'!$S:$S,$A75,'Data(perSeason,perCrop)'!$O:$O,1,'Data(perSeason,perCrop)'!$C:$C,U$52,'Data(perSeason,perCrop)'!$R:$R,"IRRIGATED"),"")</f>
        <v>4788</v>
      </c>
      <c r="V75" s="59" t="str">
        <f>IFERROR(AVERAGEIFS('Data(perSeason,perCrop)'!$P:$P,'Data(perSeason,perCrop)'!$S:$S,$A75,'Data(perSeason,perCrop)'!$O:$O,1,'Data(perSeason,perCrop)'!$C:$C,V$52,'Data(perSeason,perCrop)'!$R:$R,"IRRIGATED"),"")</f>
        <v/>
      </c>
      <c r="W75" s="59" t="str">
        <f>IFERROR(AVERAGEIFS('Data(perSeason,perCrop)'!$P:$P,'Data(perSeason,perCrop)'!$S:$S,$A75,'Data(perSeason,perCrop)'!$O:$O,1,'Data(perSeason,perCrop)'!$C:$C,W$52,'Data(perSeason,perCrop)'!$R:$R,"IRRIGATED"),"")</f>
        <v/>
      </c>
      <c r="X75" s="59" t="str">
        <f>IFERROR(AVERAGEIFS('Data(perSeason,perCrop)'!$P:$P,'Data(perSeason,perCrop)'!$S:$S,$A75,'Data(perSeason,perCrop)'!$O:$O,1,'Data(perSeason,perCrop)'!$C:$C,X$52,'Data(perSeason,perCrop)'!$R:$R,"IRRIGATED"),"")</f>
        <v/>
      </c>
      <c r="Y75" s="59" t="str">
        <f>IFERROR(AVERAGEIFS('Data(perSeason,perCrop)'!$P:$P,'Data(perSeason,perCrop)'!$S:$S,$A75,'Data(perSeason,perCrop)'!$O:$O,1,'Data(perSeason,perCrop)'!$C:$C,Y$52,'Data(perSeason,perCrop)'!$R:$R,"IRRIGATED"),"")</f>
        <v/>
      </c>
      <c r="Z75" s="59" t="str">
        <f>IFERROR(AVERAGEIFS('Data(perSeason,perCrop)'!$P:$P,'Data(perSeason,perCrop)'!$S:$S,$A75,'Data(perSeason,perCrop)'!$O:$O,1,'Data(perSeason,perCrop)'!$C:$C,Z$52,'Data(perSeason,perCrop)'!$R:$R,"IRRIGATED"),"")</f>
        <v/>
      </c>
      <c r="AA75" s="59" t="str">
        <f>IFERROR(AVERAGEIFS('Data(perSeason,perCrop)'!$P:$P,'Data(perSeason,perCrop)'!$S:$S,$A75,'Data(perSeason,perCrop)'!$O:$O,1,'Data(perSeason,perCrop)'!$C:$C,AA$52,'Data(perSeason,perCrop)'!$R:$R,"IRRIGATED"),"")</f>
        <v/>
      </c>
      <c r="AB75" s="59" t="str">
        <f>IFERROR(AVERAGEIFS('Data(perSeason,perCrop)'!$P:$P,'Data(perSeason,perCrop)'!$S:$S,$A75,'Data(perSeason,perCrop)'!$O:$O,1,'Data(perSeason,perCrop)'!$C:$C,AB$52,'Data(perSeason,perCrop)'!$R:$R,"IRRIGATED"),"")</f>
        <v/>
      </c>
      <c r="AC75" s="59" t="str">
        <f>IFERROR(AVERAGEIFS('Data(perSeason,perCrop)'!$P:$P,'Data(perSeason,perCrop)'!$S:$S,$A75,'Data(perSeason,perCrop)'!$O:$O,1,'Data(perSeason,perCrop)'!$C:$C,AC$52,'Data(perSeason,perCrop)'!$R:$R,"IRRIGATED"),"")</f>
        <v/>
      </c>
      <c r="AD75" s="59" t="str">
        <f>IFERROR(AVERAGEIFS('Data(perSeason,perCrop)'!$P:$P,'Data(perSeason,perCrop)'!$S:$S,$A75,'Data(perSeason,perCrop)'!$O:$O,1,'Data(perSeason,perCrop)'!$C:$C,AD$52,'Data(perSeason,perCrop)'!$R:$R,"IRRIGATED"),"")</f>
        <v/>
      </c>
      <c r="AE75" s="59" t="str">
        <f>IFERROR(AVERAGEIFS('Data(perSeason,perCrop)'!$P:$P,'Data(perSeason,perCrop)'!$S:$S,$A75,'Data(perSeason,perCrop)'!$O:$O,1,'Data(perSeason,perCrop)'!$C:$C,AE$52,'Data(perSeason,perCrop)'!$R:$R,"IRRIGATED"),"")</f>
        <v/>
      </c>
      <c r="AF75" s="59" t="str">
        <f>IFERROR(AVERAGEIFS('Data(perSeason,perCrop)'!$P:$P,'Data(perSeason,perCrop)'!$S:$S,$A75,'Data(perSeason,perCrop)'!$O:$O,1,'Data(perSeason,perCrop)'!$C:$C,AF$52,'Data(perSeason,perCrop)'!$R:$R,"IRRIGATED"),"")</f>
        <v/>
      </c>
    </row>
    <row r="76" spans="1:32" ht="18.75" x14ac:dyDescent="0.3">
      <c r="A76" s="42">
        <v>2021</v>
      </c>
      <c r="B76" s="59" t="str">
        <f>IFERROR(AVERAGEIFS('Data(perSeason,perCrop)'!$P:$P,'Data(perSeason,perCrop)'!$S:$S,$A76,'Data(perSeason,perCrop)'!$O:$O,1,'Data(perSeason,perCrop)'!$C:$C,B$52,'Data(perSeason,perCrop)'!$R:$R,"IRRIGATED"),"")</f>
        <v/>
      </c>
      <c r="C76" s="59">
        <f>IFERROR(AVERAGEIFS('Data(perSeason,perCrop)'!$P:$P,'Data(perSeason,perCrop)'!$S:$S,$A76,'Data(perSeason,perCrop)'!$O:$O,1,'Data(perSeason,perCrop)'!$C:$C,C$52,'Data(perSeason,perCrop)'!$R:$R,"IRRIGATED"),"")</f>
        <v>3727</v>
      </c>
      <c r="D76" s="59" t="str">
        <f>IFERROR(AVERAGEIFS('Data(perSeason,perCrop)'!$P:$P,'Data(perSeason,perCrop)'!$S:$S,$A76,'Data(perSeason,perCrop)'!$O:$O,1,'Data(perSeason,perCrop)'!$C:$C,D$52,'Data(perSeason,perCrop)'!$R:$R,"IRRIGATED"),"")</f>
        <v/>
      </c>
      <c r="E76" s="59" t="str">
        <f>IFERROR(AVERAGEIFS('Data(perSeason,perCrop)'!$P:$P,'Data(perSeason,perCrop)'!$S:$S,$A76,'Data(perSeason,perCrop)'!$O:$O,1,'Data(perSeason,perCrop)'!$C:$C,E$52,'Data(perSeason,perCrop)'!$R:$R,"IRRIGATED"),"")</f>
        <v/>
      </c>
      <c r="F76" s="59" t="str">
        <f>IFERROR(AVERAGEIFS('Data(perSeason,perCrop)'!$P:$P,'Data(perSeason,perCrop)'!$S:$S,$A76,'Data(perSeason,perCrop)'!$O:$O,1,'Data(perSeason,perCrop)'!$C:$C,F$52,'Data(perSeason,perCrop)'!$R:$R,"IRRIGATED"),"")</f>
        <v/>
      </c>
      <c r="G76" s="59" t="str">
        <f>IFERROR(AVERAGEIFS('Data(perSeason,perCrop)'!$P:$P,'Data(perSeason,perCrop)'!$S:$S,$A76,'Data(perSeason,perCrop)'!$O:$O,1,'Data(perSeason,perCrop)'!$C:$C,G$52,'Data(perSeason,perCrop)'!$R:$R,"IRRIGATED"),"")</f>
        <v/>
      </c>
      <c r="H76" s="59" t="str">
        <f>IFERROR(AVERAGEIFS('Data(perSeason,perCrop)'!$P:$P,'Data(perSeason,perCrop)'!$S:$S,$A76,'Data(perSeason,perCrop)'!$O:$O,1,'Data(perSeason,perCrop)'!$C:$C,H$52,'Data(perSeason,perCrop)'!$R:$R,"IRRIGATED"),"")</f>
        <v/>
      </c>
      <c r="I76" s="59" t="str">
        <f>IFERROR(AVERAGEIFS('Data(perSeason,perCrop)'!$P:$P,'Data(perSeason,perCrop)'!$S:$S,$A76,'Data(perSeason,perCrop)'!$O:$O,1,'Data(perSeason,perCrop)'!$C:$C,I$52,'Data(perSeason,perCrop)'!$R:$R,"IRRIGATED"),"")</f>
        <v/>
      </c>
      <c r="J76" s="59" t="str">
        <f>IFERROR(AVERAGEIFS('Data(perSeason,perCrop)'!$P:$P,'Data(perSeason,perCrop)'!$S:$S,$A76,'Data(perSeason,perCrop)'!$O:$O,1,'Data(perSeason,perCrop)'!$C:$C,J$52,'Data(perSeason,perCrop)'!$R:$R,"IRRIGATED"),"")</f>
        <v/>
      </c>
      <c r="K76" s="59" t="str">
        <f>IFERROR(AVERAGEIFS('Data(perSeason,perCrop)'!$P:$P,'Data(perSeason,perCrop)'!$S:$S,$A76,'Data(perSeason,perCrop)'!$O:$O,1,'Data(perSeason,perCrop)'!$C:$C,K$52,'Data(perSeason,perCrop)'!$R:$R,"IRRIGATED"),"")</f>
        <v/>
      </c>
      <c r="L76" s="59" t="str">
        <f>IFERROR(AVERAGEIFS('Data(perSeason,perCrop)'!$P:$P,'Data(perSeason,perCrop)'!$S:$S,$A76,'Data(perSeason,perCrop)'!$O:$O,1,'Data(perSeason,perCrop)'!$C:$C,L$52,'Data(perSeason,perCrop)'!$R:$R,"IRRIGATED"),"")</f>
        <v/>
      </c>
      <c r="M76" s="59" t="str">
        <f>IFERROR(AVERAGEIFS('Data(perSeason,perCrop)'!$P:$P,'Data(perSeason,perCrop)'!$S:$S,$A76,'Data(perSeason,perCrop)'!$O:$O,1,'Data(perSeason,perCrop)'!$C:$C,M$52,'Data(perSeason,perCrop)'!$R:$R,"IRRIGATED"),"")</f>
        <v/>
      </c>
      <c r="N76" s="59" t="str">
        <f>IFERROR(AVERAGEIFS('Data(perSeason,perCrop)'!$P:$P,'Data(perSeason,perCrop)'!$S:$S,$A76,'Data(perSeason,perCrop)'!$O:$O,1,'Data(perSeason,perCrop)'!$C:$C,N$52,'Data(perSeason,perCrop)'!$R:$R,"IRRIGATED"),"")</f>
        <v/>
      </c>
      <c r="O76" s="59">
        <f>IFERROR(AVERAGEIFS('Data(perSeason,perCrop)'!$P:$P,'Data(perSeason,perCrop)'!$S:$S,$A76,'Data(perSeason,perCrop)'!$O:$O,1,'Data(perSeason,perCrop)'!$C:$C,O$52,'Data(perSeason,perCrop)'!$R:$R,"IRRIGATED"),"")</f>
        <v>4500</v>
      </c>
      <c r="P76" s="59">
        <f>IFERROR(AVERAGEIFS('Data(perSeason,perCrop)'!$P:$P,'Data(perSeason,perCrop)'!$S:$S,$A76,'Data(perSeason,perCrop)'!$O:$O,1,'Data(perSeason,perCrop)'!$C:$C,P$52,'Data(perSeason,perCrop)'!$R:$R,"IRRIGATED"),"")</f>
        <v>4153</v>
      </c>
      <c r="Q76" s="59" t="str">
        <f>IFERROR(AVERAGEIFS('Data(perSeason,perCrop)'!$P:$P,'Data(perSeason,perCrop)'!$S:$S,$A76,'Data(perSeason,perCrop)'!$O:$O,1,'Data(perSeason,perCrop)'!$C:$C,Q$52,'Data(perSeason,perCrop)'!$R:$R,"IRRIGATED"),"")</f>
        <v/>
      </c>
      <c r="R76" s="59">
        <f>IFERROR(AVERAGEIFS('Data(perSeason,perCrop)'!$P:$P,'Data(perSeason,perCrop)'!$S:$S,$A76,'Data(perSeason,perCrop)'!$O:$O,1,'Data(perSeason,perCrop)'!$C:$C,R$52,'Data(perSeason,perCrop)'!$R:$R,"IRRIGATED"),"")</f>
        <v>3775</v>
      </c>
      <c r="S76" s="59" t="str">
        <f>IFERROR(AVERAGEIFS('Data(perSeason,perCrop)'!$P:$P,'Data(perSeason,perCrop)'!$S:$S,$A76,'Data(perSeason,perCrop)'!$O:$O,1,'Data(perSeason,perCrop)'!$C:$C,S$52,'Data(perSeason,perCrop)'!$R:$R,"IRRIGATED"),"")</f>
        <v/>
      </c>
      <c r="T76" s="59" t="str">
        <f>IFERROR(AVERAGEIFS('Data(perSeason,perCrop)'!$P:$P,'Data(perSeason,perCrop)'!$S:$S,$A76,'Data(perSeason,perCrop)'!$O:$O,1,'Data(perSeason,perCrop)'!$C:$C,T$52,'Data(perSeason,perCrop)'!$R:$R,"IRRIGATED"),"")</f>
        <v/>
      </c>
      <c r="U76" s="59">
        <f>IFERROR(AVERAGEIFS('Data(perSeason,perCrop)'!$P:$P,'Data(perSeason,perCrop)'!$S:$S,$A76,'Data(perSeason,perCrop)'!$O:$O,1,'Data(perSeason,perCrop)'!$C:$C,U$52,'Data(perSeason,perCrop)'!$R:$R,"IRRIGATED"),"")</f>
        <v>4091</v>
      </c>
      <c r="V76" s="59" t="str">
        <f>IFERROR(AVERAGEIFS('Data(perSeason,perCrop)'!$P:$P,'Data(perSeason,perCrop)'!$S:$S,$A76,'Data(perSeason,perCrop)'!$O:$O,1,'Data(perSeason,perCrop)'!$C:$C,V$52,'Data(perSeason,perCrop)'!$R:$R,"IRRIGATED"),"")</f>
        <v/>
      </c>
      <c r="W76" s="59" t="str">
        <f>IFERROR(AVERAGEIFS('Data(perSeason,perCrop)'!$P:$P,'Data(perSeason,perCrop)'!$S:$S,$A76,'Data(perSeason,perCrop)'!$O:$O,1,'Data(perSeason,perCrop)'!$C:$C,W$52,'Data(perSeason,perCrop)'!$R:$R,"IRRIGATED"),"")</f>
        <v/>
      </c>
      <c r="X76" s="59" t="str">
        <f>IFERROR(AVERAGEIFS('Data(perSeason,perCrop)'!$P:$P,'Data(perSeason,perCrop)'!$S:$S,$A76,'Data(perSeason,perCrop)'!$O:$O,1,'Data(perSeason,perCrop)'!$C:$C,X$52,'Data(perSeason,perCrop)'!$R:$R,"IRRIGATED"),"")</f>
        <v/>
      </c>
      <c r="Y76" s="59" t="str">
        <f>IFERROR(AVERAGEIFS('Data(perSeason,perCrop)'!$P:$P,'Data(perSeason,perCrop)'!$S:$S,$A76,'Data(perSeason,perCrop)'!$O:$O,1,'Data(perSeason,perCrop)'!$C:$C,Y$52,'Data(perSeason,perCrop)'!$R:$R,"IRRIGATED"),"")</f>
        <v/>
      </c>
      <c r="Z76" s="59" t="str">
        <f>IFERROR(AVERAGEIFS('Data(perSeason,perCrop)'!$P:$P,'Data(perSeason,perCrop)'!$S:$S,$A76,'Data(perSeason,perCrop)'!$O:$O,1,'Data(perSeason,perCrop)'!$C:$C,Z$52,'Data(perSeason,perCrop)'!$R:$R,"IRRIGATED"),"")</f>
        <v/>
      </c>
      <c r="AA76" s="59" t="str">
        <f>IFERROR(AVERAGEIFS('Data(perSeason,perCrop)'!$P:$P,'Data(perSeason,perCrop)'!$S:$S,$A76,'Data(perSeason,perCrop)'!$O:$O,1,'Data(perSeason,perCrop)'!$C:$C,AA$52,'Data(perSeason,perCrop)'!$R:$R,"IRRIGATED"),"")</f>
        <v/>
      </c>
      <c r="AB76" s="59" t="str">
        <f>IFERROR(AVERAGEIFS('Data(perSeason,perCrop)'!$P:$P,'Data(perSeason,perCrop)'!$S:$S,$A76,'Data(perSeason,perCrop)'!$O:$O,1,'Data(perSeason,perCrop)'!$C:$C,AB$52,'Data(perSeason,perCrop)'!$R:$R,"IRRIGATED"),"")</f>
        <v/>
      </c>
      <c r="AC76" s="59" t="str">
        <f>IFERROR(AVERAGEIFS('Data(perSeason,perCrop)'!$P:$P,'Data(perSeason,perCrop)'!$S:$S,$A76,'Data(perSeason,perCrop)'!$O:$O,1,'Data(perSeason,perCrop)'!$C:$C,AC$52,'Data(perSeason,perCrop)'!$R:$R,"IRRIGATED"),"")</f>
        <v/>
      </c>
      <c r="AD76" s="59" t="str">
        <f>IFERROR(AVERAGEIFS('Data(perSeason,perCrop)'!$P:$P,'Data(perSeason,perCrop)'!$S:$S,$A76,'Data(perSeason,perCrop)'!$O:$O,1,'Data(perSeason,perCrop)'!$C:$C,AD$52,'Data(perSeason,perCrop)'!$R:$R,"IRRIGATED"),"")</f>
        <v/>
      </c>
      <c r="AE76" s="59" t="str">
        <f>IFERROR(AVERAGEIFS('Data(perSeason,perCrop)'!$P:$P,'Data(perSeason,perCrop)'!$S:$S,$A76,'Data(perSeason,perCrop)'!$O:$O,1,'Data(perSeason,perCrop)'!$C:$C,AE$52,'Data(perSeason,perCrop)'!$R:$R,"IRRIGATED"),"")</f>
        <v/>
      </c>
      <c r="AF76" s="59" t="str">
        <f>IFERROR(AVERAGEIFS('Data(perSeason,perCrop)'!$P:$P,'Data(perSeason,perCrop)'!$S:$S,$A76,'Data(perSeason,perCrop)'!$O:$O,1,'Data(perSeason,perCrop)'!$C:$C,AF$52,'Data(perSeason,perCrop)'!$R:$R,"IRRIGATED"),"")</f>
        <v/>
      </c>
    </row>
    <row r="77" spans="1:32" ht="18.75" x14ac:dyDescent="0.3">
      <c r="A77" s="42">
        <v>2022</v>
      </c>
      <c r="B77" s="59" t="str">
        <f>IFERROR(AVERAGEIFS('Data(perSeason,perCrop)'!$P:$P,'Data(perSeason,perCrop)'!$S:$S,$A77,'Data(perSeason,perCrop)'!$O:$O,1,'Data(perSeason,perCrop)'!$C:$C,B$52,'Data(perSeason,perCrop)'!$R:$R,"IRRIGATED"),"")</f>
        <v/>
      </c>
      <c r="C77" s="59">
        <f>IFERROR(AVERAGEIFS('Data(perSeason,perCrop)'!$P:$P,'Data(perSeason,perCrop)'!$S:$S,$A77,'Data(perSeason,perCrop)'!$O:$O,1,'Data(perSeason,perCrop)'!$C:$C,C$52,'Data(perSeason,perCrop)'!$R:$R,"IRRIGATED"),"")</f>
        <v>4615</v>
      </c>
      <c r="D77" s="59" t="str">
        <f>IFERROR(AVERAGEIFS('Data(perSeason,perCrop)'!$P:$P,'Data(perSeason,perCrop)'!$S:$S,$A77,'Data(perSeason,perCrop)'!$O:$O,1,'Data(perSeason,perCrop)'!$C:$C,D$52,'Data(perSeason,perCrop)'!$R:$R,"IRRIGATED"),"")</f>
        <v/>
      </c>
      <c r="E77" s="59" t="str">
        <f>IFERROR(AVERAGEIFS('Data(perSeason,perCrop)'!$P:$P,'Data(perSeason,perCrop)'!$S:$S,$A77,'Data(perSeason,perCrop)'!$O:$O,1,'Data(perSeason,perCrop)'!$C:$C,E$52,'Data(perSeason,perCrop)'!$R:$R,"IRRIGATED"),"")</f>
        <v/>
      </c>
      <c r="F77" s="59" t="str">
        <f>IFERROR(AVERAGEIFS('Data(perSeason,perCrop)'!$P:$P,'Data(perSeason,perCrop)'!$S:$S,$A77,'Data(perSeason,perCrop)'!$O:$O,1,'Data(perSeason,perCrop)'!$C:$C,F$52,'Data(perSeason,perCrop)'!$R:$R,"IRRIGATED"),"")</f>
        <v/>
      </c>
      <c r="G77" s="59" t="str">
        <f>IFERROR(AVERAGEIFS('Data(perSeason,perCrop)'!$P:$P,'Data(perSeason,perCrop)'!$S:$S,$A77,'Data(perSeason,perCrop)'!$O:$O,1,'Data(perSeason,perCrop)'!$C:$C,G$52,'Data(perSeason,perCrop)'!$R:$R,"IRRIGATED"),"")</f>
        <v/>
      </c>
      <c r="H77" s="59" t="str">
        <f>IFERROR(AVERAGEIFS('Data(perSeason,perCrop)'!$P:$P,'Data(perSeason,perCrop)'!$S:$S,$A77,'Data(perSeason,perCrop)'!$O:$O,1,'Data(perSeason,perCrop)'!$C:$C,H$52,'Data(perSeason,perCrop)'!$R:$R,"IRRIGATED"),"")</f>
        <v/>
      </c>
      <c r="I77" s="59" t="str">
        <f>IFERROR(AVERAGEIFS('Data(perSeason,perCrop)'!$P:$P,'Data(perSeason,perCrop)'!$S:$S,$A77,'Data(perSeason,perCrop)'!$O:$O,1,'Data(perSeason,perCrop)'!$C:$C,I$52,'Data(perSeason,perCrop)'!$R:$R,"IRRIGATED"),"")</f>
        <v/>
      </c>
      <c r="J77" s="59" t="str">
        <f>IFERROR(AVERAGEIFS('Data(perSeason,perCrop)'!$P:$P,'Data(perSeason,perCrop)'!$S:$S,$A77,'Data(perSeason,perCrop)'!$O:$O,1,'Data(perSeason,perCrop)'!$C:$C,J$52,'Data(perSeason,perCrop)'!$R:$R,"IRRIGATED"),"")</f>
        <v/>
      </c>
      <c r="K77" s="59" t="str">
        <f>IFERROR(AVERAGEIFS('Data(perSeason,perCrop)'!$P:$P,'Data(perSeason,perCrop)'!$S:$S,$A77,'Data(perSeason,perCrop)'!$O:$O,1,'Data(perSeason,perCrop)'!$C:$C,K$52,'Data(perSeason,perCrop)'!$R:$R,"IRRIGATED"),"")</f>
        <v/>
      </c>
      <c r="L77" s="59" t="str">
        <f>IFERROR(AVERAGEIFS('Data(perSeason,perCrop)'!$P:$P,'Data(perSeason,perCrop)'!$S:$S,$A77,'Data(perSeason,perCrop)'!$O:$O,1,'Data(perSeason,perCrop)'!$C:$C,L$52,'Data(perSeason,perCrop)'!$R:$R,"IRRIGATED"),"")</f>
        <v/>
      </c>
      <c r="M77" s="59" t="str">
        <f>IFERROR(AVERAGEIFS('Data(perSeason,perCrop)'!$P:$P,'Data(perSeason,perCrop)'!$S:$S,$A77,'Data(perSeason,perCrop)'!$O:$O,1,'Data(perSeason,perCrop)'!$C:$C,M$52,'Data(perSeason,perCrop)'!$R:$R,"IRRIGATED"),"")</f>
        <v/>
      </c>
      <c r="N77" s="59" t="str">
        <f>IFERROR(AVERAGEIFS('Data(perSeason,perCrop)'!$P:$P,'Data(perSeason,perCrop)'!$S:$S,$A77,'Data(perSeason,perCrop)'!$O:$O,1,'Data(perSeason,perCrop)'!$C:$C,N$52,'Data(perSeason,perCrop)'!$R:$R,"IRRIGATED"),"")</f>
        <v/>
      </c>
      <c r="O77" s="59">
        <f>IFERROR(AVERAGEIFS('Data(perSeason,perCrop)'!$P:$P,'Data(perSeason,perCrop)'!$S:$S,$A77,'Data(perSeason,perCrop)'!$O:$O,1,'Data(perSeason,perCrop)'!$C:$C,O$52,'Data(perSeason,perCrop)'!$R:$R,"IRRIGATED"),"")</f>
        <v>4461</v>
      </c>
      <c r="P77" s="59">
        <f>IFERROR(AVERAGEIFS('Data(perSeason,perCrop)'!$P:$P,'Data(perSeason,perCrop)'!$S:$S,$A77,'Data(perSeason,perCrop)'!$O:$O,1,'Data(perSeason,perCrop)'!$C:$C,P$52,'Data(perSeason,perCrop)'!$R:$R,"IRRIGATED"),"")</f>
        <v>5013</v>
      </c>
      <c r="Q77" s="59" t="str">
        <f>IFERROR(AVERAGEIFS('Data(perSeason,perCrop)'!$P:$P,'Data(perSeason,perCrop)'!$S:$S,$A77,'Data(perSeason,perCrop)'!$O:$O,1,'Data(perSeason,perCrop)'!$C:$C,Q$52,'Data(perSeason,perCrop)'!$R:$R,"IRRIGATED"),"")</f>
        <v/>
      </c>
      <c r="R77" s="59">
        <f>IFERROR(AVERAGEIFS('Data(perSeason,perCrop)'!$P:$P,'Data(perSeason,perCrop)'!$S:$S,$A77,'Data(perSeason,perCrop)'!$O:$O,1,'Data(perSeason,perCrop)'!$C:$C,R$52,'Data(perSeason,perCrop)'!$R:$R,"IRRIGATED"),"")</f>
        <v>4874</v>
      </c>
      <c r="S77" s="59" t="str">
        <f>IFERROR(AVERAGEIFS('Data(perSeason,perCrop)'!$P:$P,'Data(perSeason,perCrop)'!$S:$S,$A77,'Data(perSeason,perCrop)'!$O:$O,1,'Data(perSeason,perCrop)'!$C:$C,S$52,'Data(perSeason,perCrop)'!$R:$R,"IRRIGATED"),"")</f>
        <v/>
      </c>
      <c r="T77" s="59" t="str">
        <f>IFERROR(AVERAGEIFS('Data(perSeason,perCrop)'!$P:$P,'Data(perSeason,perCrop)'!$S:$S,$A77,'Data(perSeason,perCrop)'!$O:$O,1,'Data(perSeason,perCrop)'!$C:$C,T$52,'Data(perSeason,perCrop)'!$R:$R,"IRRIGATED"),"")</f>
        <v/>
      </c>
      <c r="U77" s="59">
        <f>IFERROR(AVERAGEIFS('Data(perSeason,perCrop)'!$P:$P,'Data(perSeason,perCrop)'!$S:$S,$A77,'Data(perSeason,perCrop)'!$O:$O,1,'Data(perSeason,perCrop)'!$C:$C,U$52,'Data(perSeason,perCrop)'!$R:$R,"IRRIGATED"),"")</f>
        <v>4806</v>
      </c>
      <c r="V77" s="59" t="str">
        <f>IFERROR(AVERAGEIFS('Data(perSeason,perCrop)'!$P:$P,'Data(perSeason,perCrop)'!$S:$S,$A77,'Data(perSeason,perCrop)'!$O:$O,1,'Data(perSeason,perCrop)'!$C:$C,V$52,'Data(perSeason,perCrop)'!$R:$R,"IRRIGATED"),"")</f>
        <v/>
      </c>
      <c r="W77" s="59" t="str">
        <f>IFERROR(AVERAGEIFS('Data(perSeason,perCrop)'!$P:$P,'Data(perSeason,perCrop)'!$S:$S,$A77,'Data(perSeason,perCrop)'!$O:$O,1,'Data(perSeason,perCrop)'!$C:$C,W$52,'Data(perSeason,perCrop)'!$R:$R,"IRRIGATED"),"")</f>
        <v/>
      </c>
      <c r="X77" s="59" t="str">
        <f>IFERROR(AVERAGEIFS('Data(perSeason,perCrop)'!$P:$P,'Data(perSeason,perCrop)'!$S:$S,$A77,'Data(perSeason,perCrop)'!$O:$O,1,'Data(perSeason,perCrop)'!$C:$C,X$52,'Data(perSeason,perCrop)'!$R:$R,"IRRIGATED"),"")</f>
        <v/>
      </c>
      <c r="Y77" s="59" t="str">
        <f>IFERROR(AVERAGEIFS('Data(perSeason,perCrop)'!$P:$P,'Data(perSeason,perCrop)'!$S:$S,$A77,'Data(perSeason,perCrop)'!$O:$O,1,'Data(perSeason,perCrop)'!$C:$C,Y$52,'Data(perSeason,perCrop)'!$R:$R,"IRRIGATED"),"")</f>
        <v/>
      </c>
      <c r="Z77" s="59" t="str">
        <f>IFERROR(AVERAGEIFS('Data(perSeason,perCrop)'!$P:$P,'Data(perSeason,perCrop)'!$S:$S,$A77,'Data(perSeason,perCrop)'!$O:$O,1,'Data(perSeason,perCrop)'!$C:$C,Z$52,'Data(perSeason,perCrop)'!$R:$R,"IRRIGATED"),"")</f>
        <v/>
      </c>
      <c r="AA77" s="59" t="str">
        <f>IFERROR(AVERAGEIFS('Data(perSeason,perCrop)'!$P:$P,'Data(perSeason,perCrop)'!$S:$S,$A77,'Data(perSeason,perCrop)'!$O:$O,1,'Data(perSeason,perCrop)'!$C:$C,AA$52,'Data(perSeason,perCrop)'!$R:$R,"IRRIGATED"),"")</f>
        <v/>
      </c>
      <c r="AB77" s="59" t="str">
        <f>IFERROR(AVERAGEIFS('Data(perSeason,perCrop)'!$P:$P,'Data(perSeason,perCrop)'!$S:$S,$A77,'Data(perSeason,perCrop)'!$O:$O,1,'Data(perSeason,perCrop)'!$C:$C,AB$52,'Data(perSeason,perCrop)'!$R:$R,"IRRIGATED"),"")</f>
        <v/>
      </c>
      <c r="AC77" s="59" t="str">
        <f>IFERROR(AVERAGEIFS('Data(perSeason,perCrop)'!$P:$P,'Data(perSeason,perCrop)'!$S:$S,$A77,'Data(perSeason,perCrop)'!$O:$O,1,'Data(perSeason,perCrop)'!$C:$C,AC$52,'Data(perSeason,perCrop)'!$R:$R,"IRRIGATED"),"")</f>
        <v/>
      </c>
      <c r="AD77" s="59" t="str">
        <f>IFERROR(AVERAGEIFS('Data(perSeason,perCrop)'!$P:$P,'Data(perSeason,perCrop)'!$S:$S,$A77,'Data(perSeason,perCrop)'!$O:$O,1,'Data(perSeason,perCrop)'!$C:$C,AD$52,'Data(perSeason,perCrop)'!$R:$R,"IRRIGATED"),"")</f>
        <v/>
      </c>
      <c r="AE77" s="59" t="str">
        <f>IFERROR(AVERAGEIFS('Data(perSeason,perCrop)'!$P:$P,'Data(perSeason,perCrop)'!$S:$S,$A77,'Data(perSeason,perCrop)'!$O:$O,1,'Data(perSeason,perCrop)'!$C:$C,AE$52,'Data(perSeason,perCrop)'!$R:$R,"IRRIGATED"),"")</f>
        <v/>
      </c>
      <c r="AF77" s="59" t="str">
        <f>IFERROR(AVERAGEIFS('Data(perSeason,perCrop)'!$P:$P,'Data(perSeason,perCrop)'!$S:$S,$A77,'Data(perSeason,perCrop)'!$O:$O,1,'Data(perSeason,perCrop)'!$C:$C,AF$52,'Data(perSeason,perCrop)'!$R:$R,"IRRIGATED"),"")</f>
        <v/>
      </c>
    </row>
    <row r="78" spans="1:32" ht="18.75" x14ac:dyDescent="0.3">
      <c r="A78" s="47" t="s">
        <v>184</v>
      </c>
      <c r="B78" s="48" t="str">
        <f>IFERROR(AVERAGE(B73:B77),"")</f>
        <v/>
      </c>
      <c r="C78" s="48">
        <f t="shared" ref="C78:AF78" si="9">IFERROR(AVERAGE(C73:C77),"")</f>
        <v>4652</v>
      </c>
      <c r="D78" s="48" t="str">
        <f t="shared" si="9"/>
        <v/>
      </c>
      <c r="E78" s="48" t="str">
        <f t="shared" si="9"/>
        <v/>
      </c>
      <c r="F78" s="48" t="str">
        <f t="shared" si="9"/>
        <v/>
      </c>
      <c r="G78" s="48" t="str">
        <f t="shared" si="9"/>
        <v/>
      </c>
      <c r="H78" s="48" t="str">
        <f t="shared" si="9"/>
        <v/>
      </c>
      <c r="I78" s="48" t="str">
        <f t="shared" si="9"/>
        <v/>
      </c>
      <c r="J78" s="48" t="str">
        <f t="shared" si="9"/>
        <v/>
      </c>
      <c r="K78" s="48" t="str">
        <f t="shared" si="9"/>
        <v/>
      </c>
      <c r="L78" s="48" t="str">
        <f t="shared" si="9"/>
        <v/>
      </c>
      <c r="M78" s="48" t="str">
        <f t="shared" si="9"/>
        <v/>
      </c>
      <c r="N78" s="48" t="str">
        <f t="shared" si="9"/>
        <v/>
      </c>
      <c r="O78" s="48">
        <f t="shared" si="9"/>
        <v>5187</v>
      </c>
      <c r="P78" s="48">
        <f t="shared" si="9"/>
        <v>4818.3999999999996</v>
      </c>
      <c r="Q78" s="48" t="str">
        <f t="shared" si="9"/>
        <v/>
      </c>
      <c r="R78" s="48">
        <f t="shared" si="9"/>
        <v>4786</v>
      </c>
      <c r="S78" s="48" t="str">
        <f t="shared" si="9"/>
        <v/>
      </c>
      <c r="T78" s="48" t="str">
        <f t="shared" si="9"/>
        <v/>
      </c>
      <c r="U78" s="48">
        <f t="shared" si="9"/>
        <v>4871.8</v>
      </c>
      <c r="V78" s="48" t="str">
        <f t="shared" si="9"/>
        <v/>
      </c>
      <c r="W78" s="48" t="str">
        <f t="shared" si="9"/>
        <v/>
      </c>
      <c r="X78" s="48" t="str">
        <f t="shared" si="9"/>
        <v/>
      </c>
      <c r="Y78" s="48" t="str">
        <f t="shared" si="9"/>
        <v/>
      </c>
      <c r="Z78" s="48" t="str">
        <f t="shared" si="9"/>
        <v/>
      </c>
      <c r="AA78" s="48" t="str">
        <f t="shared" si="9"/>
        <v/>
      </c>
      <c r="AB78" s="48" t="str">
        <f t="shared" si="9"/>
        <v/>
      </c>
      <c r="AC78" s="48" t="str">
        <f t="shared" si="9"/>
        <v/>
      </c>
      <c r="AD78" s="48" t="str">
        <f t="shared" si="9"/>
        <v/>
      </c>
      <c r="AE78" s="48" t="str">
        <f t="shared" si="9"/>
        <v/>
      </c>
      <c r="AF78" s="48" t="str">
        <f t="shared" si="9"/>
        <v/>
      </c>
    </row>
    <row r="80" spans="1:32" ht="18.75" x14ac:dyDescent="0.3">
      <c r="A80" s="42" t="s">
        <v>3</v>
      </c>
      <c r="B80" s="58" t="s">
        <v>47</v>
      </c>
      <c r="C80" s="58" t="s">
        <v>57</v>
      </c>
      <c r="D80" s="58" t="s">
        <v>110</v>
      </c>
      <c r="E80" s="58" t="s">
        <v>50</v>
      </c>
      <c r="F80" s="58" t="s">
        <v>58</v>
      </c>
      <c r="G80" s="58" t="s">
        <v>51</v>
      </c>
      <c r="H80" s="58" t="s">
        <v>97</v>
      </c>
      <c r="I80" s="58" t="s">
        <v>52</v>
      </c>
      <c r="J80" s="58" t="s">
        <v>59</v>
      </c>
      <c r="K80" s="58" t="s">
        <v>111</v>
      </c>
      <c r="L80" s="58" t="s">
        <v>54</v>
      </c>
      <c r="M80" s="58" t="s">
        <v>112</v>
      </c>
      <c r="N80" s="58" t="s">
        <v>48</v>
      </c>
      <c r="O80" s="58" t="s">
        <v>53</v>
      </c>
      <c r="P80" s="58" t="s">
        <v>49</v>
      </c>
      <c r="Q80" s="58" t="s">
        <v>56</v>
      </c>
      <c r="R80" s="58" t="s">
        <v>102</v>
      </c>
      <c r="S80" s="58" t="s">
        <v>103</v>
      </c>
      <c r="T80" s="58" t="s">
        <v>101</v>
      </c>
      <c r="U80" s="58" t="s">
        <v>106</v>
      </c>
      <c r="V80" s="58" t="s">
        <v>113</v>
      </c>
      <c r="W80" s="58" t="s">
        <v>114</v>
      </c>
      <c r="X80" s="58" t="s">
        <v>115</v>
      </c>
      <c r="Y80" s="58" t="s">
        <v>116</v>
      </c>
      <c r="Z80" s="58" t="s">
        <v>107</v>
      </c>
      <c r="AA80" s="58" t="s">
        <v>104</v>
      </c>
      <c r="AB80" s="58" t="s">
        <v>117</v>
      </c>
      <c r="AC80" s="58" t="s">
        <v>118</v>
      </c>
      <c r="AD80" s="58" t="s">
        <v>119</v>
      </c>
      <c r="AE80" s="58" t="s">
        <v>108</v>
      </c>
      <c r="AF80" s="58" t="s">
        <v>105</v>
      </c>
    </row>
    <row r="81" spans="1:32" ht="18.75" x14ac:dyDescent="0.3">
      <c r="A81" s="42" t="s">
        <v>183</v>
      </c>
      <c r="B81" s="42">
        <v>1</v>
      </c>
      <c r="C81" s="42">
        <v>2</v>
      </c>
      <c r="D81" s="42">
        <v>3</v>
      </c>
      <c r="E81" s="42">
        <v>4</v>
      </c>
      <c r="F81" s="42">
        <v>5</v>
      </c>
      <c r="G81" s="42">
        <v>6</v>
      </c>
      <c r="H81" s="42">
        <v>7</v>
      </c>
      <c r="I81" s="42">
        <v>8</v>
      </c>
      <c r="J81" s="42">
        <v>9</v>
      </c>
      <c r="K81" s="42">
        <v>10</v>
      </c>
      <c r="L81" s="42">
        <v>11</v>
      </c>
      <c r="M81" s="42">
        <v>12</v>
      </c>
      <c r="N81" s="42">
        <v>13</v>
      </c>
      <c r="O81" s="42">
        <v>14</v>
      </c>
      <c r="P81" s="42">
        <v>15</v>
      </c>
      <c r="Q81" s="42">
        <v>16</v>
      </c>
      <c r="R81" s="42">
        <v>17</v>
      </c>
      <c r="S81" s="42">
        <v>18</v>
      </c>
      <c r="T81" s="42">
        <v>19</v>
      </c>
      <c r="U81" s="42">
        <v>20</v>
      </c>
      <c r="V81" s="42">
        <v>21</v>
      </c>
      <c r="W81" s="42">
        <v>22</v>
      </c>
      <c r="X81" s="42">
        <v>23</v>
      </c>
      <c r="Y81" s="42">
        <v>24</v>
      </c>
      <c r="Z81" s="42">
        <v>25</v>
      </c>
      <c r="AA81" s="42">
        <v>40</v>
      </c>
      <c r="AB81" s="42">
        <v>41</v>
      </c>
      <c r="AC81" s="42">
        <v>42</v>
      </c>
      <c r="AD81" s="42">
        <v>43</v>
      </c>
      <c r="AE81" s="42">
        <v>44</v>
      </c>
      <c r="AF81" s="42">
        <v>45</v>
      </c>
    </row>
    <row r="82" spans="1:32" ht="18.75" x14ac:dyDescent="0.3">
      <c r="A82" s="42">
        <v>2018</v>
      </c>
      <c r="B82" s="68" t="str">
        <f t="shared" ref="B82:AF82" si="10">IF(ISNUMBER(B64)=TRUE,B73/(B64*(1/1000*10000)),"")</f>
        <v/>
      </c>
      <c r="C82" s="68">
        <f t="shared" si="10"/>
        <v>2.1795847750865054</v>
      </c>
      <c r="D82" s="68" t="str">
        <f t="shared" si="10"/>
        <v/>
      </c>
      <c r="E82" s="68" t="str">
        <f t="shared" si="10"/>
        <v/>
      </c>
      <c r="F82" s="68" t="str">
        <f t="shared" si="10"/>
        <v/>
      </c>
      <c r="G82" s="68" t="str">
        <f t="shared" si="10"/>
        <v/>
      </c>
      <c r="H82" s="68" t="str">
        <f t="shared" si="10"/>
        <v/>
      </c>
      <c r="I82" s="68" t="str">
        <f t="shared" si="10"/>
        <v/>
      </c>
      <c r="J82" s="68" t="str">
        <f t="shared" si="10"/>
        <v/>
      </c>
      <c r="K82" s="68" t="str">
        <f t="shared" si="10"/>
        <v/>
      </c>
      <c r="L82" s="68" t="str">
        <f t="shared" si="10"/>
        <v/>
      </c>
      <c r="M82" s="68" t="str">
        <f t="shared" si="10"/>
        <v/>
      </c>
      <c r="N82" s="68" t="str">
        <f t="shared" si="10"/>
        <v/>
      </c>
      <c r="O82" s="68">
        <f t="shared" si="10"/>
        <v>1.9450292397660818</v>
      </c>
      <c r="P82" s="68">
        <f t="shared" si="10"/>
        <v>2.1555555555555554</v>
      </c>
      <c r="Q82" s="68" t="str">
        <f t="shared" si="10"/>
        <v/>
      </c>
      <c r="R82" s="68">
        <f t="shared" si="10"/>
        <v>2.1752613240418119</v>
      </c>
      <c r="S82" s="68" t="str">
        <f t="shared" si="10"/>
        <v/>
      </c>
      <c r="T82" s="68" t="str">
        <f t="shared" si="10"/>
        <v/>
      </c>
      <c r="U82" s="68">
        <f t="shared" si="10"/>
        <v>2.1125827814569536</v>
      </c>
      <c r="V82" s="68" t="str">
        <f t="shared" si="10"/>
        <v/>
      </c>
      <c r="W82" s="68" t="str">
        <f t="shared" si="10"/>
        <v/>
      </c>
      <c r="X82" s="68" t="str">
        <f t="shared" si="10"/>
        <v/>
      </c>
      <c r="Y82" s="68" t="str">
        <f t="shared" si="10"/>
        <v/>
      </c>
      <c r="Z82" s="68" t="str">
        <f t="shared" si="10"/>
        <v/>
      </c>
      <c r="AA82" s="68" t="str">
        <f t="shared" si="10"/>
        <v/>
      </c>
      <c r="AB82" s="68" t="str">
        <f t="shared" si="10"/>
        <v/>
      </c>
      <c r="AC82" s="68" t="str">
        <f t="shared" si="10"/>
        <v/>
      </c>
      <c r="AD82" s="68" t="str">
        <f t="shared" si="10"/>
        <v/>
      </c>
      <c r="AE82" s="68" t="str">
        <f t="shared" si="10"/>
        <v/>
      </c>
      <c r="AF82" s="68" t="str">
        <f t="shared" si="10"/>
        <v/>
      </c>
    </row>
    <row r="83" spans="1:32" ht="18.75" x14ac:dyDescent="0.3">
      <c r="A83" s="42">
        <v>2019</v>
      </c>
      <c r="B83" s="68" t="str">
        <f t="shared" ref="B83:AF83" si="11">IF(ISNUMBER(B65)=TRUE,B74/(B65*(1/1000*10000)),"")</f>
        <v/>
      </c>
      <c r="C83" s="68">
        <f t="shared" si="11"/>
        <v>1.7554621848739496</v>
      </c>
      <c r="D83" s="68" t="str">
        <f t="shared" si="11"/>
        <v/>
      </c>
      <c r="E83" s="68" t="str">
        <f t="shared" si="11"/>
        <v/>
      </c>
      <c r="F83" s="68" t="str">
        <f t="shared" si="11"/>
        <v/>
      </c>
      <c r="G83" s="68" t="str">
        <f t="shared" si="11"/>
        <v/>
      </c>
      <c r="H83" s="68" t="str">
        <f t="shared" si="11"/>
        <v/>
      </c>
      <c r="I83" s="68" t="str">
        <f t="shared" si="11"/>
        <v/>
      </c>
      <c r="J83" s="68" t="str">
        <f t="shared" si="11"/>
        <v/>
      </c>
      <c r="K83" s="68" t="str">
        <f t="shared" si="11"/>
        <v/>
      </c>
      <c r="L83" s="68" t="str">
        <f t="shared" si="11"/>
        <v/>
      </c>
      <c r="M83" s="68" t="str">
        <f t="shared" si="11"/>
        <v/>
      </c>
      <c r="N83" s="68" t="str">
        <f t="shared" si="11"/>
        <v/>
      </c>
      <c r="O83" s="68">
        <f t="shared" si="11"/>
        <v>1.4547169811320755</v>
      </c>
      <c r="P83" s="68">
        <f t="shared" si="11"/>
        <v>1.756768558951965</v>
      </c>
      <c r="Q83" s="68" t="str">
        <f t="shared" si="11"/>
        <v/>
      </c>
      <c r="R83" s="68">
        <f t="shared" si="11"/>
        <v>1.7765957446808511</v>
      </c>
      <c r="S83" s="68" t="str">
        <f t="shared" si="11"/>
        <v/>
      </c>
      <c r="T83" s="68" t="str">
        <f t="shared" si="11"/>
        <v/>
      </c>
      <c r="U83" s="68">
        <f t="shared" si="11"/>
        <v>1.7039682539682539</v>
      </c>
      <c r="V83" s="68" t="str">
        <f t="shared" si="11"/>
        <v/>
      </c>
      <c r="W83" s="68" t="str">
        <f t="shared" si="11"/>
        <v/>
      </c>
      <c r="X83" s="68" t="str">
        <f t="shared" si="11"/>
        <v/>
      </c>
      <c r="Y83" s="68" t="str">
        <f t="shared" si="11"/>
        <v/>
      </c>
      <c r="Z83" s="68" t="str">
        <f t="shared" si="11"/>
        <v/>
      </c>
      <c r="AA83" s="68" t="str">
        <f t="shared" si="11"/>
        <v/>
      </c>
      <c r="AB83" s="68" t="str">
        <f t="shared" si="11"/>
        <v/>
      </c>
      <c r="AC83" s="68" t="str">
        <f t="shared" si="11"/>
        <v/>
      </c>
      <c r="AD83" s="68" t="str">
        <f t="shared" si="11"/>
        <v/>
      </c>
      <c r="AE83" s="68" t="str">
        <f t="shared" si="11"/>
        <v/>
      </c>
      <c r="AF83" s="68" t="str">
        <f t="shared" si="11"/>
        <v/>
      </c>
    </row>
    <row r="84" spans="1:32" ht="18.75" x14ac:dyDescent="0.3">
      <c r="A84" s="42">
        <v>2020</v>
      </c>
      <c r="B84" s="68" t="str">
        <f t="shared" ref="B84:AF84" si="12">IF(ISNUMBER(B66)=TRUE,B75/(B66*(1/1000*10000)),"")</f>
        <v/>
      </c>
      <c r="C84" s="68">
        <f t="shared" si="12"/>
        <v>1.5420138888888888</v>
      </c>
      <c r="D84" s="68" t="str">
        <f t="shared" si="12"/>
        <v/>
      </c>
      <c r="E84" s="68" t="str">
        <f t="shared" si="12"/>
        <v/>
      </c>
      <c r="F84" s="68" t="str">
        <f t="shared" si="12"/>
        <v/>
      </c>
      <c r="G84" s="68" t="str">
        <f t="shared" si="12"/>
        <v/>
      </c>
      <c r="H84" s="68" t="str">
        <f t="shared" si="12"/>
        <v/>
      </c>
      <c r="I84" s="68" t="str">
        <f t="shared" si="12"/>
        <v/>
      </c>
      <c r="J84" s="68" t="str">
        <f t="shared" si="12"/>
        <v/>
      </c>
      <c r="K84" s="68" t="str">
        <f t="shared" si="12"/>
        <v/>
      </c>
      <c r="L84" s="68" t="str">
        <f t="shared" si="12"/>
        <v/>
      </c>
      <c r="M84" s="68" t="str">
        <f t="shared" si="12"/>
        <v/>
      </c>
      <c r="N84" s="68" t="str">
        <f t="shared" si="12"/>
        <v/>
      </c>
      <c r="O84" s="68">
        <f t="shared" si="12"/>
        <v>1.5648351648351648</v>
      </c>
      <c r="P84" s="68">
        <f t="shared" si="12"/>
        <v>1.485759493670886</v>
      </c>
      <c r="Q84" s="68" t="str">
        <f t="shared" si="12"/>
        <v/>
      </c>
      <c r="R84" s="68">
        <f t="shared" si="12"/>
        <v>1.5149532710280373</v>
      </c>
      <c r="S84" s="68" t="str">
        <f t="shared" si="12"/>
        <v/>
      </c>
      <c r="T84" s="68" t="str">
        <f t="shared" si="12"/>
        <v/>
      </c>
      <c r="U84" s="68">
        <f t="shared" si="12"/>
        <v>1.4915887850467289</v>
      </c>
      <c r="V84" s="68" t="str">
        <f t="shared" si="12"/>
        <v/>
      </c>
      <c r="W84" s="68" t="str">
        <f t="shared" si="12"/>
        <v/>
      </c>
      <c r="X84" s="68" t="str">
        <f t="shared" si="12"/>
        <v/>
      </c>
      <c r="Y84" s="68" t="str">
        <f t="shared" si="12"/>
        <v/>
      </c>
      <c r="Z84" s="68" t="str">
        <f t="shared" si="12"/>
        <v/>
      </c>
      <c r="AA84" s="68" t="str">
        <f t="shared" si="12"/>
        <v/>
      </c>
      <c r="AB84" s="68" t="str">
        <f t="shared" si="12"/>
        <v/>
      </c>
      <c r="AC84" s="68" t="str">
        <f t="shared" si="12"/>
        <v/>
      </c>
      <c r="AD84" s="68" t="str">
        <f t="shared" si="12"/>
        <v/>
      </c>
      <c r="AE84" s="68" t="str">
        <f t="shared" si="12"/>
        <v/>
      </c>
      <c r="AF84" s="68" t="str">
        <f t="shared" si="12"/>
        <v/>
      </c>
    </row>
    <row r="85" spans="1:32" ht="18.75" x14ac:dyDescent="0.3">
      <c r="A85" s="42">
        <v>2021</v>
      </c>
      <c r="B85" s="68" t="str">
        <f t="shared" ref="B85:AF85" si="13">IF(ISNUMBER(B67)=TRUE,B76/(B67*(1/1000*10000)),"")</f>
        <v/>
      </c>
      <c r="C85" s="68">
        <f t="shared" si="13"/>
        <v>1.725462962962963</v>
      </c>
      <c r="D85" s="68" t="str">
        <f t="shared" si="13"/>
        <v/>
      </c>
      <c r="E85" s="68" t="str">
        <f t="shared" si="13"/>
        <v/>
      </c>
      <c r="F85" s="68" t="str">
        <f t="shared" si="13"/>
        <v/>
      </c>
      <c r="G85" s="68" t="str">
        <f t="shared" si="13"/>
        <v/>
      </c>
      <c r="H85" s="68" t="str">
        <f t="shared" si="13"/>
        <v/>
      </c>
      <c r="I85" s="68" t="str">
        <f t="shared" si="13"/>
        <v/>
      </c>
      <c r="J85" s="68" t="str">
        <f t="shared" si="13"/>
        <v/>
      </c>
      <c r="K85" s="68" t="str">
        <f t="shared" si="13"/>
        <v/>
      </c>
      <c r="L85" s="68" t="str">
        <f t="shared" si="13"/>
        <v/>
      </c>
      <c r="M85" s="68" t="str">
        <f t="shared" si="13"/>
        <v/>
      </c>
      <c r="N85" s="68" t="str">
        <f t="shared" si="13"/>
        <v/>
      </c>
      <c r="O85" s="68">
        <f t="shared" si="13"/>
        <v>1.5358361774744027</v>
      </c>
      <c r="P85" s="68">
        <f t="shared" si="13"/>
        <v>1.7090534979423868</v>
      </c>
      <c r="Q85" s="68" t="str">
        <f t="shared" si="13"/>
        <v/>
      </c>
      <c r="R85" s="68">
        <f t="shared" si="13"/>
        <v>1.7159090909090908</v>
      </c>
      <c r="S85" s="68" t="str">
        <f t="shared" si="13"/>
        <v/>
      </c>
      <c r="T85" s="68" t="str">
        <f t="shared" si="13"/>
        <v/>
      </c>
      <c r="U85" s="68">
        <f t="shared" si="13"/>
        <v>1.6364000000000001</v>
      </c>
      <c r="V85" s="68" t="str">
        <f t="shared" si="13"/>
        <v/>
      </c>
      <c r="W85" s="68" t="str">
        <f t="shared" si="13"/>
        <v/>
      </c>
      <c r="X85" s="68" t="str">
        <f t="shared" si="13"/>
        <v/>
      </c>
      <c r="Y85" s="68" t="str">
        <f t="shared" si="13"/>
        <v/>
      </c>
      <c r="Z85" s="68" t="str">
        <f t="shared" si="13"/>
        <v/>
      </c>
      <c r="AA85" s="68" t="str">
        <f t="shared" si="13"/>
        <v/>
      </c>
      <c r="AB85" s="68" t="str">
        <f t="shared" si="13"/>
        <v/>
      </c>
      <c r="AC85" s="68" t="str">
        <f t="shared" si="13"/>
        <v/>
      </c>
      <c r="AD85" s="68" t="str">
        <f t="shared" si="13"/>
        <v/>
      </c>
      <c r="AE85" s="68" t="str">
        <f t="shared" si="13"/>
        <v/>
      </c>
      <c r="AF85" s="68" t="str">
        <f t="shared" si="13"/>
        <v/>
      </c>
    </row>
    <row r="86" spans="1:32" ht="18.75" x14ac:dyDescent="0.3">
      <c r="A86" s="42">
        <v>2022</v>
      </c>
      <c r="B86" s="68" t="str">
        <f t="shared" ref="B86:AF86" si="14">IF(ISNUMBER(B68)=TRUE,B77/(B68*(1/1000*10000)),"")</f>
        <v/>
      </c>
      <c r="C86" s="68">
        <f t="shared" si="14"/>
        <v>1.8534136546184738</v>
      </c>
      <c r="D86" s="68" t="str">
        <f t="shared" si="14"/>
        <v/>
      </c>
      <c r="E86" s="68" t="str">
        <f t="shared" si="14"/>
        <v/>
      </c>
      <c r="F86" s="68" t="str">
        <f t="shared" si="14"/>
        <v/>
      </c>
      <c r="G86" s="68" t="str">
        <f t="shared" si="14"/>
        <v/>
      </c>
      <c r="H86" s="68" t="str">
        <f t="shared" si="14"/>
        <v/>
      </c>
      <c r="I86" s="68" t="str">
        <f t="shared" si="14"/>
        <v/>
      </c>
      <c r="J86" s="68" t="str">
        <f t="shared" si="14"/>
        <v/>
      </c>
      <c r="K86" s="68" t="str">
        <f t="shared" si="14"/>
        <v/>
      </c>
      <c r="L86" s="68" t="str">
        <f t="shared" si="14"/>
        <v/>
      </c>
      <c r="M86" s="68" t="str">
        <f t="shared" si="14"/>
        <v/>
      </c>
      <c r="N86" s="68" t="str">
        <f t="shared" si="14"/>
        <v/>
      </c>
      <c r="O86" s="68">
        <f t="shared" si="14"/>
        <v>1.3237388724035608</v>
      </c>
      <c r="P86" s="68">
        <f t="shared" si="14"/>
        <v>1.7903571428571428</v>
      </c>
      <c r="Q86" s="68" t="str">
        <f t="shared" si="14"/>
        <v/>
      </c>
      <c r="R86" s="68">
        <f t="shared" si="14"/>
        <v>1.8392452830188679</v>
      </c>
      <c r="S86" s="68" t="str">
        <f t="shared" si="14"/>
        <v/>
      </c>
      <c r="T86" s="68" t="str">
        <f t="shared" si="14"/>
        <v/>
      </c>
      <c r="U86" s="68">
        <f t="shared" si="14"/>
        <v>1.7540145985401461</v>
      </c>
      <c r="V86" s="68" t="str">
        <f t="shared" si="14"/>
        <v/>
      </c>
      <c r="W86" s="68" t="str">
        <f t="shared" si="14"/>
        <v/>
      </c>
      <c r="X86" s="68" t="str">
        <f t="shared" si="14"/>
        <v/>
      </c>
      <c r="Y86" s="68" t="str">
        <f t="shared" si="14"/>
        <v/>
      </c>
      <c r="Z86" s="68" t="str">
        <f t="shared" si="14"/>
        <v/>
      </c>
      <c r="AA86" s="68" t="str">
        <f t="shared" si="14"/>
        <v/>
      </c>
      <c r="AB86" s="68" t="str">
        <f t="shared" si="14"/>
        <v/>
      </c>
      <c r="AC86" s="68" t="str">
        <f t="shared" si="14"/>
        <v/>
      </c>
      <c r="AD86" s="68" t="str">
        <f t="shared" si="14"/>
        <v/>
      </c>
      <c r="AE86" s="68" t="str">
        <f t="shared" si="14"/>
        <v/>
      </c>
      <c r="AF86" s="68" t="str">
        <f t="shared" si="14"/>
        <v/>
      </c>
    </row>
    <row r="87" spans="1:32" ht="18.75" x14ac:dyDescent="0.3">
      <c r="A87" s="47" t="s">
        <v>184</v>
      </c>
      <c r="B87" s="52" t="str">
        <f>IFERROR(AVERAGE(B82:B86),"")</f>
        <v/>
      </c>
      <c r="C87" s="52">
        <f t="shared" ref="C87" si="15">IFERROR(AVERAGE(C82:C86),"")</f>
        <v>1.811187493286156</v>
      </c>
      <c r="D87" s="52" t="str">
        <f t="shared" ref="D87" si="16">IFERROR(AVERAGE(D82:D86),"")</f>
        <v/>
      </c>
      <c r="E87" s="52" t="str">
        <f t="shared" ref="E87" si="17">IFERROR(AVERAGE(E82:E86),"")</f>
        <v/>
      </c>
      <c r="F87" s="52" t="str">
        <f t="shared" ref="F87" si="18">IFERROR(AVERAGE(F82:F86),"")</f>
        <v/>
      </c>
      <c r="G87" s="52" t="str">
        <f t="shared" ref="G87" si="19">IFERROR(AVERAGE(G82:G86),"")</f>
        <v/>
      </c>
      <c r="H87" s="52" t="str">
        <f t="shared" ref="H87" si="20">IFERROR(AVERAGE(H82:H86),"")</f>
        <v/>
      </c>
      <c r="I87" s="52" t="str">
        <f t="shared" ref="I87" si="21">IFERROR(AVERAGE(I82:I86),"")</f>
        <v/>
      </c>
      <c r="J87" s="52" t="str">
        <f t="shared" ref="J87" si="22">IFERROR(AVERAGE(J82:J86),"")</f>
        <v/>
      </c>
      <c r="K87" s="52" t="str">
        <f t="shared" ref="K87" si="23">IFERROR(AVERAGE(K82:K86),"")</f>
        <v/>
      </c>
      <c r="L87" s="52" t="str">
        <f t="shared" ref="L87" si="24">IFERROR(AVERAGE(L82:L86),"")</f>
        <v/>
      </c>
      <c r="M87" s="52" t="str">
        <f t="shared" ref="M87" si="25">IFERROR(AVERAGE(M82:M86),"")</f>
        <v/>
      </c>
      <c r="N87" s="52" t="str">
        <f t="shared" ref="N87" si="26">IFERROR(AVERAGE(N82:N86),"")</f>
        <v/>
      </c>
      <c r="O87" s="52">
        <f t="shared" ref="O87" si="27">IFERROR(AVERAGE(O82:O86),"")</f>
        <v>1.5648312871222569</v>
      </c>
      <c r="P87" s="52">
        <f t="shared" ref="P87" si="28">IFERROR(AVERAGE(P82:P86),"")</f>
        <v>1.7794988497955875</v>
      </c>
      <c r="Q87" s="52" t="str">
        <f t="shared" ref="Q87" si="29">IFERROR(AVERAGE(Q82:Q86),"")</f>
        <v/>
      </c>
      <c r="R87" s="52">
        <f t="shared" ref="R87" si="30">IFERROR(AVERAGE(R82:R86),"")</f>
        <v>1.8043929427357319</v>
      </c>
      <c r="S87" s="52" t="str">
        <f t="shared" ref="S87" si="31">IFERROR(AVERAGE(S82:S86),"")</f>
        <v/>
      </c>
      <c r="T87" s="52" t="str">
        <f t="shared" ref="T87" si="32">IFERROR(AVERAGE(T82:T86),"")</f>
        <v/>
      </c>
      <c r="U87" s="52">
        <f t="shared" ref="U87" si="33">IFERROR(AVERAGE(U82:U86),"")</f>
        <v>1.7397108838024167</v>
      </c>
      <c r="V87" s="52" t="str">
        <f t="shared" ref="V87" si="34">IFERROR(AVERAGE(V82:V86),"")</f>
        <v/>
      </c>
      <c r="W87" s="52" t="str">
        <f t="shared" ref="W87" si="35">IFERROR(AVERAGE(W82:W86),"")</f>
        <v/>
      </c>
      <c r="X87" s="52" t="str">
        <f t="shared" ref="X87" si="36">IFERROR(AVERAGE(X82:X86),"")</f>
        <v/>
      </c>
      <c r="Y87" s="52" t="str">
        <f t="shared" ref="Y87" si="37">IFERROR(AVERAGE(Y82:Y86),"")</f>
        <v/>
      </c>
      <c r="Z87" s="52" t="str">
        <f t="shared" ref="Z87" si="38">IFERROR(AVERAGE(Z82:Z86),"")</f>
        <v/>
      </c>
      <c r="AA87" s="52" t="str">
        <f t="shared" ref="AA87" si="39">IFERROR(AVERAGE(AA82:AA86),"")</f>
        <v/>
      </c>
      <c r="AB87" s="52" t="str">
        <f t="shared" ref="AB87" si="40">IFERROR(AVERAGE(AB82:AB86),"")</f>
        <v/>
      </c>
      <c r="AC87" s="52" t="str">
        <f t="shared" ref="AC87" si="41">IFERROR(AVERAGE(AC82:AC86),"")</f>
        <v/>
      </c>
      <c r="AD87" s="52" t="str">
        <f t="shared" ref="AD87" si="42">IFERROR(AVERAGE(AD82:AD86),"")</f>
        <v/>
      </c>
      <c r="AE87" s="52" t="str">
        <f t="shared" ref="AE87" si="43">IFERROR(AVERAGE(AE82:AE86),"")</f>
        <v/>
      </c>
      <c r="AF87" s="52" t="str">
        <f t="shared" ref="AF87" si="44">IFERROR(AVERAGE(AF82:AF86),"")</f>
        <v/>
      </c>
    </row>
    <row r="89" spans="1:32" ht="18.75" x14ac:dyDescent="0.3">
      <c r="A89" s="42" t="s">
        <v>192</v>
      </c>
      <c r="B89" s="42" t="s">
        <v>120</v>
      </c>
    </row>
    <row r="90" spans="1:32" ht="18.75" x14ac:dyDescent="0.3">
      <c r="A90" s="42">
        <v>2018</v>
      </c>
      <c r="B90" s="63">
        <f>IF(COUNTIFS('Data(perSeason,perCrop)'!$S:$S,$A90)&gt;0,SUMPRODUCT(B54:AF54,B82:AF82)/SUM(B54:AF54),"")</f>
        <v>2.1635978201210526</v>
      </c>
    </row>
    <row r="91" spans="1:32" ht="18.75" x14ac:dyDescent="0.3">
      <c r="A91" s="42">
        <v>2019</v>
      </c>
      <c r="B91" s="63">
        <f>IF(COUNTIFS('Data(perSeason,perCrop)'!$S:$S,$A91)&gt;0,SUMPRODUCT(B55:AF55,B83:AF83)/SUM(B55:AF55),"")</f>
        <v>1.7275766348426111</v>
      </c>
    </row>
    <row r="92" spans="1:32" ht="18.75" x14ac:dyDescent="0.3">
      <c r="A92" s="42">
        <v>2020</v>
      </c>
      <c r="B92" s="63">
        <f>IF(COUNTIFS('Data(perSeason,perCrop)'!$S:$S,$A92)&gt;0,SUMPRODUCT(B56:AF56,B84:AF84)/SUM(B56:AF56),"")</f>
        <v>1.5282687649005511</v>
      </c>
    </row>
    <row r="93" spans="1:32" ht="18.75" x14ac:dyDescent="0.3">
      <c r="A93" s="42">
        <v>2021</v>
      </c>
      <c r="B93" s="63">
        <f>IF(COUNTIFS('Data(perSeason,perCrop)'!$S:$S,$A93)&gt;0,SUMPRODUCT(B57:AF57,B85:AF85)/SUM(B57:AF57),"")</f>
        <v>1.7117526189572794</v>
      </c>
    </row>
    <row r="94" spans="1:32" ht="18.75" x14ac:dyDescent="0.3">
      <c r="A94" s="42">
        <v>2022</v>
      </c>
      <c r="B94" s="63">
        <f>IF(COUNTIFS('Data(perSeason,perCrop)'!$S:$S,$A94)&gt;0,SUMPRODUCT(B58:AF58,B86:AF86)/SUM(B58:AF58),"")</f>
        <v>1.8293958497218885</v>
      </c>
    </row>
    <row r="95" spans="1:32" ht="18.75" x14ac:dyDescent="0.3">
      <c r="A95" s="47" t="s">
        <v>184</v>
      </c>
      <c r="B95" s="52">
        <f>AVERAGE(B90:B94)</f>
        <v>1.7921183377086767</v>
      </c>
    </row>
    <row r="97" spans="1:32" ht="18.75" x14ac:dyDescent="0.3">
      <c r="A97" s="42" t="s">
        <v>23</v>
      </c>
      <c r="B97" s="58" t="s">
        <v>47</v>
      </c>
      <c r="C97" s="58" t="s">
        <v>57</v>
      </c>
      <c r="D97" s="58" t="s">
        <v>110</v>
      </c>
      <c r="E97" s="58" t="s">
        <v>50</v>
      </c>
      <c r="F97" s="58" t="s">
        <v>58</v>
      </c>
      <c r="G97" s="58" t="s">
        <v>51</v>
      </c>
      <c r="H97" s="58" t="s">
        <v>97</v>
      </c>
      <c r="I97" s="58" t="s">
        <v>52</v>
      </c>
      <c r="J97" s="58" t="s">
        <v>59</v>
      </c>
      <c r="K97" s="58" t="s">
        <v>111</v>
      </c>
      <c r="L97" s="58" t="s">
        <v>54</v>
      </c>
      <c r="M97" s="58" t="s">
        <v>112</v>
      </c>
      <c r="N97" s="58" t="s">
        <v>48</v>
      </c>
      <c r="O97" s="58" t="s">
        <v>53</v>
      </c>
      <c r="P97" s="58" t="s">
        <v>49</v>
      </c>
      <c r="Q97" s="58" t="s">
        <v>56</v>
      </c>
      <c r="R97" s="58" t="s">
        <v>102</v>
      </c>
      <c r="S97" s="58" t="s">
        <v>103</v>
      </c>
      <c r="T97" s="58" t="s">
        <v>101</v>
      </c>
      <c r="U97" s="58" t="s">
        <v>106</v>
      </c>
      <c r="V97" s="58" t="s">
        <v>113</v>
      </c>
      <c r="W97" s="58" t="s">
        <v>114</v>
      </c>
      <c r="X97" s="58" t="s">
        <v>115</v>
      </c>
      <c r="Y97" s="58" t="s">
        <v>116</v>
      </c>
      <c r="Z97" s="58" t="s">
        <v>107</v>
      </c>
      <c r="AA97" s="58" t="s">
        <v>104</v>
      </c>
      <c r="AB97" s="58" t="s">
        <v>117</v>
      </c>
      <c r="AC97" s="58" t="s">
        <v>118</v>
      </c>
      <c r="AD97" s="58" t="s">
        <v>119</v>
      </c>
      <c r="AE97" s="58" t="s">
        <v>108</v>
      </c>
      <c r="AF97" s="58" t="s">
        <v>105</v>
      </c>
    </row>
    <row r="98" spans="1:32" ht="18.75" x14ac:dyDescent="0.3">
      <c r="A98" s="42" t="s">
        <v>183</v>
      </c>
      <c r="B98" s="42">
        <v>1</v>
      </c>
      <c r="C98" s="42">
        <v>2</v>
      </c>
      <c r="D98" s="42">
        <v>3</v>
      </c>
      <c r="E98" s="42">
        <v>4</v>
      </c>
      <c r="F98" s="42">
        <v>5</v>
      </c>
      <c r="G98" s="42">
        <v>6</v>
      </c>
      <c r="H98" s="42">
        <v>7</v>
      </c>
      <c r="I98" s="42">
        <v>8</v>
      </c>
      <c r="J98" s="42">
        <v>9</v>
      </c>
      <c r="K98" s="42">
        <v>10</v>
      </c>
      <c r="L98" s="42">
        <v>11</v>
      </c>
      <c r="M98" s="42">
        <v>12</v>
      </c>
      <c r="N98" s="42">
        <v>13</v>
      </c>
      <c r="O98" s="42">
        <v>14</v>
      </c>
      <c r="P98" s="42">
        <v>15</v>
      </c>
      <c r="Q98" s="42">
        <v>16</v>
      </c>
      <c r="R98" s="42">
        <v>17</v>
      </c>
      <c r="S98" s="42">
        <v>18</v>
      </c>
      <c r="T98" s="42">
        <v>19</v>
      </c>
      <c r="U98" s="42">
        <v>20</v>
      </c>
      <c r="V98" s="42">
        <v>21</v>
      </c>
      <c r="W98" s="42">
        <v>22</v>
      </c>
      <c r="X98" s="42">
        <v>23</v>
      </c>
      <c r="Y98" s="42">
        <v>24</v>
      </c>
      <c r="Z98" s="42">
        <v>25</v>
      </c>
      <c r="AA98" s="42">
        <v>40</v>
      </c>
      <c r="AB98" s="42">
        <v>41</v>
      </c>
      <c r="AC98" s="42">
        <v>42</v>
      </c>
      <c r="AD98" s="42">
        <v>43</v>
      </c>
      <c r="AE98" s="42">
        <v>44</v>
      </c>
      <c r="AF98" s="42">
        <v>45</v>
      </c>
    </row>
    <row r="99" spans="1:32" ht="18.75" x14ac:dyDescent="0.3">
      <c r="A99" s="42">
        <v>2018</v>
      </c>
      <c r="B99" s="59">
        <f>SUMIFS('Data(perSeason,perCrop)'!$A:$A,'Data(perSeason,perCrop)'!$S:$S,Productivity!$A99,'Data(perSeason,perCrop)'!$O:$O,2,'Data(perSeason,perCrop)'!$C:$C,Productivity!B$52,'Data(perSeason,perCrop)'!$R:$R,"IRRIGATED")</f>
        <v>0</v>
      </c>
      <c r="C99" s="59">
        <f>SUMIFS('Data(perSeason,perCrop)'!$A:$A,'Data(perSeason,perCrop)'!$S:$S,Productivity!$A99,'Data(perSeason,perCrop)'!$O:$O,2,'Data(perSeason,perCrop)'!$C:$C,Productivity!C$52,'Data(perSeason,perCrop)'!$R:$R,"IRRIGATED")</f>
        <v>5992.4791311799099</v>
      </c>
      <c r="D99" s="59">
        <f>SUMIFS('Data(perSeason,perCrop)'!$A:$A,'Data(perSeason,perCrop)'!$S:$S,Productivity!$A99,'Data(perSeason,perCrop)'!$O:$O,2,'Data(perSeason,perCrop)'!$C:$C,Productivity!D$52,'Data(perSeason,perCrop)'!$R:$R,"IRRIGATED")</f>
        <v>0</v>
      </c>
      <c r="E99" s="59">
        <f>SUMIFS('Data(perSeason,perCrop)'!$A:$A,'Data(perSeason,perCrop)'!$S:$S,Productivity!$A99,'Data(perSeason,perCrop)'!$O:$O,2,'Data(perSeason,perCrop)'!$C:$C,Productivity!E$52,'Data(perSeason,perCrop)'!$R:$R,"IRRIGATED")</f>
        <v>0</v>
      </c>
      <c r="F99" s="59">
        <f>SUMIFS('Data(perSeason,perCrop)'!$A:$A,'Data(perSeason,perCrop)'!$S:$S,Productivity!$A99,'Data(perSeason,perCrop)'!$O:$O,2,'Data(perSeason,perCrop)'!$C:$C,Productivity!F$52,'Data(perSeason,perCrop)'!$R:$R,"IRRIGATED")</f>
        <v>0</v>
      </c>
      <c r="G99" s="59">
        <f>SUMIFS('Data(perSeason,perCrop)'!$A:$A,'Data(perSeason,perCrop)'!$S:$S,Productivity!$A99,'Data(perSeason,perCrop)'!$O:$O,2,'Data(perSeason,perCrop)'!$C:$C,Productivity!G$52,'Data(perSeason,perCrop)'!$R:$R,"IRRIGATED")</f>
        <v>0</v>
      </c>
      <c r="H99" s="59">
        <f>SUMIFS('Data(perSeason,perCrop)'!$A:$A,'Data(perSeason,perCrop)'!$S:$S,Productivity!$A99,'Data(perSeason,perCrop)'!$O:$O,2,'Data(perSeason,perCrop)'!$C:$C,Productivity!H$52,'Data(perSeason,perCrop)'!$R:$R,"IRRIGATED")</f>
        <v>0</v>
      </c>
      <c r="I99" s="59">
        <f>SUMIFS('Data(perSeason,perCrop)'!$A:$A,'Data(perSeason,perCrop)'!$S:$S,Productivity!$A99,'Data(perSeason,perCrop)'!$O:$O,2,'Data(perSeason,perCrop)'!$C:$C,Productivity!I$52,'Data(perSeason,perCrop)'!$R:$R,"IRRIGATED")</f>
        <v>0</v>
      </c>
      <c r="J99" s="59">
        <f>SUMIFS('Data(perSeason,perCrop)'!$A:$A,'Data(perSeason,perCrop)'!$S:$S,Productivity!$A99,'Data(perSeason,perCrop)'!$O:$O,2,'Data(perSeason,perCrop)'!$C:$C,Productivity!J$52,'Data(perSeason,perCrop)'!$R:$R,"IRRIGATED")</f>
        <v>0</v>
      </c>
      <c r="K99" s="59">
        <f>SUMIFS('Data(perSeason,perCrop)'!$A:$A,'Data(perSeason,perCrop)'!$S:$S,Productivity!$A99,'Data(perSeason,perCrop)'!$O:$O,2,'Data(perSeason,perCrop)'!$C:$C,Productivity!K$52,'Data(perSeason,perCrop)'!$R:$R,"IRRIGATED")</f>
        <v>0</v>
      </c>
      <c r="L99" s="59">
        <f>SUMIFS('Data(perSeason,perCrop)'!$A:$A,'Data(perSeason,perCrop)'!$S:$S,Productivity!$A99,'Data(perSeason,perCrop)'!$O:$O,2,'Data(perSeason,perCrop)'!$C:$C,Productivity!L$52,'Data(perSeason,perCrop)'!$R:$R,"IRRIGATED")</f>
        <v>0</v>
      </c>
      <c r="M99" s="59">
        <f>SUMIFS('Data(perSeason,perCrop)'!$A:$A,'Data(perSeason,perCrop)'!$S:$S,Productivity!$A99,'Data(perSeason,perCrop)'!$O:$O,2,'Data(perSeason,perCrop)'!$C:$C,Productivity!M$52,'Data(perSeason,perCrop)'!$R:$R,"IRRIGATED")</f>
        <v>0</v>
      </c>
      <c r="N99" s="59">
        <f>SUMIFS('Data(perSeason,perCrop)'!$A:$A,'Data(perSeason,perCrop)'!$S:$S,Productivity!$A99,'Data(perSeason,perCrop)'!$O:$O,2,'Data(perSeason,perCrop)'!$C:$C,Productivity!N$52,'Data(perSeason,perCrop)'!$R:$R,"IRRIGATED")</f>
        <v>0</v>
      </c>
      <c r="O99" s="59">
        <f>SUMIFS('Data(perSeason,perCrop)'!$A:$A,'Data(perSeason,perCrop)'!$S:$S,Productivity!$A99,'Data(perSeason,perCrop)'!$O:$O,2,'Data(perSeason,perCrop)'!$C:$C,Productivity!O$52,'Data(perSeason,perCrop)'!$R:$R,"IRRIGATED")</f>
        <v>0</v>
      </c>
      <c r="P99" s="59">
        <f>SUMIFS('Data(perSeason,perCrop)'!$A:$A,'Data(perSeason,perCrop)'!$S:$S,Productivity!$A99,'Data(perSeason,perCrop)'!$O:$O,2,'Data(perSeason,perCrop)'!$C:$C,Productivity!P$52,'Data(perSeason,perCrop)'!$R:$R,"IRRIGATED")</f>
        <v>54.598896247247403</v>
      </c>
      <c r="Q99" s="59">
        <f>SUMIFS('Data(perSeason,perCrop)'!$A:$A,'Data(perSeason,perCrop)'!$S:$S,Productivity!$A99,'Data(perSeason,perCrop)'!$O:$O,2,'Data(perSeason,perCrop)'!$C:$C,Productivity!Q$52,'Data(perSeason,perCrop)'!$R:$R,"IRRIGATED")</f>
        <v>0</v>
      </c>
      <c r="R99" s="59">
        <f>SUMIFS('Data(perSeason,perCrop)'!$A:$A,'Data(perSeason,perCrop)'!$S:$S,Productivity!$A99,'Data(perSeason,perCrop)'!$O:$O,2,'Data(perSeason,perCrop)'!$C:$C,Productivity!R$52,'Data(perSeason,perCrop)'!$R:$R,"IRRIGATED")</f>
        <v>493.768332635886</v>
      </c>
      <c r="S99" s="59">
        <f>SUMIFS('Data(perSeason,perCrop)'!$A:$A,'Data(perSeason,perCrop)'!$S:$S,Productivity!$A99,'Data(perSeason,perCrop)'!$O:$O,2,'Data(perSeason,perCrop)'!$C:$C,Productivity!S$52,'Data(perSeason,perCrop)'!$R:$R,"IRRIGATED")</f>
        <v>0</v>
      </c>
      <c r="T99" s="59">
        <f>SUMIFS('Data(perSeason,perCrop)'!$A:$A,'Data(perSeason,perCrop)'!$S:$S,Productivity!$A99,'Data(perSeason,perCrop)'!$O:$O,2,'Data(perSeason,perCrop)'!$C:$C,Productivity!T$52,'Data(perSeason,perCrop)'!$R:$R,"IRRIGATED")</f>
        <v>0</v>
      </c>
      <c r="U99" s="59">
        <f>SUMIFS('Data(perSeason,perCrop)'!$A:$A,'Data(perSeason,perCrop)'!$S:$S,Productivity!$A99,'Data(perSeason,perCrop)'!$O:$O,2,'Data(perSeason,perCrop)'!$C:$C,Productivity!U$52,'Data(perSeason,perCrop)'!$R:$R,"IRRIGATED")</f>
        <v>1027.58627186422</v>
      </c>
      <c r="V99" s="59">
        <f>SUMIFS('Data(perSeason,perCrop)'!$A:$A,'Data(perSeason,perCrop)'!$S:$S,Productivity!$A99,'Data(perSeason,perCrop)'!$O:$O,2,'Data(perSeason,perCrop)'!$C:$C,Productivity!V$52,'Data(perSeason,perCrop)'!$R:$R,"IRRIGATED")</f>
        <v>0</v>
      </c>
      <c r="W99" s="59">
        <f>SUMIFS('Data(perSeason,perCrop)'!$A:$A,'Data(perSeason,perCrop)'!$S:$S,Productivity!$A99,'Data(perSeason,perCrop)'!$O:$O,2,'Data(perSeason,perCrop)'!$C:$C,Productivity!W$52,'Data(perSeason,perCrop)'!$R:$R,"IRRIGATED")</f>
        <v>0</v>
      </c>
      <c r="X99" s="59">
        <f>SUMIFS('Data(perSeason,perCrop)'!$A:$A,'Data(perSeason,perCrop)'!$S:$S,Productivity!$A99,'Data(perSeason,perCrop)'!$O:$O,2,'Data(perSeason,perCrop)'!$C:$C,Productivity!X$52,'Data(perSeason,perCrop)'!$R:$R,"IRRIGATED")</f>
        <v>0</v>
      </c>
      <c r="Y99" s="59">
        <f>SUMIFS('Data(perSeason,perCrop)'!$A:$A,'Data(perSeason,perCrop)'!$S:$S,Productivity!$A99,'Data(perSeason,perCrop)'!$O:$O,2,'Data(perSeason,perCrop)'!$C:$C,Productivity!Y$52,'Data(perSeason,perCrop)'!$R:$R,"IRRIGATED")</f>
        <v>0</v>
      </c>
      <c r="Z99" s="59">
        <f>SUMIFS('Data(perSeason,perCrop)'!$A:$A,'Data(perSeason,perCrop)'!$S:$S,Productivity!$A99,'Data(perSeason,perCrop)'!$O:$O,2,'Data(perSeason,perCrop)'!$C:$C,Productivity!Z$52,'Data(perSeason,perCrop)'!$R:$R,"IRRIGATED")</f>
        <v>0</v>
      </c>
      <c r="AA99" s="59">
        <f>SUMIFS('Data(perSeason,perCrop)'!$A:$A,'Data(perSeason,perCrop)'!$S:$S,Productivity!$A99,'Data(perSeason,perCrop)'!$O:$O,2,'Data(perSeason,perCrop)'!$C:$C,Productivity!AA$52,'Data(perSeason,perCrop)'!$R:$R,"IRRIGATED")</f>
        <v>0</v>
      </c>
      <c r="AB99" s="59">
        <f>SUMIFS('Data(perSeason,perCrop)'!$A:$A,'Data(perSeason,perCrop)'!$S:$S,Productivity!$A99,'Data(perSeason,perCrop)'!$O:$O,2,'Data(perSeason,perCrop)'!$C:$C,Productivity!AB$52,'Data(perSeason,perCrop)'!$R:$R,"IRRIGATED")</f>
        <v>0</v>
      </c>
      <c r="AC99" s="59">
        <f>SUMIFS('Data(perSeason,perCrop)'!$A:$A,'Data(perSeason,perCrop)'!$S:$S,Productivity!$A99,'Data(perSeason,perCrop)'!$O:$O,2,'Data(perSeason,perCrop)'!$C:$C,Productivity!AC$52,'Data(perSeason,perCrop)'!$R:$R,"IRRIGATED")</f>
        <v>0</v>
      </c>
      <c r="AD99" s="59">
        <f>SUMIFS('Data(perSeason,perCrop)'!$A:$A,'Data(perSeason,perCrop)'!$S:$S,Productivity!$A99,'Data(perSeason,perCrop)'!$O:$O,2,'Data(perSeason,perCrop)'!$C:$C,Productivity!AD$52,'Data(perSeason,perCrop)'!$R:$R,"IRRIGATED")</f>
        <v>0</v>
      </c>
      <c r="AE99" s="59">
        <f>SUMIFS('Data(perSeason,perCrop)'!$A:$A,'Data(perSeason,perCrop)'!$S:$S,Productivity!$A99,'Data(perSeason,perCrop)'!$O:$O,2,'Data(perSeason,perCrop)'!$C:$C,Productivity!AE$52,'Data(perSeason,perCrop)'!$R:$R,"IRRIGATED")</f>
        <v>0</v>
      </c>
      <c r="AF99" s="59">
        <f>SUMIFS('Data(perSeason,perCrop)'!$A:$A,'Data(perSeason,perCrop)'!$S:$S,Productivity!$A99,'Data(perSeason,perCrop)'!$O:$O,2,'Data(perSeason,perCrop)'!$C:$C,Productivity!AF$52,'Data(perSeason,perCrop)'!$R:$R,"IRRIGATED")</f>
        <v>0</v>
      </c>
    </row>
    <row r="100" spans="1:32" ht="18.75" x14ac:dyDescent="0.3">
      <c r="A100" s="42">
        <v>2019</v>
      </c>
      <c r="B100" s="59">
        <f>SUMIFS('Data(perSeason,perCrop)'!$A:$A,'Data(perSeason,perCrop)'!$S:$S,Productivity!$A100,'Data(perSeason,perCrop)'!$O:$O,2,'Data(perSeason,perCrop)'!$C:$C,Productivity!B$52,'Data(perSeason,perCrop)'!$R:$R,"IRRIGATED")</f>
        <v>0</v>
      </c>
      <c r="C100" s="59">
        <f>SUMIFS('Data(perSeason,perCrop)'!$A:$A,'Data(perSeason,perCrop)'!$S:$S,Productivity!$A100,'Data(perSeason,perCrop)'!$O:$O,2,'Data(perSeason,perCrop)'!$C:$C,Productivity!C$52,'Data(perSeason,perCrop)'!$R:$R,"IRRIGATED")</f>
        <v>3005.3927551380302</v>
      </c>
      <c r="D100" s="59">
        <f>SUMIFS('Data(perSeason,perCrop)'!$A:$A,'Data(perSeason,perCrop)'!$S:$S,Productivity!$A100,'Data(perSeason,perCrop)'!$O:$O,2,'Data(perSeason,perCrop)'!$C:$C,Productivity!D$52,'Data(perSeason,perCrop)'!$R:$R,"IRRIGATED")</f>
        <v>0</v>
      </c>
      <c r="E100" s="59">
        <f>SUMIFS('Data(perSeason,perCrop)'!$A:$A,'Data(perSeason,perCrop)'!$S:$S,Productivity!$A100,'Data(perSeason,perCrop)'!$O:$O,2,'Data(perSeason,perCrop)'!$C:$C,Productivity!E$52,'Data(perSeason,perCrop)'!$R:$R,"IRRIGATED")</f>
        <v>0</v>
      </c>
      <c r="F100" s="59">
        <f>SUMIFS('Data(perSeason,perCrop)'!$A:$A,'Data(perSeason,perCrop)'!$S:$S,Productivity!$A100,'Data(perSeason,perCrop)'!$O:$O,2,'Data(perSeason,perCrop)'!$C:$C,Productivity!F$52,'Data(perSeason,perCrop)'!$R:$R,"IRRIGATED")</f>
        <v>0</v>
      </c>
      <c r="G100" s="59">
        <f>SUMIFS('Data(perSeason,perCrop)'!$A:$A,'Data(perSeason,perCrop)'!$S:$S,Productivity!$A100,'Data(perSeason,perCrop)'!$O:$O,2,'Data(perSeason,perCrop)'!$C:$C,Productivity!G$52,'Data(perSeason,perCrop)'!$R:$R,"IRRIGATED")</f>
        <v>0</v>
      </c>
      <c r="H100" s="59">
        <f>SUMIFS('Data(perSeason,perCrop)'!$A:$A,'Data(perSeason,perCrop)'!$S:$S,Productivity!$A100,'Data(perSeason,perCrop)'!$O:$O,2,'Data(perSeason,perCrop)'!$C:$C,Productivity!H$52,'Data(perSeason,perCrop)'!$R:$R,"IRRIGATED")</f>
        <v>0</v>
      </c>
      <c r="I100" s="59">
        <f>SUMIFS('Data(perSeason,perCrop)'!$A:$A,'Data(perSeason,perCrop)'!$S:$S,Productivity!$A100,'Data(perSeason,perCrop)'!$O:$O,2,'Data(perSeason,perCrop)'!$C:$C,Productivity!I$52,'Data(perSeason,perCrop)'!$R:$R,"IRRIGATED")</f>
        <v>0</v>
      </c>
      <c r="J100" s="59">
        <f>SUMIFS('Data(perSeason,perCrop)'!$A:$A,'Data(perSeason,perCrop)'!$S:$S,Productivity!$A100,'Data(perSeason,perCrop)'!$O:$O,2,'Data(perSeason,perCrop)'!$C:$C,Productivity!J$52,'Data(perSeason,perCrop)'!$R:$R,"IRRIGATED")</f>
        <v>0</v>
      </c>
      <c r="K100" s="59">
        <f>SUMIFS('Data(perSeason,perCrop)'!$A:$A,'Data(perSeason,perCrop)'!$S:$S,Productivity!$A100,'Data(perSeason,perCrop)'!$O:$O,2,'Data(perSeason,perCrop)'!$C:$C,Productivity!K$52,'Data(perSeason,perCrop)'!$R:$R,"IRRIGATED")</f>
        <v>0</v>
      </c>
      <c r="L100" s="59">
        <f>SUMIFS('Data(perSeason,perCrop)'!$A:$A,'Data(perSeason,perCrop)'!$S:$S,Productivity!$A100,'Data(perSeason,perCrop)'!$O:$O,2,'Data(perSeason,perCrop)'!$C:$C,Productivity!L$52,'Data(perSeason,perCrop)'!$R:$R,"IRRIGATED")</f>
        <v>0</v>
      </c>
      <c r="M100" s="59">
        <f>SUMIFS('Data(perSeason,perCrop)'!$A:$A,'Data(perSeason,perCrop)'!$S:$S,Productivity!$A100,'Data(perSeason,perCrop)'!$O:$O,2,'Data(perSeason,perCrop)'!$C:$C,Productivity!M$52,'Data(perSeason,perCrop)'!$R:$R,"IRRIGATED")</f>
        <v>0</v>
      </c>
      <c r="N100" s="59">
        <f>SUMIFS('Data(perSeason,perCrop)'!$A:$A,'Data(perSeason,perCrop)'!$S:$S,Productivity!$A100,'Data(perSeason,perCrop)'!$O:$O,2,'Data(perSeason,perCrop)'!$C:$C,Productivity!N$52,'Data(perSeason,perCrop)'!$R:$R,"IRRIGATED")</f>
        <v>0</v>
      </c>
      <c r="O100" s="59">
        <f>SUMIFS('Data(perSeason,perCrop)'!$A:$A,'Data(perSeason,perCrop)'!$S:$S,Productivity!$A100,'Data(perSeason,perCrop)'!$O:$O,2,'Data(perSeason,perCrop)'!$C:$C,Productivity!O$52,'Data(perSeason,perCrop)'!$R:$R,"IRRIGATED")</f>
        <v>0</v>
      </c>
      <c r="P100" s="59">
        <f>SUMIFS('Data(perSeason,perCrop)'!$A:$A,'Data(perSeason,perCrop)'!$S:$S,Productivity!$A100,'Data(perSeason,perCrop)'!$O:$O,2,'Data(perSeason,perCrop)'!$C:$C,Productivity!P$52,'Data(perSeason,perCrop)'!$R:$R,"IRRIGATED")</f>
        <v>144.219474639716</v>
      </c>
      <c r="Q100" s="59">
        <f>SUMIFS('Data(perSeason,perCrop)'!$A:$A,'Data(perSeason,perCrop)'!$S:$S,Productivity!$A100,'Data(perSeason,perCrop)'!$O:$O,2,'Data(perSeason,perCrop)'!$C:$C,Productivity!Q$52,'Data(perSeason,perCrop)'!$R:$R,"IRRIGATED")</f>
        <v>0</v>
      </c>
      <c r="R100" s="59">
        <f>SUMIFS('Data(perSeason,perCrop)'!$A:$A,'Data(perSeason,perCrop)'!$S:$S,Productivity!$A100,'Data(perSeason,perCrop)'!$O:$O,2,'Data(perSeason,perCrop)'!$C:$C,Productivity!R$52,'Data(perSeason,perCrop)'!$R:$R,"IRRIGATED")</f>
        <v>486.04367420180398</v>
      </c>
      <c r="S100" s="59">
        <f>SUMIFS('Data(perSeason,perCrop)'!$A:$A,'Data(perSeason,perCrop)'!$S:$S,Productivity!$A100,'Data(perSeason,perCrop)'!$O:$O,2,'Data(perSeason,perCrop)'!$C:$C,Productivity!S$52,'Data(perSeason,perCrop)'!$R:$R,"IRRIGATED")</f>
        <v>0</v>
      </c>
      <c r="T100" s="59">
        <f>SUMIFS('Data(perSeason,perCrop)'!$A:$A,'Data(perSeason,perCrop)'!$S:$S,Productivity!$A100,'Data(perSeason,perCrop)'!$O:$O,2,'Data(perSeason,perCrop)'!$C:$C,Productivity!T$52,'Data(perSeason,perCrop)'!$R:$R,"IRRIGATED")</f>
        <v>0</v>
      </c>
      <c r="U100" s="59">
        <f>SUMIFS('Data(perSeason,perCrop)'!$A:$A,'Data(perSeason,perCrop)'!$S:$S,Productivity!$A100,'Data(perSeason,perCrop)'!$O:$O,2,'Data(perSeason,perCrop)'!$C:$C,Productivity!U$52,'Data(perSeason,perCrop)'!$R:$R,"IRRIGATED")</f>
        <v>4306.16760870691</v>
      </c>
      <c r="V100" s="59">
        <f>SUMIFS('Data(perSeason,perCrop)'!$A:$A,'Data(perSeason,perCrop)'!$S:$S,Productivity!$A100,'Data(perSeason,perCrop)'!$O:$O,2,'Data(perSeason,perCrop)'!$C:$C,Productivity!V$52,'Data(perSeason,perCrop)'!$R:$R,"IRRIGATED")</f>
        <v>0</v>
      </c>
      <c r="W100" s="59">
        <f>SUMIFS('Data(perSeason,perCrop)'!$A:$A,'Data(perSeason,perCrop)'!$S:$S,Productivity!$A100,'Data(perSeason,perCrop)'!$O:$O,2,'Data(perSeason,perCrop)'!$C:$C,Productivity!W$52,'Data(perSeason,perCrop)'!$R:$R,"IRRIGATED")</f>
        <v>0</v>
      </c>
      <c r="X100" s="59">
        <f>SUMIFS('Data(perSeason,perCrop)'!$A:$A,'Data(perSeason,perCrop)'!$S:$S,Productivity!$A100,'Data(perSeason,perCrop)'!$O:$O,2,'Data(perSeason,perCrop)'!$C:$C,Productivity!X$52,'Data(perSeason,perCrop)'!$R:$R,"IRRIGATED")</f>
        <v>0</v>
      </c>
      <c r="Y100" s="59">
        <f>SUMIFS('Data(perSeason,perCrop)'!$A:$A,'Data(perSeason,perCrop)'!$S:$S,Productivity!$A100,'Data(perSeason,perCrop)'!$O:$O,2,'Data(perSeason,perCrop)'!$C:$C,Productivity!Y$52,'Data(perSeason,perCrop)'!$R:$R,"IRRIGATED")</f>
        <v>0</v>
      </c>
      <c r="Z100" s="59">
        <f>SUMIFS('Data(perSeason,perCrop)'!$A:$A,'Data(perSeason,perCrop)'!$S:$S,Productivity!$A100,'Data(perSeason,perCrop)'!$O:$O,2,'Data(perSeason,perCrop)'!$C:$C,Productivity!Z$52,'Data(perSeason,perCrop)'!$R:$R,"IRRIGATED")</f>
        <v>0</v>
      </c>
      <c r="AA100" s="59">
        <f>SUMIFS('Data(perSeason,perCrop)'!$A:$A,'Data(perSeason,perCrop)'!$S:$S,Productivity!$A100,'Data(perSeason,perCrop)'!$O:$O,2,'Data(perSeason,perCrop)'!$C:$C,Productivity!AA$52,'Data(perSeason,perCrop)'!$R:$R,"IRRIGATED")</f>
        <v>0</v>
      </c>
      <c r="AB100" s="59">
        <f>SUMIFS('Data(perSeason,perCrop)'!$A:$A,'Data(perSeason,perCrop)'!$S:$S,Productivity!$A100,'Data(perSeason,perCrop)'!$O:$O,2,'Data(perSeason,perCrop)'!$C:$C,Productivity!AB$52,'Data(perSeason,perCrop)'!$R:$R,"IRRIGATED")</f>
        <v>0</v>
      </c>
      <c r="AC100" s="59">
        <f>SUMIFS('Data(perSeason,perCrop)'!$A:$A,'Data(perSeason,perCrop)'!$S:$S,Productivity!$A100,'Data(perSeason,perCrop)'!$O:$O,2,'Data(perSeason,perCrop)'!$C:$C,Productivity!AC$52,'Data(perSeason,perCrop)'!$R:$R,"IRRIGATED")</f>
        <v>0</v>
      </c>
      <c r="AD100" s="59">
        <f>SUMIFS('Data(perSeason,perCrop)'!$A:$A,'Data(perSeason,perCrop)'!$S:$S,Productivity!$A100,'Data(perSeason,perCrop)'!$O:$O,2,'Data(perSeason,perCrop)'!$C:$C,Productivity!AD$52,'Data(perSeason,perCrop)'!$R:$R,"IRRIGATED")</f>
        <v>0</v>
      </c>
      <c r="AE100" s="59">
        <f>SUMIFS('Data(perSeason,perCrop)'!$A:$A,'Data(perSeason,perCrop)'!$S:$S,Productivity!$A100,'Data(perSeason,perCrop)'!$O:$O,2,'Data(perSeason,perCrop)'!$C:$C,Productivity!AE$52,'Data(perSeason,perCrop)'!$R:$R,"IRRIGATED")</f>
        <v>0</v>
      </c>
      <c r="AF100" s="59">
        <f>SUMIFS('Data(perSeason,perCrop)'!$A:$A,'Data(perSeason,perCrop)'!$S:$S,Productivity!$A100,'Data(perSeason,perCrop)'!$O:$O,2,'Data(perSeason,perCrop)'!$C:$C,Productivity!AF$52,'Data(perSeason,perCrop)'!$R:$R,"IRRIGATED")</f>
        <v>0</v>
      </c>
    </row>
    <row r="101" spans="1:32" ht="18.75" x14ac:dyDescent="0.3">
      <c r="A101" s="42">
        <v>2020</v>
      </c>
      <c r="B101" s="59">
        <f>SUMIFS('Data(perSeason,perCrop)'!$A:$A,'Data(perSeason,perCrop)'!$S:$S,Productivity!$A101,'Data(perSeason,perCrop)'!$O:$O,2,'Data(perSeason,perCrop)'!$C:$C,Productivity!B$52,'Data(perSeason,perCrop)'!$R:$R,"IRRIGATED")</f>
        <v>0</v>
      </c>
      <c r="C101" s="59">
        <f>SUMIFS('Data(perSeason,perCrop)'!$A:$A,'Data(perSeason,perCrop)'!$S:$S,Productivity!$A101,'Data(perSeason,perCrop)'!$O:$O,2,'Data(perSeason,perCrop)'!$C:$C,Productivity!C$52,'Data(perSeason,perCrop)'!$R:$R,"IRRIGATED")</f>
        <v>3757.6026251460098</v>
      </c>
      <c r="D101" s="59">
        <f>SUMIFS('Data(perSeason,perCrop)'!$A:$A,'Data(perSeason,perCrop)'!$S:$S,Productivity!$A101,'Data(perSeason,perCrop)'!$O:$O,2,'Data(perSeason,perCrop)'!$C:$C,Productivity!D$52,'Data(perSeason,perCrop)'!$R:$R,"IRRIGATED")</f>
        <v>0</v>
      </c>
      <c r="E101" s="59">
        <f>SUMIFS('Data(perSeason,perCrop)'!$A:$A,'Data(perSeason,perCrop)'!$S:$S,Productivity!$A101,'Data(perSeason,perCrop)'!$O:$O,2,'Data(perSeason,perCrop)'!$C:$C,Productivity!E$52,'Data(perSeason,perCrop)'!$R:$R,"IRRIGATED")</f>
        <v>0</v>
      </c>
      <c r="F101" s="59">
        <f>SUMIFS('Data(perSeason,perCrop)'!$A:$A,'Data(perSeason,perCrop)'!$S:$S,Productivity!$A101,'Data(perSeason,perCrop)'!$O:$O,2,'Data(perSeason,perCrop)'!$C:$C,Productivity!F$52,'Data(perSeason,perCrop)'!$R:$R,"IRRIGATED")</f>
        <v>0</v>
      </c>
      <c r="G101" s="59">
        <f>SUMIFS('Data(perSeason,perCrop)'!$A:$A,'Data(perSeason,perCrop)'!$S:$S,Productivity!$A101,'Data(perSeason,perCrop)'!$O:$O,2,'Data(perSeason,perCrop)'!$C:$C,Productivity!G$52,'Data(perSeason,perCrop)'!$R:$R,"IRRIGATED")</f>
        <v>0</v>
      </c>
      <c r="H101" s="59">
        <f>SUMIFS('Data(perSeason,perCrop)'!$A:$A,'Data(perSeason,perCrop)'!$S:$S,Productivity!$A101,'Data(perSeason,perCrop)'!$O:$O,2,'Data(perSeason,perCrop)'!$C:$C,Productivity!H$52,'Data(perSeason,perCrop)'!$R:$R,"IRRIGATED")</f>
        <v>0</v>
      </c>
      <c r="I101" s="59">
        <f>SUMIFS('Data(perSeason,perCrop)'!$A:$A,'Data(perSeason,perCrop)'!$S:$S,Productivity!$A101,'Data(perSeason,perCrop)'!$O:$O,2,'Data(perSeason,perCrop)'!$C:$C,Productivity!I$52,'Data(perSeason,perCrop)'!$R:$R,"IRRIGATED")</f>
        <v>0</v>
      </c>
      <c r="J101" s="59">
        <f>SUMIFS('Data(perSeason,perCrop)'!$A:$A,'Data(perSeason,perCrop)'!$S:$S,Productivity!$A101,'Data(perSeason,perCrop)'!$O:$O,2,'Data(perSeason,perCrop)'!$C:$C,Productivity!J$52,'Data(perSeason,perCrop)'!$R:$R,"IRRIGATED")</f>
        <v>0</v>
      </c>
      <c r="K101" s="59">
        <f>SUMIFS('Data(perSeason,perCrop)'!$A:$A,'Data(perSeason,perCrop)'!$S:$S,Productivity!$A101,'Data(perSeason,perCrop)'!$O:$O,2,'Data(perSeason,perCrop)'!$C:$C,Productivity!K$52,'Data(perSeason,perCrop)'!$R:$R,"IRRIGATED")</f>
        <v>0</v>
      </c>
      <c r="L101" s="59">
        <f>SUMIFS('Data(perSeason,perCrop)'!$A:$A,'Data(perSeason,perCrop)'!$S:$S,Productivity!$A101,'Data(perSeason,perCrop)'!$O:$O,2,'Data(perSeason,perCrop)'!$C:$C,Productivity!L$52,'Data(perSeason,perCrop)'!$R:$R,"IRRIGATED")</f>
        <v>0</v>
      </c>
      <c r="M101" s="59">
        <f>SUMIFS('Data(perSeason,perCrop)'!$A:$A,'Data(perSeason,perCrop)'!$S:$S,Productivity!$A101,'Data(perSeason,perCrop)'!$O:$O,2,'Data(perSeason,perCrop)'!$C:$C,Productivity!M$52,'Data(perSeason,perCrop)'!$R:$R,"IRRIGATED")</f>
        <v>0</v>
      </c>
      <c r="N101" s="59">
        <f>SUMIFS('Data(perSeason,perCrop)'!$A:$A,'Data(perSeason,perCrop)'!$S:$S,Productivity!$A101,'Data(perSeason,perCrop)'!$O:$O,2,'Data(perSeason,perCrop)'!$C:$C,Productivity!N$52,'Data(perSeason,perCrop)'!$R:$R,"IRRIGATED")</f>
        <v>0</v>
      </c>
      <c r="O101" s="59">
        <f>SUMIFS('Data(perSeason,perCrop)'!$A:$A,'Data(perSeason,perCrop)'!$S:$S,Productivity!$A101,'Data(perSeason,perCrop)'!$O:$O,2,'Data(perSeason,perCrop)'!$C:$C,Productivity!O$52,'Data(perSeason,perCrop)'!$R:$R,"IRRIGATED")</f>
        <v>0</v>
      </c>
      <c r="P101" s="59">
        <f>SUMIFS('Data(perSeason,perCrop)'!$A:$A,'Data(perSeason,perCrop)'!$S:$S,Productivity!$A101,'Data(perSeason,perCrop)'!$O:$O,2,'Data(perSeason,perCrop)'!$C:$C,Productivity!P$52,'Data(perSeason,perCrop)'!$R:$R,"IRRIGATED")</f>
        <v>32.077952520377899</v>
      </c>
      <c r="Q101" s="59">
        <f>SUMIFS('Data(perSeason,perCrop)'!$A:$A,'Data(perSeason,perCrop)'!$S:$S,Productivity!$A101,'Data(perSeason,perCrop)'!$O:$O,2,'Data(perSeason,perCrop)'!$C:$C,Productivity!Q$52,'Data(perSeason,perCrop)'!$R:$R,"IRRIGATED")</f>
        <v>0</v>
      </c>
      <c r="R101" s="59">
        <f>SUMIFS('Data(perSeason,perCrop)'!$A:$A,'Data(perSeason,perCrop)'!$S:$S,Productivity!$A101,'Data(perSeason,perCrop)'!$O:$O,2,'Data(perSeason,perCrop)'!$C:$C,Productivity!R$52,'Data(perSeason,perCrop)'!$R:$R,"IRRIGATED")</f>
        <v>440.46393581672697</v>
      </c>
      <c r="S101" s="59">
        <f>SUMIFS('Data(perSeason,perCrop)'!$A:$A,'Data(perSeason,perCrop)'!$S:$S,Productivity!$A101,'Data(perSeason,perCrop)'!$O:$O,2,'Data(perSeason,perCrop)'!$C:$C,Productivity!S$52,'Data(perSeason,perCrop)'!$R:$R,"IRRIGATED")</f>
        <v>0</v>
      </c>
      <c r="T101" s="59">
        <f>SUMIFS('Data(perSeason,perCrop)'!$A:$A,'Data(perSeason,perCrop)'!$S:$S,Productivity!$A101,'Data(perSeason,perCrop)'!$O:$O,2,'Data(perSeason,perCrop)'!$C:$C,Productivity!T$52,'Data(perSeason,perCrop)'!$R:$R,"IRRIGATED")</f>
        <v>0</v>
      </c>
      <c r="U101" s="59">
        <f>SUMIFS('Data(perSeason,perCrop)'!$A:$A,'Data(perSeason,perCrop)'!$S:$S,Productivity!$A101,'Data(perSeason,perCrop)'!$O:$O,2,'Data(perSeason,perCrop)'!$C:$C,Productivity!U$52,'Data(perSeason,perCrop)'!$R:$R,"IRRIGATED")</f>
        <v>364.76801616310598</v>
      </c>
      <c r="V101" s="59">
        <f>SUMIFS('Data(perSeason,perCrop)'!$A:$A,'Data(perSeason,perCrop)'!$S:$S,Productivity!$A101,'Data(perSeason,perCrop)'!$O:$O,2,'Data(perSeason,perCrop)'!$C:$C,Productivity!V$52,'Data(perSeason,perCrop)'!$R:$R,"IRRIGATED")</f>
        <v>0</v>
      </c>
      <c r="W101" s="59">
        <f>SUMIFS('Data(perSeason,perCrop)'!$A:$A,'Data(perSeason,perCrop)'!$S:$S,Productivity!$A101,'Data(perSeason,perCrop)'!$O:$O,2,'Data(perSeason,perCrop)'!$C:$C,Productivity!W$52,'Data(perSeason,perCrop)'!$R:$R,"IRRIGATED")</f>
        <v>0</v>
      </c>
      <c r="X101" s="59">
        <f>SUMIFS('Data(perSeason,perCrop)'!$A:$A,'Data(perSeason,perCrop)'!$S:$S,Productivity!$A101,'Data(perSeason,perCrop)'!$O:$O,2,'Data(perSeason,perCrop)'!$C:$C,Productivity!X$52,'Data(perSeason,perCrop)'!$R:$R,"IRRIGATED")</f>
        <v>0</v>
      </c>
      <c r="Y101" s="59">
        <f>SUMIFS('Data(perSeason,perCrop)'!$A:$A,'Data(perSeason,perCrop)'!$S:$S,Productivity!$A101,'Data(perSeason,perCrop)'!$O:$O,2,'Data(perSeason,perCrop)'!$C:$C,Productivity!Y$52,'Data(perSeason,perCrop)'!$R:$R,"IRRIGATED")</f>
        <v>0</v>
      </c>
      <c r="Z101" s="59">
        <f>SUMIFS('Data(perSeason,perCrop)'!$A:$A,'Data(perSeason,perCrop)'!$S:$S,Productivity!$A101,'Data(perSeason,perCrop)'!$O:$O,2,'Data(perSeason,perCrop)'!$C:$C,Productivity!Z$52,'Data(perSeason,perCrop)'!$R:$R,"IRRIGATED")</f>
        <v>0</v>
      </c>
      <c r="AA101" s="59">
        <f>SUMIFS('Data(perSeason,perCrop)'!$A:$A,'Data(perSeason,perCrop)'!$S:$S,Productivity!$A101,'Data(perSeason,perCrop)'!$O:$O,2,'Data(perSeason,perCrop)'!$C:$C,Productivity!AA$52,'Data(perSeason,perCrop)'!$R:$R,"IRRIGATED")</f>
        <v>0</v>
      </c>
      <c r="AB101" s="59">
        <f>SUMIFS('Data(perSeason,perCrop)'!$A:$A,'Data(perSeason,perCrop)'!$S:$S,Productivity!$A101,'Data(perSeason,perCrop)'!$O:$O,2,'Data(perSeason,perCrop)'!$C:$C,Productivity!AB$52,'Data(perSeason,perCrop)'!$R:$R,"IRRIGATED")</f>
        <v>0</v>
      </c>
      <c r="AC101" s="59">
        <f>SUMIFS('Data(perSeason,perCrop)'!$A:$A,'Data(perSeason,perCrop)'!$S:$S,Productivity!$A101,'Data(perSeason,perCrop)'!$O:$O,2,'Data(perSeason,perCrop)'!$C:$C,Productivity!AC$52,'Data(perSeason,perCrop)'!$R:$R,"IRRIGATED")</f>
        <v>0</v>
      </c>
      <c r="AD101" s="59">
        <f>SUMIFS('Data(perSeason,perCrop)'!$A:$A,'Data(perSeason,perCrop)'!$S:$S,Productivity!$A101,'Data(perSeason,perCrop)'!$O:$O,2,'Data(perSeason,perCrop)'!$C:$C,Productivity!AD$52,'Data(perSeason,perCrop)'!$R:$R,"IRRIGATED")</f>
        <v>0</v>
      </c>
      <c r="AE101" s="59">
        <f>SUMIFS('Data(perSeason,perCrop)'!$A:$A,'Data(perSeason,perCrop)'!$S:$S,Productivity!$A101,'Data(perSeason,perCrop)'!$O:$O,2,'Data(perSeason,perCrop)'!$C:$C,Productivity!AE$52,'Data(perSeason,perCrop)'!$R:$R,"IRRIGATED")</f>
        <v>0</v>
      </c>
      <c r="AF101" s="59">
        <f>SUMIFS('Data(perSeason,perCrop)'!$A:$A,'Data(perSeason,perCrop)'!$S:$S,Productivity!$A101,'Data(perSeason,perCrop)'!$O:$O,2,'Data(perSeason,perCrop)'!$C:$C,Productivity!AF$52,'Data(perSeason,perCrop)'!$R:$R,"IRRIGATED")</f>
        <v>0</v>
      </c>
    </row>
    <row r="102" spans="1:32" ht="18.75" x14ac:dyDescent="0.3">
      <c r="A102" s="42">
        <v>2021</v>
      </c>
      <c r="B102" s="59">
        <f>SUMIFS('Data(perSeason,perCrop)'!$A:$A,'Data(perSeason,perCrop)'!$S:$S,Productivity!$A102,'Data(perSeason,perCrop)'!$O:$O,2,'Data(perSeason,perCrop)'!$C:$C,Productivity!B$52,'Data(perSeason,perCrop)'!$R:$R,"IRRIGATED")</f>
        <v>0</v>
      </c>
      <c r="C102" s="59">
        <f>SUMIFS('Data(perSeason,perCrop)'!$A:$A,'Data(perSeason,perCrop)'!$S:$S,Productivity!$A102,'Data(perSeason,perCrop)'!$O:$O,2,'Data(perSeason,perCrop)'!$C:$C,Productivity!C$52,'Data(perSeason,perCrop)'!$R:$R,"IRRIGATED")</f>
        <v>4563.98623122765</v>
      </c>
      <c r="D102" s="59">
        <f>SUMIFS('Data(perSeason,perCrop)'!$A:$A,'Data(perSeason,perCrop)'!$S:$S,Productivity!$A102,'Data(perSeason,perCrop)'!$O:$O,2,'Data(perSeason,perCrop)'!$C:$C,Productivity!D$52,'Data(perSeason,perCrop)'!$R:$R,"IRRIGATED")</f>
        <v>0</v>
      </c>
      <c r="E102" s="59">
        <f>SUMIFS('Data(perSeason,perCrop)'!$A:$A,'Data(perSeason,perCrop)'!$S:$S,Productivity!$A102,'Data(perSeason,perCrop)'!$O:$O,2,'Data(perSeason,perCrop)'!$C:$C,Productivity!E$52,'Data(perSeason,perCrop)'!$R:$R,"IRRIGATED")</f>
        <v>0</v>
      </c>
      <c r="F102" s="59">
        <f>SUMIFS('Data(perSeason,perCrop)'!$A:$A,'Data(perSeason,perCrop)'!$S:$S,Productivity!$A102,'Data(perSeason,perCrop)'!$O:$O,2,'Data(perSeason,perCrop)'!$C:$C,Productivity!F$52,'Data(perSeason,perCrop)'!$R:$R,"IRRIGATED")</f>
        <v>0</v>
      </c>
      <c r="G102" s="59">
        <f>SUMIFS('Data(perSeason,perCrop)'!$A:$A,'Data(perSeason,perCrop)'!$S:$S,Productivity!$A102,'Data(perSeason,perCrop)'!$O:$O,2,'Data(perSeason,perCrop)'!$C:$C,Productivity!G$52,'Data(perSeason,perCrop)'!$R:$R,"IRRIGATED")</f>
        <v>0</v>
      </c>
      <c r="H102" s="59">
        <f>SUMIFS('Data(perSeason,perCrop)'!$A:$A,'Data(perSeason,perCrop)'!$S:$S,Productivity!$A102,'Data(perSeason,perCrop)'!$O:$O,2,'Data(perSeason,perCrop)'!$C:$C,Productivity!H$52,'Data(perSeason,perCrop)'!$R:$R,"IRRIGATED")</f>
        <v>0</v>
      </c>
      <c r="I102" s="59">
        <f>SUMIFS('Data(perSeason,perCrop)'!$A:$A,'Data(perSeason,perCrop)'!$S:$S,Productivity!$A102,'Data(perSeason,perCrop)'!$O:$O,2,'Data(perSeason,perCrop)'!$C:$C,Productivity!I$52,'Data(perSeason,perCrop)'!$R:$R,"IRRIGATED")</f>
        <v>0</v>
      </c>
      <c r="J102" s="59">
        <f>SUMIFS('Data(perSeason,perCrop)'!$A:$A,'Data(perSeason,perCrop)'!$S:$S,Productivity!$A102,'Data(perSeason,perCrop)'!$O:$O,2,'Data(perSeason,perCrop)'!$C:$C,Productivity!J$52,'Data(perSeason,perCrop)'!$R:$R,"IRRIGATED")</f>
        <v>0</v>
      </c>
      <c r="K102" s="59">
        <f>SUMIFS('Data(perSeason,perCrop)'!$A:$A,'Data(perSeason,perCrop)'!$S:$S,Productivity!$A102,'Data(perSeason,perCrop)'!$O:$O,2,'Data(perSeason,perCrop)'!$C:$C,Productivity!K$52,'Data(perSeason,perCrop)'!$R:$R,"IRRIGATED")</f>
        <v>0</v>
      </c>
      <c r="L102" s="59">
        <f>SUMIFS('Data(perSeason,perCrop)'!$A:$A,'Data(perSeason,perCrop)'!$S:$S,Productivity!$A102,'Data(perSeason,perCrop)'!$O:$O,2,'Data(perSeason,perCrop)'!$C:$C,Productivity!L$52,'Data(perSeason,perCrop)'!$R:$R,"IRRIGATED")</f>
        <v>0</v>
      </c>
      <c r="M102" s="59">
        <f>SUMIFS('Data(perSeason,perCrop)'!$A:$A,'Data(perSeason,perCrop)'!$S:$S,Productivity!$A102,'Data(perSeason,perCrop)'!$O:$O,2,'Data(perSeason,perCrop)'!$C:$C,Productivity!M$52,'Data(perSeason,perCrop)'!$R:$R,"IRRIGATED")</f>
        <v>0</v>
      </c>
      <c r="N102" s="59">
        <f>SUMIFS('Data(perSeason,perCrop)'!$A:$A,'Data(perSeason,perCrop)'!$S:$S,Productivity!$A102,'Data(perSeason,perCrop)'!$O:$O,2,'Data(perSeason,perCrop)'!$C:$C,Productivity!N$52,'Data(perSeason,perCrop)'!$R:$R,"IRRIGATED")</f>
        <v>0</v>
      </c>
      <c r="O102" s="59">
        <f>SUMIFS('Data(perSeason,perCrop)'!$A:$A,'Data(perSeason,perCrop)'!$S:$S,Productivity!$A102,'Data(perSeason,perCrop)'!$O:$O,2,'Data(perSeason,perCrop)'!$C:$C,Productivity!O$52,'Data(perSeason,perCrop)'!$R:$R,"IRRIGATED")</f>
        <v>0</v>
      </c>
      <c r="P102" s="59">
        <f>SUMIFS('Data(perSeason,perCrop)'!$A:$A,'Data(perSeason,perCrop)'!$S:$S,Productivity!$A102,'Data(perSeason,perCrop)'!$O:$O,2,'Data(perSeason,perCrop)'!$C:$C,Productivity!P$52,'Data(perSeason,perCrop)'!$R:$R,"IRRIGATED")</f>
        <v>58.533568133706403</v>
      </c>
      <c r="Q102" s="59">
        <f>SUMIFS('Data(perSeason,perCrop)'!$A:$A,'Data(perSeason,perCrop)'!$S:$S,Productivity!$A102,'Data(perSeason,perCrop)'!$O:$O,2,'Data(perSeason,perCrop)'!$C:$C,Productivity!Q$52,'Data(perSeason,perCrop)'!$R:$R,"IRRIGATED")</f>
        <v>0</v>
      </c>
      <c r="R102" s="59">
        <f>SUMIFS('Data(perSeason,perCrop)'!$A:$A,'Data(perSeason,perCrop)'!$S:$S,Productivity!$A102,'Data(perSeason,perCrop)'!$O:$O,2,'Data(perSeason,perCrop)'!$C:$C,Productivity!R$52,'Data(perSeason,perCrop)'!$R:$R,"IRRIGATED")</f>
        <v>690.02423692899504</v>
      </c>
      <c r="S102" s="59">
        <f>SUMIFS('Data(perSeason,perCrop)'!$A:$A,'Data(perSeason,perCrop)'!$S:$S,Productivity!$A102,'Data(perSeason,perCrop)'!$O:$O,2,'Data(perSeason,perCrop)'!$C:$C,Productivity!S$52,'Data(perSeason,perCrop)'!$R:$R,"IRRIGATED")</f>
        <v>0</v>
      </c>
      <c r="T102" s="59">
        <f>SUMIFS('Data(perSeason,perCrop)'!$A:$A,'Data(perSeason,perCrop)'!$S:$S,Productivity!$A102,'Data(perSeason,perCrop)'!$O:$O,2,'Data(perSeason,perCrop)'!$C:$C,Productivity!T$52,'Data(perSeason,perCrop)'!$R:$R,"IRRIGATED")</f>
        <v>0</v>
      </c>
      <c r="U102" s="59">
        <f>SUMIFS('Data(perSeason,perCrop)'!$A:$A,'Data(perSeason,perCrop)'!$S:$S,Productivity!$A102,'Data(perSeason,perCrop)'!$O:$O,2,'Data(perSeason,perCrop)'!$C:$C,Productivity!U$52,'Data(perSeason,perCrop)'!$R:$R,"IRRIGATED")</f>
        <v>638.98928018647405</v>
      </c>
      <c r="V102" s="59">
        <f>SUMIFS('Data(perSeason,perCrop)'!$A:$A,'Data(perSeason,perCrop)'!$S:$S,Productivity!$A102,'Data(perSeason,perCrop)'!$O:$O,2,'Data(perSeason,perCrop)'!$C:$C,Productivity!V$52,'Data(perSeason,perCrop)'!$R:$R,"IRRIGATED")</f>
        <v>0</v>
      </c>
      <c r="W102" s="59">
        <f>SUMIFS('Data(perSeason,perCrop)'!$A:$A,'Data(perSeason,perCrop)'!$S:$S,Productivity!$A102,'Data(perSeason,perCrop)'!$O:$O,2,'Data(perSeason,perCrop)'!$C:$C,Productivity!W$52,'Data(perSeason,perCrop)'!$R:$R,"IRRIGATED")</f>
        <v>0</v>
      </c>
      <c r="X102" s="59">
        <f>SUMIFS('Data(perSeason,perCrop)'!$A:$A,'Data(perSeason,perCrop)'!$S:$S,Productivity!$A102,'Data(perSeason,perCrop)'!$O:$O,2,'Data(perSeason,perCrop)'!$C:$C,Productivity!X$52,'Data(perSeason,perCrop)'!$R:$R,"IRRIGATED")</f>
        <v>0</v>
      </c>
      <c r="Y102" s="59">
        <f>SUMIFS('Data(perSeason,perCrop)'!$A:$A,'Data(perSeason,perCrop)'!$S:$S,Productivity!$A102,'Data(perSeason,perCrop)'!$O:$O,2,'Data(perSeason,perCrop)'!$C:$C,Productivity!Y$52,'Data(perSeason,perCrop)'!$R:$R,"IRRIGATED")</f>
        <v>0</v>
      </c>
      <c r="Z102" s="59">
        <f>SUMIFS('Data(perSeason,perCrop)'!$A:$A,'Data(perSeason,perCrop)'!$S:$S,Productivity!$A102,'Data(perSeason,perCrop)'!$O:$O,2,'Data(perSeason,perCrop)'!$C:$C,Productivity!Z$52,'Data(perSeason,perCrop)'!$R:$R,"IRRIGATED")</f>
        <v>0</v>
      </c>
      <c r="AA102" s="59">
        <f>SUMIFS('Data(perSeason,perCrop)'!$A:$A,'Data(perSeason,perCrop)'!$S:$S,Productivity!$A102,'Data(perSeason,perCrop)'!$O:$O,2,'Data(perSeason,perCrop)'!$C:$C,Productivity!AA$52,'Data(perSeason,perCrop)'!$R:$R,"IRRIGATED")</f>
        <v>0</v>
      </c>
      <c r="AB102" s="59">
        <f>SUMIFS('Data(perSeason,perCrop)'!$A:$A,'Data(perSeason,perCrop)'!$S:$S,Productivity!$A102,'Data(perSeason,perCrop)'!$O:$O,2,'Data(perSeason,perCrop)'!$C:$C,Productivity!AB$52,'Data(perSeason,perCrop)'!$R:$R,"IRRIGATED")</f>
        <v>0</v>
      </c>
      <c r="AC102" s="59">
        <f>SUMIFS('Data(perSeason,perCrop)'!$A:$A,'Data(perSeason,perCrop)'!$S:$S,Productivity!$A102,'Data(perSeason,perCrop)'!$O:$O,2,'Data(perSeason,perCrop)'!$C:$C,Productivity!AC$52,'Data(perSeason,perCrop)'!$R:$R,"IRRIGATED")</f>
        <v>0</v>
      </c>
      <c r="AD102" s="59">
        <f>SUMIFS('Data(perSeason,perCrop)'!$A:$A,'Data(perSeason,perCrop)'!$S:$S,Productivity!$A102,'Data(perSeason,perCrop)'!$O:$O,2,'Data(perSeason,perCrop)'!$C:$C,Productivity!AD$52,'Data(perSeason,perCrop)'!$R:$R,"IRRIGATED")</f>
        <v>0</v>
      </c>
      <c r="AE102" s="59">
        <f>SUMIFS('Data(perSeason,perCrop)'!$A:$A,'Data(perSeason,perCrop)'!$S:$S,Productivity!$A102,'Data(perSeason,perCrop)'!$O:$O,2,'Data(perSeason,perCrop)'!$C:$C,Productivity!AE$52,'Data(perSeason,perCrop)'!$R:$R,"IRRIGATED")</f>
        <v>0</v>
      </c>
      <c r="AF102" s="59">
        <f>SUMIFS('Data(perSeason,perCrop)'!$A:$A,'Data(perSeason,perCrop)'!$S:$S,Productivity!$A102,'Data(perSeason,perCrop)'!$O:$O,2,'Data(perSeason,perCrop)'!$C:$C,Productivity!AF$52,'Data(perSeason,perCrop)'!$R:$R,"IRRIGATED")</f>
        <v>0</v>
      </c>
    </row>
    <row r="103" spans="1:32" ht="18.75" x14ac:dyDescent="0.3">
      <c r="A103" s="42">
        <v>2022</v>
      </c>
      <c r="B103" s="59">
        <f>SUMIFS('Data(perSeason,perCrop)'!$A:$A,'Data(perSeason,perCrop)'!$S:$S,Productivity!$A103,'Data(perSeason,perCrop)'!$O:$O,2,'Data(perSeason,perCrop)'!$C:$C,Productivity!B$52,'Data(perSeason,perCrop)'!$R:$R,"IRRIGATED")</f>
        <v>0</v>
      </c>
      <c r="C103" s="59">
        <f>SUMIFS('Data(perSeason,perCrop)'!$A:$A,'Data(perSeason,perCrop)'!$S:$S,Productivity!$A103,'Data(perSeason,perCrop)'!$O:$O,2,'Data(perSeason,perCrop)'!$C:$C,Productivity!C$52,'Data(perSeason,perCrop)'!$R:$R,"IRRIGATED")</f>
        <v>5823.9955089442101</v>
      </c>
      <c r="D103" s="59">
        <f>SUMIFS('Data(perSeason,perCrop)'!$A:$A,'Data(perSeason,perCrop)'!$S:$S,Productivity!$A103,'Data(perSeason,perCrop)'!$O:$O,2,'Data(perSeason,perCrop)'!$C:$C,Productivity!D$52,'Data(perSeason,perCrop)'!$R:$R,"IRRIGATED")</f>
        <v>0</v>
      </c>
      <c r="E103" s="59">
        <f>SUMIFS('Data(perSeason,perCrop)'!$A:$A,'Data(perSeason,perCrop)'!$S:$S,Productivity!$A103,'Data(perSeason,perCrop)'!$O:$O,2,'Data(perSeason,perCrop)'!$C:$C,Productivity!E$52,'Data(perSeason,perCrop)'!$R:$R,"IRRIGATED")</f>
        <v>0</v>
      </c>
      <c r="F103" s="59">
        <f>SUMIFS('Data(perSeason,perCrop)'!$A:$A,'Data(perSeason,perCrop)'!$S:$S,Productivity!$A103,'Data(perSeason,perCrop)'!$O:$O,2,'Data(perSeason,perCrop)'!$C:$C,Productivity!F$52,'Data(perSeason,perCrop)'!$R:$R,"IRRIGATED")</f>
        <v>0</v>
      </c>
      <c r="G103" s="59">
        <f>SUMIFS('Data(perSeason,perCrop)'!$A:$A,'Data(perSeason,perCrop)'!$S:$S,Productivity!$A103,'Data(perSeason,perCrop)'!$O:$O,2,'Data(perSeason,perCrop)'!$C:$C,Productivity!G$52,'Data(perSeason,perCrop)'!$R:$R,"IRRIGATED")</f>
        <v>0</v>
      </c>
      <c r="H103" s="59">
        <f>SUMIFS('Data(perSeason,perCrop)'!$A:$A,'Data(perSeason,perCrop)'!$S:$S,Productivity!$A103,'Data(perSeason,perCrop)'!$O:$O,2,'Data(perSeason,perCrop)'!$C:$C,Productivity!H$52,'Data(perSeason,perCrop)'!$R:$R,"IRRIGATED")</f>
        <v>0</v>
      </c>
      <c r="I103" s="59">
        <f>SUMIFS('Data(perSeason,perCrop)'!$A:$A,'Data(perSeason,perCrop)'!$S:$S,Productivity!$A103,'Data(perSeason,perCrop)'!$O:$O,2,'Data(perSeason,perCrop)'!$C:$C,Productivity!I$52,'Data(perSeason,perCrop)'!$R:$R,"IRRIGATED")</f>
        <v>0</v>
      </c>
      <c r="J103" s="59">
        <f>SUMIFS('Data(perSeason,perCrop)'!$A:$A,'Data(perSeason,perCrop)'!$S:$S,Productivity!$A103,'Data(perSeason,perCrop)'!$O:$O,2,'Data(perSeason,perCrop)'!$C:$C,Productivity!J$52,'Data(perSeason,perCrop)'!$R:$R,"IRRIGATED")</f>
        <v>0</v>
      </c>
      <c r="K103" s="59">
        <f>SUMIFS('Data(perSeason,perCrop)'!$A:$A,'Data(perSeason,perCrop)'!$S:$S,Productivity!$A103,'Data(perSeason,perCrop)'!$O:$O,2,'Data(perSeason,perCrop)'!$C:$C,Productivity!K$52,'Data(perSeason,perCrop)'!$R:$R,"IRRIGATED")</f>
        <v>0</v>
      </c>
      <c r="L103" s="59">
        <f>SUMIFS('Data(perSeason,perCrop)'!$A:$A,'Data(perSeason,perCrop)'!$S:$S,Productivity!$A103,'Data(perSeason,perCrop)'!$O:$O,2,'Data(perSeason,perCrop)'!$C:$C,Productivity!L$52,'Data(perSeason,perCrop)'!$R:$R,"IRRIGATED")</f>
        <v>0</v>
      </c>
      <c r="M103" s="59">
        <f>SUMIFS('Data(perSeason,perCrop)'!$A:$A,'Data(perSeason,perCrop)'!$S:$S,Productivity!$A103,'Data(perSeason,perCrop)'!$O:$O,2,'Data(perSeason,perCrop)'!$C:$C,Productivity!M$52,'Data(perSeason,perCrop)'!$R:$R,"IRRIGATED")</f>
        <v>0</v>
      </c>
      <c r="N103" s="59">
        <f>SUMIFS('Data(perSeason,perCrop)'!$A:$A,'Data(perSeason,perCrop)'!$S:$S,Productivity!$A103,'Data(perSeason,perCrop)'!$O:$O,2,'Data(perSeason,perCrop)'!$C:$C,Productivity!N$52,'Data(perSeason,perCrop)'!$R:$R,"IRRIGATED")</f>
        <v>0</v>
      </c>
      <c r="O103" s="59">
        <f>SUMIFS('Data(perSeason,perCrop)'!$A:$A,'Data(perSeason,perCrop)'!$S:$S,Productivity!$A103,'Data(perSeason,perCrop)'!$O:$O,2,'Data(perSeason,perCrop)'!$C:$C,Productivity!O$52,'Data(perSeason,perCrop)'!$R:$R,"IRRIGATED")</f>
        <v>0</v>
      </c>
      <c r="P103" s="59">
        <f>SUMIFS('Data(perSeason,perCrop)'!$A:$A,'Data(perSeason,perCrop)'!$S:$S,Productivity!$A103,'Data(perSeason,perCrop)'!$O:$O,2,'Data(perSeason,perCrop)'!$C:$C,Productivity!P$52,'Data(perSeason,perCrop)'!$R:$R,"IRRIGATED")</f>
        <v>41.669883394939902</v>
      </c>
      <c r="Q103" s="59">
        <f>SUMIFS('Data(perSeason,perCrop)'!$A:$A,'Data(perSeason,perCrop)'!$S:$S,Productivity!$A103,'Data(perSeason,perCrop)'!$O:$O,2,'Data(perSeason,perCrop)'!$C:$C,Productivity!Q$52,'Data(perSeason,perCrop)'!$R:$R,"IRRIGATED")</f>
        <v>0</v>
      </c>
      <c r="R103" s="59">
        <f>SUMIFS('Data(perSeason,perCrop)'!$A:$A,'Data(perSeason,perCrop)'!$S:$S,Productivity!$A103,'Data(perSeason,perCrop)'!$O:$O,2,'Data(perSeason,perCrop)'!$C:$C,Productivity!R$52,'Data(perSeason,perCrop)'!$R:$R,"IRRIGATED")</f>
        <v>293.050721790247</v>
      </c>
      <c r="S103" s="59">
        <f>SUMIFS('Data(perSeason,perCrop)'!$A:$A,'Data(perSeason,perCrop)'!$S:$S,Productivity!$A103,'Data(perSeason,perCrop)'!$O:$O,2,'Data(perSeason,perCrop)'!$C:$C,Productivity!S$52,'Data(perSeason,perCrop)'!$R:$R,"IRRIGATED")</f>
        <v>0</v>
      </c>
      <c r="T103" s="59">
        <f>SUMIFS('Data(perSeason,perCrop)'!$A:$A,'Data(perSeason,perCrop)'!$S:$S,Productivity!$A103,'Data(perSeason,perCrop)'!$O:$O,2,'Data(perSeason,perCrop)'!$C:$C,Productivity!T$52,'Data(perSeason,perCrop)'!$R:$R,"IRRIGATED")</f>
        <v>0</v>
      </c>
      <c r="U103" s="59">
        <f>SUMIFS('Data(perSeason,perCrop)'!$A:$A,'Data(perSeason,perCrop)'!$S:$S,Productivity!$A103,'Data(perSeason,perCrop)'!$O:$O,2,'Data(perSeason,perCrop)'!$C:$C,Productivity!U$52,'Data(perSeason,perCrop)'!$R:$R,"IRRIGATED")</f>
        <v>1066.0127568422799</v>
      </c>
      <c r="V103" s="59">
        <f>SUMIFS('Data(perSeason,perCrop)'!$A:$A,'Data(perSeason,perCrop)'!$S:$S,Productivity!$A103,'Data(perSeason,perCrop)'!$O:$O,2,'Data(perSeason,perCrop)'!$C:$C,Productivity!V$52,'Data(perSeason,perCrop)'!$R:$R,"IRRIGATED")</f>
        <v>0</v>
      </c>
      <c r="W103" s="59">
        <f>SUMIFS('Data(perSeason,perCrop)'!$A:$A,'Data(perSeason,perCrop)'!$S:$S,Productivity!$A103,'Data(perSeason,perCrop)'!$O:$O,2,'Data(perSeason,perCrop)'!$C:$C,Productivity!W$52,'Data(perSeason,perCrop)'!$R:$R,"IRRIGATED")</f>
        <v>0</v>
      </c>
      <c r="X103" s="59">
        <f>SUMIFS('Data(perSeason,perCrop)'!$A:$A,'Data(perSeason,perCrop)'!$S:$S,Productivity!$A103,'Data(perSeason,perCrop)'!$O:$O,2,'Data(perSeason,perCrop)'!$C:$C,Productivity!X$52,'Data(perSeason,perCrop)'!$R:$R,"IRRIGATED")</f>
        <v>0</v>
      </c>
      <c r="Y103" s="59">
        <f>SUMIFS('Data(perSeason,perCrop)'!$A:$A,'Data(perSeason,perCrop)'!$S:$S,Productivity!$A103,'Data(perSeason,perCrop)'!$O:$O,2,'Data(perSeason,perCrop)'!$C:$C,Productivity!Y$52,'Data(perSeason,perCrop)'!$R:$R,"IRRIGATED")</f>
        <v>0</v>
      </c>
      <c r="Z103" s="59">
        <f>SUMIFS('Data(perSeason,perCrop)'!$A:$A,'Data(perSeason,perCrop)'!$S:$S,Productivity!$A103,'Data(perSeason,perCrop)'!$O:$O,2,'Data(perSeason,perCrop)'!$C:$C,Productivity!Z$52,'Data(perSeason,perCrop)'!$R:$R,"IRRIGATED")</f>
        <v>0</v>
      </c>
      <c r="AA103" s="59">
        <f>SUMIFS('Data(perSeason,perCrop)'!$A:$A,'Data(perSeason,perCrop)'!$S:$S,Productivity!$A103,'Data(perSeason,perCrop)'!$O:$O,2,'Data(perSeason,perCrop)'!$C:$C,Productivity!AA$52,'Data(perSeason,perCrop)'!$R:$R,"IRRIGATED")</f>
        <v>0</v>
      </c>
      <c r="AB103" s="59">
        <f>SUMIFS('Data(perSeason,perCrop)'!$A:$A,'Data(perSeason,perCrop)'!$S:$S,Productivity!$A103,'Data(perSeason,perCrop)'!$O:$O,2,'Data(perSeason,perCrop)'!$C:$C,Productivity!AB$52,'Data(perSeason,perCrop)'!$R:$R,"IRRIGATED")</f>
        <v>0</v>
      </c>
      <c r="AC103" s="59">
        <f>SUMIFS('Data(perSeason,perCrop)'!$A:$A,'Data(perSeason,perCrop)'!$S:$S,Productivity!$A103,'Data(perSeason,perCrop)'!$O:$O,2,'Data(perSeason,perCrop)'!$C:$C,Productivity!AC$52,'Data(perSeason,perCrop)'!$R:$R,"IRRIGATED")</f>
        <v>0</v>
      </c>
      <c r="AD103" s="59">
        <f>SUMIFS('Data(perSeason,perCrop)'!$A:$A,'Data(perSeason,perCrop)'!$S:$S,Productivity!$A103,'Data(perSeason,perCrop)'!$O:$O,2,'Data(perSeason,perCrop)'!$C:$C,Productivity!AD$52,'Data(perSeason,perCrop)'!$R:$R,"IRRIGATED")</f>
        <v>0</v>
      </c>
      <c r="AE103" s="59">
        <f>SUMIFS('Data(perSeason,perCrop)'!$A:$A,'Data(perSeason,perCrop)'!$S:$S,Productivity!$A103,'Data(perSeason,perCrop)'!$O:$O,2,'Data(perSeason,perCrop)'!$C:$C,Productivity!AE$52,'Data(perSeason,perCrop)'!$R:$R,"IRRIGATED")</f>
        <v>0</v>
      </c>
      <c r="AF103" s="59">
        <f>SUMIFS('Data(perSeason,perCrop)'!$A:$A,'Data(perSeason,perCrop)'!$S:$S,Productivity!$A103,'Data(perSeason,perCrop)'!$O:$O,2,'Data(perSeason,perCrop)'!$C:$C,Productivity!AF$52,'Data(perSeason,perCrop)'!$R:$R,"IRRIGATED")</f>
        <v>0</v>
      </c>
    </row>
    <row r="104" spans="1:32" ht="18.75" x14ac:dyDescent="0.3">
      <c r="A104" s="47" t="s">
        <v>184</v>
      </c>
      <c r="B104" s="48">
        <f>AVERAGE(B99:B103)</f>
        <v>0</v>
      </c>
      <c r="C104" s="48">
        <f t="shared" ref="C104:AF104" si="45">AVERAGE(C99:C103)</f>
        <v>4628.6912503271624</v>
      </c>
      <c r="D104" s="48">
        <f t="shared" si="45"/>
        <v>0</v>
      </c>
      <c r="E104" s="48">
        <f t="shared" si="45"/>
        <v>0</v>
      </c>
      <c r="F104" s="48">
        <f t="shared" si="45"/>
        <v>0</v>
      </c>
      <c r="G104" s="48">
        <f t="shared" si="45"/>
        <v>0</v>
      </c>
      <c r="H104" s="48">
        <f t="shared" si="45"/>
        <v>0</v>
      </c>
      <c r="I104" s="48">
        <f t="shared" si="45"/>
        <v>0</v>
      </c>
      <c r="J104" s="48">
        <f t="shared" si="45"/>
        <v>0</v>
      </c>
      <c r="K104" s="48">
        <f t="shared" si="45"/>
        <v>0</v>
      </c>
      <c r="L104" s="48">
        <f t="shared" si="45"/>
        <v>0</v>
      </c>
      <c r="M104" s="48">
        <f t="shared" si="45"/>
        <v>0</v>
      </c>
      <c r="N104" s="48">
        <f t="shared" si="45"/>
        <v>0</v>
      </c>
      <c r="O104" s="48">
        <f t="shared" si="45"/>
        <v>0</v>
      </c>
      <c r="P104" s="48">
        <f t="shared" si="45"/>
        <v>66.219954987197525</v>
      </c>
      <c r="Q104" s="48">
        <f t="shared" si="45"/>
        <v>0</v>
      </c>
      <c r="R104" s="48">
        <f t="shared" si="45"/>
        <v>480.67018027473176</v>
      </c>
      <c r="S104" s="48">
        <f t="shared" si="45"/>
        <v>0</v>
      </c>
      <c r="T104" s="48">
        <f t="shared" si="45"/>
        <v>0</v>
      </c>
      <c r="U104" s="48">
        <f t="shared" si="45"/>
        <v>1480.704786752598</v>
      </c>
      <c r="V104" s="48">
        <f t="shared" si="45"/>
        <v>0</v>
      </c>
      <c r="W104" s="48">
        <f t="shared" si="45"/>
        <v>0</v>
      </c>
      <c r="X104" s="48">
        <f t="shared" si="45"/>
        <v>0</v>
      </c>
      <c r="Y104" s="48">
        <f t="shared" si="45"/>
        <v>0</v>
      </c>
      <c r="Z104" s="48">
        <f t="shared" si="45"/>
        <v>0</v>
      </c>
      <c r="AA104" s="48">
        <f t="shared" si="45"/>
        <v>0</v>
      </c>
      <c r="AB104" s="48">
        <f t="shared" si="45"/>
        <v>0</v>
      </c>
      <c r="AC104" s="48">
        <f t="shared" si="45"/>
        <v>0</v>
      </c>
      <c r="AD104" s="48">
        <f t="shared" si="45"/>
        <v>0</v>
      </c>
      <c r="AE104" s="48">
        <f t="shared" si="45"/>
        <v>0</v>
      </c>
      <c r="AF104" s="48">
        <f t="shared" si="45"/>
        <v>0</v>
      </c>
    </row>
    <row r="105" spans="1:32" ht="18.75" x14ac:dyDescent="0.3">
      <c r="A105" s="47" t="s">
        <v>185</v>
      </c>
      <c r="B105" s="48">
        <f>B104/SUM($B104:$AF104)</f>
        <v>0</v>
      </c>
      <c r="C105" s="52">
        <f t="shared" ref="C105:AF105" si="46">C104/SUM($B104:$Q104)</f>
        <v>0.98589537648502479</v>
      </c>
      <c r="D105" s="48">
        <f t="shared" si="46"/>
        <v>0</v>
      </c>
      <c r="E105" s="48">
        <f t="shared" si="46"/>
        <v>0</v>
      </c>
      <c r="F105" s="48">
        <f t="shared" si="46"/>
        <v>0</v>
      </c>
      <c r="G105" s="48">
        <f t="shared" si="46"/>
        <v>0</v>
      </c>
      <c r="H105" s="48">
        <f t="shared" si="46"/>
        <v>0</v>
      </c>
      <c r="I105" s="48">
        <f t="shared" si="46"/>
        <v>0</v>
      </c>
      <c r="J105" s="48">
        <f t="shared" si="46"/>
        <v>0</v>
      </c>
      <c r="K105" s="48">
        <f t="shared" si="46"/>
        <v>0</v>
      </c>
      <c r="L105" s="48">
        <f t="shared" si="46"/>
        <v>0</v>
      </c>
      <c r="M105" s="48">
        <f t="shared" si="46"/>
        <v>0</v>
      </c>
      <c r="N105" s="48">
        <f t="shared" si="46"/>
        <v>0</v>
      </c>
      <c r="O105" s="52">
        <f t="shared" si="46"/>
        <v>0</v>
      </c>
      <c r="P105" s="52">
        <f t="shared" si="46"/>
        <v>1.410462351497521E-2</v>
      </c>
      <c r="Q105" s="48">
        <f t="shared" si="46"/>
        <v>0</v>
      </c>
      <c r="R105" s="61">
        <f t="shared" si="46"/>
        <v>0.10238110142118168</v>
      </c>
      <c r="S105" s="48">
        <f t="shared" si="46"/>
        <v>0</v>
      </c>
      <c r="T105" s="48">
        <f t="shared" si="46"/>
        <v>0</v>
      </c>
      <c r="U105" s="52">
        <f t="shared" si="46"/>
        <v>0.31538504606360357</v>
      </c>
      <c r="V105" s="48">
        <f t="shared" si="46"/>
        <v>0</v>
      </c>
      <c r="W105" s="48">
        <f t="shared" si="46"/>
        <v>0</v>
      </c>
      <c r="X105" s="48">
        <f t="shared" si="46"/>
        <v>0</v>
      </c>
      <c r="Y105" s="48">
        <f t="shared" si="46"/>
        <v>0</v>
      </c>
      <c r="Z105" s="48">
        <f t="shared" si="46"/>
        <v>0</v>
      </c>
      <c r="AA105" s="48">
        <f t="shared" si="46"/>
        <v>0</v>
      </c>
      <c r="AB105" s="48">
        <f t="shared" si="46"/>
        <v>0</v>
      </c>
      <c r="AC105" s="48">
        <f t="shared" si="46"/>
        <v>0</v>
      </c>
      <c r="AD105" s="48">
        <f t="shared" si="46"/>
        <v>0</v>
      </c>
      <c r="AE105" s="48">
        <f t="shared" si="46"/>
        <v>0</v>
      </c>
      <c r="AF105" s="48">
        <f t="shared" si="46"/>
        <v>0</v>
      </c>
    </row>
    <row r="107" spans="1:32" ht="18.75" x14ac:dyDescent="0.3">
      <c r="A107" s="42" t="s">
        <v>23</v>
      </c>
      <c r="B107" s="58" t="s">
        <v>47</v>
      </c>
      <c r="C107" s="58" t="s">
        <v>57</v>
      </c>
      <c r="D107" s="58" t="s">
        <v>110</v>
      </c>
      <c r="E107" s="58" t="s">
        <v>50</v>
      </c>
      <c r="F107" s="58" t="s">
        <v>58</v>
      </c>
      <c r="G107" s="58" t="s">
        <v>51</v>
      </c>
      <c r="H107" s="58" t="s">
        <v>97</v>
      </c>
      <c r="I107" s="58" t="s">
        <v>52</v>
      </c>
      <c r="J107" s="58" t="s">
        <v>59</v>
      </c>
      <c r="K107" s="58" t="s">
        <v>111</v>
      </c>
      <c r="L107" s="58" t="s">
        <v>54</v>
      </c>
      <c r="M107" s="58" t="s">
        <v>112</v>
      </c>
      <c r="N107" s="58" t="s">
        <v>48</v>
      </c>
      <c r="O107" s="58" t="s">
        <v>53</v>
      </c>
      <c r="P107" s="58" t="s">
        <v>49</v>
      </c>
      <c r="Q107" s="58" t="s">
        <v>56</v>
      </c>
      <c r="R107" s="58" t="s">
        <v>102</v>
      </c>
      <c r="S107" s="58" t="s">
        <v>103</v>
      </c>
      <c r="T107" s="58" t="s">
        <v>101</v>
      </c>
      <c r="U107" s="58" t="s">
        <v>106</v>
      </c>
      <c r="V107" s="58" t="s">
        <v>113</v>
      </c>
      <c r="W107" s="58" t="s">
        <v>114</v>
      </c>
      <c r="X107" s="58" t="s">
        <v>115</v>
      </c>
      <c r="Y107" s="58" t="s">
        <v>116</v>
      </c>
      <c r="Z107" s="58" t="s">
        <v>107</v>
      </c>
      <c r="AA107" s="58" t="s">
        <v>104</v>
      </c>
      <c r="AB107" s="58" t="s">
        <v>117</v>
      </c>
      <c r="AC107" s="58" t="s">
        <v>118</v>
      </c>
      <c r="AD107" s="58" t="s">
        <v>119</v>
      </c>
      <c r="AE107" s="58" t="s">
        <v>108</v>
      </c>
      <c r="AF107" s="58" t="s">
        <v>105</v>
      </c>
    </row>
    <row r="108" spans="1:32" ht="18.75" x14ac:dyDescent="0.3">
      <c r="A108" s="42" t="s">
        <v>183</v>
      </c>
      <c r="B108" s="42">
        <v>1</v>
      </c>
      <c r="C108" s="42">
        <v>2</v>
      </c>
      <c r="D108" s="42">
        <v>3</v>
      </c>
      <c r="E108" s="42">
        <v>4</v>
      </c>
      <c r="F108" s="42">
        <v>5</v>
      </c>
      <c r="G108" s="42">
        <v>6</v>
      </c>
      <c r="H108" s="42">
        <v>7</v>
      </c>
      <c r="I108" s="42">
        <v>8</v>
      </c>
      <c r="J108" s="42">
        <v>9</v>
      </c>
      <c r="K108" s="42">
        <v>10</v>
      </c>
      <c r="L108" s="42">
        <v>11</v>
      </c>
      <c r="M108" s="42">
        <v>12</v>
      </c>
      <c r="N108" s="42">
        <v>13</v>
      </c>
      <c r="O108" s="42">
        <v>14</v>
      </c>
      <c r="P108" s="42">
        <v>15</v>
      </c>
      <c r="Q108" s="42">
        <v>16</v>
      </c>
      <c r="R108" s="42">
        <v>17</v>
      </c>
      <c r="S108" s="42">
        <v>18</v>
      </c>
      <c r="T108" s="42">
        <v>19</v>
      </c>
      <c r="U108" s="42">
        <v>20</v>
      </c>
      <c r="V108" s="42">
        <v>21</v>
      </c>
      <c r="W108" s="42">
        <v>22</v>
      </c>
      <c r="X108" s="42">
        <v>23</v>
      </c>
      <c r="Y108" s="42">
        <v>24</v>
      </c>
      <c r="Z108" s="42">
        <v>25</v>
      </c>
      <c r="AA108" s="42">
        <v>40</v>
      </c>
      <c r="AB108" s="42">
        <v>41</v>
      </c>
      <c r="AC108" s="42">
        <v>42</v>
      </c>
      <c r="AD108" s="42">
        <v>43</v>
      </c>
      <c r="AE108" s="42">
        <v>44</v>
      </c>
      <c r="AF108" s="42">
        <v>45</v>
      </c>
    </row>
    <row r="109" spans="1:32" ht="18.75" x14ac:dyDescent="0.3">
      <c r="A109" s="42">
        <v>2018</v>
      </c>
      <c r="B109" s="59" t="str">
        <f>IFERROR(
    AVERAGEIFS('Data(perSeason,perCrop)'!$E:$E,
    'Data(perSeason,perCrop)'!$S:$S,$A109,
    'Data(perSeason,perCrop)'!$O:$O,2,
    'Data(perSeason,perCrop)'!$C:$C,B$52,
    'Data(perSeason,perCrop)'!$R:$R,"IRRIGATED"),
"")</f>
        <v/>
      </c>
      <c r="C109" s="59">
        <f>IFERROR(
    AVERAGEIFS('Data(perSeason,perCrop)'!$E:$E,
    'Data(perSeason,perCrop)'!$S:$S,$A109,
    'Data(perSeason,perCrop)'!$O:$O,2,
    'Data(perSeason,perCrop)'!$C:$C,C$52,
    'Data(perSeason,perCrop)'!$R:$R,"IRRIGATED"),
"")</f>
        <v>228</v>
      </c>
      <c r="D109" s="59" t="str">
        <f>IFERROR(
    AVERAGEIFS('Data(perSeason,perCrop)'!$E:$E,
    'Data(perSeason,perCrop)'!$S:$S,$A109,
    'Data(perSeason,perCrop)'!$O:$O,2,
    'Data(perSeason,perCrop)'!$C:$C,D$52,
    'Data(perSeason,perCrop)'!$R:$R,"IRRIGATED"),
"")</f>
        <v/>
      </c>
      <c r="E109" s="59" t="str">
        <f>IFERROR(
    AVERAGEIFS('Data(perSeason,perCrop)'!$E:$E,
    'Data(perSeason,perCrop)'!$S:$S,$A109,
    'Data(perSeason,perCrop)'!$O:$O,2,
    'Data(perSeason,perCrop)'!$C:$C,E$52,
    'Data(perSeason,perCrop)'!$R:$R,"IRRIGATED"),
"")</f>
        <v/>
      </c>
      <c r="F109" s="59" t="str">
        <f>IFERROR(
    AVERAGEIFS('Data(perSeason,perCrop)'!$E:$E,
    'Data(perSeason,perCrop)'!$S:$S,$A109,
    'Data(perSeason,perCrop)'!$O:$O,2,
    'Data(perSeason,perCrop)'!$C:$C,F$52,
    'Data(perSeason,perCrop)'!$R:$R,"IRRIGATED"),
"")</f>
        <v/>
      </c>
      <c r="G109" s="59" t="str">
        <f>IFERROR(
    AVERAGEIFS('Data(perSeason,perCrop)'!$E:$E,
    'Data(perSeason,perCrop)'!$S:$S,$A109,
    'Data(perSeason,perCrop)'!$O:$O,2,
    'Data(perSeason,perCrop)'!$C:$C,G$52,
    'Data(perSeason,perCrop)'!$R:$R,"IRRIGATED"),
"")</f>
        <v/>
      </c>
      <c r="H109" s="59" t="str">
        <f>IFERROR(
    AVERAGEIFS('Data(perSeason,perCrop)'!$E:$E,
    'Data(perSeason,perCrop)'!$S:$S,$A109,
    'Data(perSeason,perCrop)'!$O:$O,2,
    'Data(perSeason,perCrop)'!$C:$C,H$52,
    'Data(perSeason,perCrop)'!$R:$R,"IRRIGATED"),
"")</f>
        <v/>
      </c>
      <c r="I109" s="59" t="str">
        <f>IFERROR(
    AVERAGEIFS('Data(perSeason,perCrop)'!$E:$E,
    'Data(perSeason,perCrop)'!$S:$S,$A109,
    'Data(perSeason,perCrop)'!$O:$O,2,
    'Data(perSeason,perCrop)'!$C:$C,I$52,
    'Data(perSeason,perCrop)'!$R:$R,"IRRIGATED"),
"")</f>
        <v/>
      </c>
      <c r="J109" s="59" t="str">
        <f>IFERROR(
    AVERAGEIFS('Data(perSeason,perCrop)'!$E:$E,
    'Data(perSeason,perCrop)'!$S:$S,$A109,
    'Data(perSeason,perCrop)'!$O:$O,2,
    'Data(perSeason,perCrop)'!$C:$C,J$52,
    'Data(perSeason,perCrop)'!$R:$R,"IRRIGATED"),
"")</f>
        <v/>
      </c>
      <c r="K109" s="59" t="str">
        <f>IFERROR(
    AVERAGEIFS('Data(perSeason,perCrop)'!$E:$E,
    'Data(perSeason,perCrop)'!$S:$S,$A109,
    'Data(perSeason,perCrop)'!$O:$O,2,
    'Data(perSeason,perCrop)'!$C:$C,K$52,
    'Data(perSeason,perCrop)'!$R:$R,"IRRIGATED"),
"")</f>
        <v/>
      </c>
      <c r="L109" s="59" t="str">
        <f>IFERROR(
    AVERAGEIFS('Data(perSeason,perCrop)'!$E:$E,
    'Data(perSeason,perCrop)'!$S:$S,$A109,
    'Data(perSeason,perCrop)'!$O:$O,2,
    'Data(perSeason,perCrop)'!$C:$C,L$52,
    'Data(perSeason,perCrop)'!$R:$R,"IRRIGATED"),
"")</f>
        <v/>
      </c>
      <c r="M109" s="59" t="str">
        <f>IFERROR(
    AVERAGEIFS('Data(perSeason,perCrop)'!$E:$E,
    'Data(perSeason,perCrop)'!$S:$S,$A109,
    'Data(perSeason,perCrop)'!$O:$O,2,
    'Data(perSeason,perCrop)'!$C:$C,M$52,
    'Data(perSeason,perCrop)'!$R:$R,"IRRIGATED"),
"")</f>
        <v/>
      </c>
      <c r="N109" s="59" t="str">
        <f>IFERROR(
    AVERAGEIFS('Data(perSeason,perCrop)'!$E:$E,
    'Data(perSeason,perCrop)'!$S:$S,$A109,
    'Data(perSeason,perCrop)'!$O:$O,2,
    'Data(perSeason,perCrop)'!$C:$C,N$52,
    'Data(perSeason,perCrop)'!$R:$R,"IRRIGATED"),
"")</f>
        <v/>
      </c>
      <c r="O109" s="59" t="str">
        <f>IFERROR(
    AVERAGEIFS('Data(perSeason,perCrop)'!$E:$E,
    'Data(perSeason,perCrop)'!$S:$S,$A109,
    'Data(perSeason,perCrop)'!$O:$O,2,
    'Data(perSeason,perCrop)'!$C:$C,O$52,
    'Data(perSeason,perCrop)'!$R:$R,"IRRIGATED"),
"")</f>
        <v/>
      </c>
      <c r="P109" s="59">
        <f>IFERROR(
    AVERAGEIFS('Data(perSeason,perCrop)'!$E:$E,
    'Data(perSeason,perCrop)'!$S:$S,$A109,
    'Data(perSeason,perCrop)'!$O:$O,2,
    'Data(perSeason,perCrop)'!$C:$C,P$52,
    'Data(perSeason,perCrop)'!$R:$R,"IRRIGATED"),
"")</f>
        <v>229</v>
      </c>
      <c r="Q109" s="59" t="str">
        <f>IFERROR(
    AVERAGEIFS('Data(perSeason,perCrop)'!$E:$E,
    'Data(perSeason,perCrop)'!$S:$S,$A109,
    'Data(perSeason,perCrop)'!$O:$O,2,
    'Data(perSeason,perCrop)'!$C:$C,Q$52,
    'Data(perSeason,perCrop)'!$R:$R,"IRRIGATED"),
"")</f>
        <v/>
      </c>
      <c r="R109" s="59">
        <f>IFERROR(
    AVERAGEIFS('Data(perSeason,perCrop)'!$E:$E,
    'Data(perSeason,perCrop)'!$S:$S,$A109,
    'Data(perSeason,perCrop)'!$O:$O,2,
    'Data(perSeason,perCrop)'!$C:$C,R$52,
    'Data(perSeason,perCrop)'!$R:$R,"IRRIGATED"),
"")</f>
        <v>222</v>
      </c>
      <c r="S109" s="59" t="str">
        <f>IFERROR(
    AVERAGEIFS('Data(perSeason,perCrop)'!$E:$E,
    'Data(perSeason,perCrop)'!$S:$S,$A109,
    'Data(perSeason,perCrop)'!$O:$O,2,
    'Data(perSeason,perCrop)'!$C:$C,S$52,
    'Data(perSeason,perCrop)'!$R:$R,"IRRIGATED"),
"")</f>
        <v/>
      </c>
      <c r="T109" s="59" t="str">
        <f>IFERROR(
    AVERAGEIFS('Data(perSeason,perCrop)'!$E:$E,
    'Data(perSeason,perCrop)'!$S:$S,$A109,
    'Data(perSeason,perCrop)'!$O:$O,2,
    'Data(perSeason,perCrop)'!$C:$C,T$52,
    'Data(perSeason,perCrop)'!$R:$R,"IRRIGATED"),
"")</f>
        <v/>
      </c>
      <c r="U109" s="59">
        <f>IFERROR(
    AVERAGEIFS('Data(perSeason,perCrop)'!$E:$E,
    'Data(perSeason,perCrop)'!$S:$S,$A109,
    'Data(perSeason,perCrop)'!$O:$O,2,
    'Data(perSeason,perCrop)'!$C:$C,U$52,
    'Data(perSeason,perCrop)'!$R:$R,"IRRIGATED"),
"")</f>
        <v>263</v>
      </c>
      <c r="V109" s="59" t="str">
        <f>IFERROR(
    AVERAGEIFS('Data(perSeason,perCrop)'!$E:$E,
    'Data(perSeason,perCrop)'!$S:$S,$A109,
    'Data(perSeason,perCrop)'!$O:$O,2,
    'Data(perSeason,perCrop)'!$C:$C,V$52,
    'Data(perSeason,perCrop)'!$R:$R,"IRRIGATED"),
"")</f>
        <v/>
      </c>
      <c r="W109" s="59" t="str">
        <f>IFERROR(
    AVERAGEIFS('Data(perSeason,perCrop)'!$E:$E,
    'Data(perSeason,perCrop)'!$S:$S,$A109,
    'Data(perSeason,perCrop)'!$O:$O,2,
    'Data(perSeason,perCrop)'!$C:$C,W$52,
    'Data(perSeason,perCrop)'!$R:$R,"IRRIGATED"),
"")</f>
        <v/>
      </c>
      <c r="X109" s="59" t="str">
        <f>IFERROR(
    AVERAGEIFS('Data(perSeason,perCrop)'!$E:$E,
    'Data(perSeason,perCrop)'!$S:$S,$A109,
    'Data(perSeason,perCrop)'!$O:$O,2,
    'Data(perSeason,perCrop)'!$C:$C,X$52,
    'Data(perSeason,perCrop)'!$R:$R,"IRRIGATED"),
"")</f>
        <v/>
      </c>
      <c r="Y109" s="59" t="str">
        <f>IFERROR(
    AVERAGEIFS('Data(perSeason,perCrop)'!$E:$E,
    'Data(perSeason,perCrop)'!$S:$S,$A109,
    'Data(perSeason,perCrop)'!$O:$O,2,
    'Data(perSeason,perCrop)'!$C:$C,Y$52,
    'Data(perSeason,perCrop)'!$R:$R,"IRRIGATED"),
"")</f>
        <v/>
      </c>
      <c r="Z109" s="59" t="str">
        <f>IFERROR(
    AVERAGEIFS('Data(perSeason,perCrop)'!$E:$E,
    'Data(perSeason,perCrop)'!$S:$S,$A109,
    'Data(perSeason,perCrop)'!$O:$O,2,
    'Data(perSeason,perCrop)'!$C:$C,Z$52,
    'Data(perSeason,perCrop)'!$R:$R,"IRRIGATED"),
"")</f>
        <v/>
      </c>
      <c r="AA109" s="59" t="str">
        <f>IFERROR(
    AVERAGEIFS('Data(perSeason,perCrop)'!$E:$E,
    'Data(perSeason,perCrop)'!$S:$S,$A109,
    'Data(perSeason,perCrop)'!$O:$O,2,
    'Data(perSeason,perCrop)'!$C:$C,AA$52,
    'Data(perSeason,perCrop)'!$R:$R,"IRRIGATED"),
"")</f>
        <v/>
      </c>
      <c r="AB109" s="59" t="str">
        <f>IFERROR(
    AVERAGEIFS('Data(perSeason,perCrop)'!$E:$E,
    'Data(perSeason,perCrop)'!$S:$S,$A109,
    'Data(perSeason,perCrop)'!$O:$O,2,
    'Data(perSeason,perCrop)'!$C:$C,AB$52,
    'Data(perSeason,perCrop)'!$R:$R,"IRRIGATED"),
"")</f>
        <v/>
      </c>
      <c r="AC109" s="59" t="str">
        <f>IFERROR(
    AVERAGEIFS('Data(perSeason,perCrop)'!$E:$E,
    'Data(perSeason,perCrop)'!$S:$S,$A109,
    'Data(perSeason,perCrop)'!$O:$O,2,
    'Data(perSeason,perCrop)'!$C:$C,AC$52,
    'Data(perSeason,perCrop)'!$R:$R,"IRRIGATED"),
"")</f>
        <v/>
      </c>
      <c r="AD109" s="59" t="str">
        <f>IFERROR(
    AVERAGEIFS('Data(perSeason,perCrop)'!$E:$E,
    'Data(perSeason,perCrop)'!$S:$S,$A109,
    'Data(perSeason,perCrop)'!$O:$O,2,
    'Data(perSeason,perCrop)'!$C:$C,AD$52,
    'Data(perSeason,perCrop)'!$R:$R,"IRRIGATED"),
"")</f>
        <v/>
      </c>
      <c r="AE109" s="59" t="str">
        <f>IFERROR(
    AVERAGEIFS('Data(perSeason,perCrop)'!$E:$E,
    'Data(perSeason,perCrop)'!$S:$S,$A109,
    'Data(perSeason,perCrop)'!$O:$O,2,
    'Data(perSeason,perCrop)'!$C:$C,AE$52,
    'Data(perSeason,perCrop)'!$R:$R,"IRRIGATED"),
"")</f>
        <v/>
      </c>
      <c r="AF109" s="59" t="str">
        <f>IFERROR(
    AVERAGEIFS('Data(perSeason,perCrop)'!$E:$E,
    'Data(perSeason,perCrop)'!$S:$S,$A109,
    'Data(perSeason,perCrop)'!$O:$O,2,
    'Data(perSeason,perCrop)'!$C:$C,AF$52,
    'Data(perSeason,perCrop)'!$R:$R,"IRRIGATED"),
"")</f>
        <v/>
      </c>
    </row>
    <row r="110" spans="1:32" ht="18.75" x14ac:dyDescent="0.3">
      <c r="A110" s="42">
        <v>2019</v>
      </c>
      <c r="B110" s="59" t="str">
        <f>IFERROR(
    AVERAGEIFS('Data(perSeason,perCrop)'!$E:$E,
    'Data(perSeason,perCrop)'!$S:$S,$A110,
    'Data(perSeason,perCrop)'!$O:$O,2,
    'Data(perSeason,perCrop)'!$C:$C,B$52,
    'Data(perSeason,perCrop)'!$R:$R,"IRRIGATED"),
"")</f>
        <v/>
      </c>
      <c r="C110" s="59">
        <f>IFERROR(
    AVERAGEIFS('Data(perSeason,perCrop)'!$E:$E,
    'Data(perSeason,perCrop)'!$S:$S,$A110,
    'Data(perSeason,perCrop)'!$O:$O,2,
    'Data(perSeason,perCrop)'!$C:$C,C$52,
    'Data(perSeason,perCrop)'!$R:$R,"IRRIGATED"),
"")</f>
        <v>210</v>
      </c>
      <c r="D110" s="59" t="str">
        <f>IFERROR(
    AVERAGEIFS('Data(perSeason,perCrop)'!$E:$E,
    'Data(perSeason,perCrop)'!$S:$S,$A110,
    'Data(perSeason,perCrop)'!$O:$O,2,
    'Data(perSeason,perCrop)'!$C:$C,D$52,
    'Data(perSeason,perCrop)'!$R:$R,"IRRIGATED"),
"")</f>
        <v/>
      </c>
      <c r="E110" s="59" t="str">
        <f>IFERROR(
    AVERAGEIFS('Data(perSeason,perCrop)'!$E:$E,
    'Data(perSeason,perCrop)'!$S:$S,$A110,
    'Data(perSeason,perCrop)'!$O:$O,2,
    'Data(perSeason,perCrop)'!$C:$C,E$52,
    'Data(perSeason,perCrop)'!$R:$R,"IRRIGATED"),
"")</f>
        <v/>
      </c>
      <c r="F110" s="59" t="str">
        <f>IFERROR(
    AVERAGEIFS('Data(perSeason,perCrop)'!$E:$E,
    'Data(perSeason,perCrop)'!$S:$S,$A110,
    'Data(perSeason,perCrop)'!$O:$O,2,
    'Data(perSeason,perCrop)'!$C:$C,F$52,
    'Data(perSeason,perCrop)'!$R:$R,"IRRIGATED"),
"")</f>
        <v/>
      </c>
      <c r="G110" s="59" t="str">
        <f>IFERROR(
    AVERAGEIFS('Data(perSeason,perCrop)'!$E:$E,
    'Data(perSeason,perCrop)'!$S:$S,$A110,
    'Data(perSeason,perCrop)'!$O:$O,2,
    'Data(perSeason,perCrop)'!$C:$C,G$52,
    'Data(perSeason,perCrop)'!$R:$R,"IRRIGATED"),
"")</f>
        <v/>
      </c>
      <c r="H110" s="59" t="str">
        <f>IFERROR(
    AVERAGEIFS('Data(perSeason,perCrop)'!$E:$E,
    'Data(perSeason,perCrop)'!$S:$S,$A110,
    'Data(perSeason,perCrop)'!$O:$O,2,
    'Data(perSeason,perCrop)'!$C:$C,H$52,
    'Data(perSeason,perCrop)'!$R:$R,"IRRIGATED"),
"")</f>
        <v/>
      </c>
      <c r="I110" s="59" t="str">
        <f>IFERROR(
    AVERAGEIFS('Data(perSeason,perCrop)'!$E:$E,
    'Data(perSeason,perCrop)'!$S:$S,$A110,
    'Data(perSeason,perCrop)'!$O:$O,2,
    'Data(perSeason,perCrop)'!$C:$C,I$52,
    'Data(perSeason,perCrop)'!$R:$R,"IRRIGATED"),
"")</f>
        <v/>
      </c>
      <c r="J110" s="59" t="str">
        <f>IFERROR(
    AVERAGEIFS('Data(perSeason,perCrop)'!$E:$E,
    'Data(perSeason,perCrop)'!$S:$S,$A110,
    'Data(perSeason,perCrop)'!$O:$O,2,
    'Data(perSeason,perCrop)'!$C:$C,J$52,
    'Data(perSeason,perCrop)'!$R:$R,"IRRIGATED"),
"")</f>
        <v/>
      </c>
      <c r="K110" s="59" t="str">
        <f>IFERROR(
    AVERAGEIFS('Data(perSeason,perCrop)'!$E:$E,
    'Data(perSeason,perCrop)'!$S:$S,$A110,
    'Data(perSeason,perCrop)'!$O:$O,2,
    'Data(perSeason,perCrop)'!$C:$C,K$52,
    'Data(perSeason,perCrop)'!$R:$R,"IRRIGATED"),
"")</f>
        <v/>
      </c>
      <c r="L110" s="59" t="str">
        <f>IFERROR(
    AVERAGEIFS('Data(perSeason,perCrop)'!$E:$E,
    'Data(perSeason,perCrop)'!$S:$S,$A110,
    'Data(perSeason,perCrop)'!$O:$O,2,
    'Data(perSeason,perCrop)'!$C:$C,L$52,
    'Data(perSeason,perCrop)'!$R:$R,"IRRIGATED"),
"")</f>
        <v/>
      </c>
      <c r="M110" s="59" t="str">
        <f>IFERROR(
    AVERAGEIFS('Data(perSeason,perCrop)'!$E:$E,
    'Data(perSeason,perCrop)'!$S:$S,$A110,
    'Data(perSeason,perCrop)'!$O:$O,2,
    'Data(perSeason,perCrop)'!$C:$C,M$52,
    'Data(perSeason,perCrop)'!$R:$R,"IRRIGATED"),
"")</f>
        <v/>
      </c>
      <c r="N110" s="59" t="str">
        <f>IFERROR(
    AVERAGEIFS('Data(perSeason,perCrop)'!$E:$E,
    'Data(perSeason,perCrop)'!$S:$S,$A110,
    'Data(perSeason,perCrop)'!$O:$O,2,
    'Data(perSeason,perCrop)'!$C:$C,N$52,
    'Data(perSeason,perCrop)'!$R:$R,"IRRIGATED"),
"")</f>
        <v/>
      </c>
      <c r="O110" s="59" t="str">
        <f>IFERROR(
    AVERAGEIFS('Data(perSeason,perCrop)'!$E:$E,
    'Data(perSeason,perCrop)'!$S:$S,$A110,
    'Data(perSeason,perCrop)'!$O:$O,2,
    'Data(perSeason,perCrop)'!$C:$C,O$52,
    'Data(perSeason,perCrop)'!$R:$R,"IRRIGATED"),
"")</f>
        <v/>
      </c>
      <c r="P110" s="59">
        <f>IFERROR(
    AVERAGEIFS('Data(perSeason,perCrop)'!$E:$E,
    'Data(perSeason,perCrop)'!$S:$S,$A110,
    'Data(perSeason,perCrop)'!$O:$O,2,
    'Data(perSeason,perCrop)'!$C:$C,P$52,
    'Data(perSeason,perCrop)'!$R:$R,"IRRIGATED"),
"")</f>
        <v>221</v>
      </c>
      <c r="Q110" s="59" t="str">
        <f>IFERROR(
    AVERAGEIFS('Data(perSeason,perCrop)'!$E:$E,
    'Data(perSeason,perCrop)'!$S:$S,$A110,
    'Data(perSeason,perCrop)'!$O:$O,2,
    'Data(perSeason,perCrop)'!$C:$C,Q$52,
    'Data(perSeason,perCrop)'!$R:$R,"IRRIGATED"),
"")</f>
        <v/>
      </c>
      <c r="R110" s="59">
        <f>IFERROR(
    AVERAGEIFS('Data(perSeason,perCrop)'!$E:$E,
    'Data(perSeason,perCrop)'!$S:$S,$A110,
    'Data(perSeason,perCrop)'!$O:$O,2,
    'Data(perSeason,perCrop)'!$C:$C,R$52,
    'Data(perSeason,perCrop)'!$R:$R,"IRRIGATED"),
"")</f>
        <v>223</v>
      </c>
      <c r="S110" s="59" t="str">
        <f>IFERROR(
    AVERAGEIFS('Data(perSeason,perCrop)'!$E:$E,
    'Data(perSeason,perCrop)'!$S:$S,$A110,
    'Data(perSeason,perCrop)'!$O:$O,2,
    'Data(perSeason,perCrop)'!$C:$C,S$52,
    'Data(perSeason,perCrop)'!$R:$R,"IRRIGATED"),
"")</f>
        <v/>
      </c>
      <c r="T110" s="59" t="str">
        <f>IFERROR(
    AVERAGEIFS('Data(perSeason,perCrop)'!$E:$E,
    'Data(perSeason,perCrop)'!$S:$S,$A110,
    'Data(perSeason,perCrop)'!$O:$O,2,
    'Data(perSeason,perCrop)'!$C:$C,T$52,
    'Data(perSeason,perCrop)'!$R:$R,"IRRIGATED"),
"")</f>
        <v/>
      </c>
      <c r="U110" s="59">
        <f>IFERROR(
    AVERAGEIFS('Data(perSeason,perCrop)'!$E:$E,
    'Data(perSeason,perCrop)'!$S:$S,$A110,
    'Data(perSeason,perCrop)'!$O:$O,2,
    'Data(perSeason,perCrop)'!$C:$C,U$52,
    'Data(perSeason,perCrop)'!$R:$R,"IRRIGATED"),
"")</f>
        <v>266</v>
      </c>
      <c r="V110" s="59" t="str">
        <f>IFERROR(
    AVERAGEIFS('Data(perSeason,perCrop)'!$E:$E,
    'Data(perSeason,perCrop)'!$S:$S,$A110,
    'Data(perSeason,perCrop)'!$O:$O,2,
    'Data(perSeason,perCrop)'!$C:$C,V$52,
    'Data(perSeason,perCrop)'!$R:$R,"IRRIGATED"),
"")</f>
        <v/>
      </c>
      <c r="W110" s="59" t="str">
        <f>IFERROR(
    AVERAGEIFS('Data(perSeason,perCrop)'!$E:$E,
    'Data(perSeason,perCrop)'!$S:$S,$A110,
    'Data(perSeason,perCrop)'!$O:$O,2,
    'Data(perSeason,perCrop)'!$C:$C,W$52,
    'Data(perSeason,perCrop)'!$R:$R,"IRRIGATED"),
"")</f>
        <v/>
      </c>
      <c r="X110" s="59" t="str">
        <f>IFERROR(
    AVERAGEIFS('Data(perSeason,perCrop)'!$E:$E,
    'Data(perSeason,perCrop)'!$S:$S,$A110,
    'Data(perSeason,perCrop)'!$O:$O,2,
    'Data(perSeason,perCrop)'!$C:$C,X$52,
    'Data(perSeason,perCrop)'!$R:$R,"IRRIGATED"),
"")</f>
        <v/>
      </c>
      <c r="Y110" s="59" t="str">
        <f>IFERROR(
    AVERAGEIFS('Data(perSeason,perCrop)'!$E:$E,
    'Data(perSeason,perCrop)'!$S:$S,$A110,
    'Data(perSeason,perCrop)'!$O:$O,2,
    'Data(perSeason,perCrop)'!$C:$C,Y$52,
    'Data(perSeason,perCrop)'!$R:$R,"IRRIGATED"),
"")</f>
        <v/>
      </c>
      <c r="Z110" s="59" t="str">
        <f>IFERROR(
    AVERAGEIFS('Data(perSeason,perCrop)'!$E:$E,
    'Data(perSeason,perCrop)'!$S:$S,$A110,
    'Data(perSeason,perCrop)'!$O:$O,2,
    'Data(perSeason,perCrop)'!$C:$C,Z$52,
    'Data(perSeason,perCrop)'!$R:$R,"IRRIGATED"),
"")</f>
        <v/>
      </c>
      <c r="AA110" s="59" t="str">
        <f>IFERROR(
    AVERAGEIFS('Data(perSeason,perCrop)'!$E:$E,
    'Data(perSeason,perCrop)'!$S:$S,$A110,
    'Data(perSeason,perCrop)'!$O:$O,2,
    'Data(perSeason,perCrop)'!$C:$C,AA$52,
    'Data(perSeason,perCrop)'!$R:$R,"IRRIGATED"),
"")</f>
        <v/>
      </c>
      <c r="AB110" s="59" t="str">
        <f>IFERROR(
    AVERAGEIFS('Data(perSeason,perCrop)'!$E:$E,
    'Data(perSeason,perCrop)'!$S:$S,$A110,
    'Data(perSeason,perCrop)'!$O:$O,2,
    'Data(perSeason,perCrop)'!$C:$C,AB$52,
    'Data(perSeason,perCrop)'!$R:$R,"IRRIGATED"),
"")</f>
        <v/>
      </c>
      <c r="AC110" s="59" t="str">
        <f>IFERROR(
    AVERAGEIFS('Data(perSeason,perCrop)'!$E:$E,
    'Data(perSeason,perCrop)'!$S:$S,$A110,
    'Data(perSeason,perCrop)'!$O:$O,2,
    'Data(perSeason,perCrop)'!$C:$C,AC$52,
    'Data(perSeason,perCrop)'!$R:$R,"IRRIGATED"),
"")</f>
        <v/>
      </c>
      <c r="AD110" s="59" t="str">
        <f>IFERROR(
    AVERAGEIFS('Data(perSeason,perCrop)'!$E:$E,
    'Data(perSeason,perCrop)'!$S:$S,$A110,
    'Data(perSeason,perCrop)'!$O:$O,2,
    'Data(perSeason,perCrop)'!$C:$C,AD$52,
    'Data(perSeason,perCrop)'!$R:$R,"IRRIGATED"),
"")</f>
        <v/>
      </c>
      <c r="AE110" s="59" t="str">
        <f>IFERROR(
    AVERAGEIFS('Data(perSeason,perCrop)'!$E:$E,
    'Data(perSeason,perCrop)'!$S:$S,$A110,
    'Data(perSeason,perCrop)'!$O:$O,2,
    'Data(perSeason,perCrop)'!$C:$C,AE$52,
    'Data(perSeason,perCrop)'!$R:$R,"IRRIGATED"),
"")</f>
        <v/>
      </c>
      <c r="AF110" s="59" t="str">
        <f>IFERROR(
    AVERAGEIFS('Data(perSeason,perCrop)'!$E:$E,
    'Data(perSeason,perCrop)'!$S:$S,$A110,
    'Data(perSeason,perCrop)'!$O:$O,2,
    'Data(perSeason,perCrop)'!$C:$C,AF$52,
    'Data(perSeason,perCrop)'!$R:$R,"IRRIGATED"),
"")</f>
        <v/>
      </c>
    </row>
    <row r="111" spans="1:32" ht="18.75" x14ac:dyDescent="0.3">
      <c r="A111" s="42">
        <v>2020</v>
      </c>
      <c r="B111" s="59" t="str">
        <f>IFERROR(
    AVERAGEIFS('Data(perSeason,perCrop)'!$E:$E,
    'Data(perSeason,perCrop)'!$S:$S,$A111,
    'Data(perSeason,perCrop)'!$O:$O,2,
    'Data(perSeason,perCrop)'!$C:$C,B$52,
    'Data(perSeason,perCrop)'!$R:$R,"IRRIGATED"),
"")</f>
        <v/>
      </c>
      <c r="C111" s="59">
        <f>IFERROR(
    AVERAGEIFS('Data(perSeason,perCrop)'!$E:$E,
    'Data(perSeason,perCrop)'!$S:$S,$A111,
    'Data(perSeason,perCrop)'!$O:$O,2,
    'Data(perSeason,perCrop)'!$C:$C,C$52,
    'Data(perSeason,perCrop)'!$R:$R,"IRRIGATED"),
"")</f>
        <v>221</v>
      </c>
      <c r="D111" s="59" t="str">
        <f>IFERROR(
    AVERAGEIFS('Data(perSeason,perCrop)'!$E:$E,
    'Data(perSeason,perCrop)'!$S:$S,$A111,
    'Data(perSeason,perCrop)'!$O:$O,2,
    'Data(perSeason,perCrop)'!$C:$C,D$52,
    'Data(perSeason,perCrop)'!$R:$R,"IRRIGATED"),
"")</f>
        <v/>
      </c>
      <c r="E111" s="59" t="str">
        <f>IFERROR(
    AVERAGEIFS('Data(perSeason,perCrop)'!$E:$E,
    'Data(perSeason,perCrop)'!$S:$S,$A111,
    'Data(perSeason,perCrop)'!$O:$O,2,
    'Data(perSeason,perCrop)'!$C:$C,E$52,
    'Data(perSeason,perCrop)'!$R:$R,"IRRIGATED"),
"")</f>
        <v/>
      </c>
      <c r="F111" s="59" t="str">
        <f>IFERROR(
    AVERAGEIFS('Data(perSeason,perCrop)'!$E:$E,
    'Data(perSeason,perCrop)'!$S:$S,$A111,
    'Data(perSeason,perCrop)'!$O:$O,2,
    'Data(perSeason,perCrop)'!$C:$C,F$52,
    'Data(perSeason,perCrop)'!$R:$R,"IRRIGATED"),
"")</f>
        <v/>
      </c>
      <c r="G111" s="59" t="str">
        <f>IFERROR(
    AVERAGEIFS('Data(perSeason,perCrop)'!$E:$E,
    'Data(perSeason,perCrop)'!$S:$S,$A111,
    'Data(perSeason,perCrop)'!$O:$O,2,
    'Data(perSeason,perCrop)'!$C:$C,G$52,
    'Data(perSeason,perCrop)'!$R:$R,"IRRIGATED"),
"")</f>
        <v/>
      </c>
      <c r="H111" s="59" t="str">
        <f>IFERROR(
    AVERAGEIFS('Data(perSeason,perCrop)'!$E:$E,
    'Data(perSeason,perCrop)'!$S:$S,$A111,
    'Data(perSeason,perCrop)'!$O:$O,2,
    'Data(perSeason,perCrop)'!$C:$C,H$52,
    'Data(perSeason,perCrop)'!$R:$R,"IRRIGATED"),
"")</f>
        <v/>
      </c>
      <c r="I111" s="59" t="str">
        <f>IFERROR(
    AVERAGEIFS('Data(perSeason,perCrop)'!$E:$E,
    'Data(perSeason,perCrop)'!$S:$S,$A111,
    'Data(perSeason,perCrop)'!$O:$O,2,
    'Data(perSeason,perCrop)'!$C:$C,I$52,
    'Data(perSeason,perCrop)'!$R:$R,"IRRIGATED"),
"")</f>
        <v/>
      </c>
      <c r="J111" s="59" t="str">
        <f>IFERROR(
    AVERAGEIFS('Data(perSeason,perCrop)'!$E:$E,
    'Data(perSeason,perCrop)'!$S:$S,$A111,
    'Data(perSeason,perCrop)'!$O:$O,2,
    'Data(perSeason,perCrop)'!$C:$C,J$52,
    'Data(perSeason,perCrop)'!$R:$R,"IRRIGATED"),
"")</f>
        <v/>
      </c>
      <c r="K111" s="59" t="str">
        <f>IFERROR(
    AVERAGEIFS('Data(perSeason,perCrop)'!$E:$E,
    'Data(perSeason,perCrop)'!$S:$S,$A111,
    'Data(perSeason,perCrop)'!$O:$O,2,
    'Data(perSeason,perCrop)'!$C:$C,K$52,
    'Data(perSeason,perCrop)'!$R:$R,"IRRIGATED"),
"")</f>
        <v/>
      </c>
      <c r="L111" s="59" t="str">
        <f>IFERROR(
    AVERAGEIFS('Data(perSeason,perCrop)'!$E:$E,
    'Data(perSeason,perCrop)'!$S:$S,$A111,
    'Data(perSeason,perCrop)'!$O:$O,2,
    'Data(perSeason,perCrop)'!$C:$C,L$52,
    'Data(perSeason,perCrop)'!$R:$R,"IRRIGATED"),
"")</f>
        <v/>
      </c>
      <c r="M111" s="59" t="str">
        <f>IFERROR(
    AVERAGEIFS('Data(perSeason,perCrop)'!$E:$E,
    'Data(perSeason,perCrop)'!$S:$S,$A111,
    'Data(perSeason,perCrop)'!$O:$O,2,
    'Data(perSeason,perCrop)'!$C:$C,M$52,
    'Data(perSeason,perCrop)'!$R:$R,"IRRIGATED"),
"")</f>
        <v/>
      </c>
      <c r="N111" s="59" t="str">
        <f>IFERROR(
    AVERAGEIFS('Data(perSeason,perCrop)'!$E:$E,
    'Data(perSeason,perCrop)'!$S:$S,$A111,
    'Data(perSeason,perCrop)'!$O:$O,2,
    'Data(perSeason,perCrop)'!$C:$C,N$52,
    'Data(perSeason,perCrop)'!$R:$R,"IRRIGATED"),
"")</f>
        <v/>
      </c>
      <c r="O111" s="59" t="str">
        <f>IFERROR(
    AVERAGEIFS('Data(perSeason,perCrop)'!$E:$E,
    'Data(perSeason,perCrop)'!$S:$S,$A111,
    'Data(perSeason,perCrop)'!$O:$O,2,
    'Data(perSeason,perCrop)'!$C:$C,O$52,
    'Data(perSeason,perCrop)'!$R:$R,"IRRIGATED"),
"")</f>
        <v/>
      </c>
      <c r="P111" s="59">
        <f>IFERROR(
    AVERAGEIFS('Data(perSeason,perCrop)'!$E:$E,
    'Data(perSeason,perCrop)'!$S:$S,$A111,
    'Data(perSeason,perCrop)'!$O:$O,2,
    'Data(perSeason,perCrop)'!$C:$C,P$52,
    'Data(perSeason,perCrop)'!$R:$R,"IRRIGATED"),
"")</f>
        <v>249</v>
      </c>
      <c r="Q111" s="59" t="str">
        <f>IFERROR(
    AVERAGEIFS('Data(perSeason,perCrop)'!$E:$E,
    'Data(perSeason,perCrop)'!$S:$S,$A111,
    'Data(perSeason,perCrop)'!$O:$O,2,
    'Data(perSeason,perCrop)'!$C:$C,Q$52,
    'Data(perSeason,perCrop)'!$R:$R,"IRRIGATED"),
"")</f>
        <v/>
      </c>
      <c r="R111" s="59">
        <f>IFERROR(
    AVERAGEIFS('Data(perSeason,perCrop)'!$E:$E,
    'Data(perSeason,perCrop)'!$S:$S,$A111,
    'Data(perSeason,perCrop)'!$O:$O,2,
    'Data(perSeason,perCrop)'!$C:$C,R$52,
    'Data(perSeason,perCrop)'!$R:$R,"IRRIGATED"),
"")</f>
        <v>246</v>
      </c>
      <c r="S111" s="59" t="str">
        <f>IFERROR(
    AVERAGEIFS('Data(perSeason,perCrop)'!$E:$E,
    'Data(perSeason,perCrop)'!$S:$S,$A111,
    'Data(perSeason,perCrop)'!$O:$O,2,
    'Data(perSeason,perCrop)'!$C:$C,S$52,
    'Data(perSeason,perCrop)'!$R:$R,"IRRIGATED"),
"")</f>
        <v/>
      </c>
      <c r="T111" s="59" t="str">
        <f>IFERROR(
    AVERAGEIFS('Data(perSeason,perCrop)'!$E:$E,
    'Data(perSeason,perCrop)'!$S:$S,$A111,
    'Data(perSeason,perCrop)'!$O:$O,2,
    'Data(perSeason,perCrop)'!$C:$C,T$52,
    'Data(perSeason,perCrop)'!$R:$R,"IRRIGATED"),
"")</f>
        <v/>
      </c>
      <c r="U111" s="59">
        <f>IFERROR(
    AVERAGEIFS('Data(perSeason,perCrop)'!$E:$E,
    'Data(perSeason,perCrop)'!$S:$S,$A111,
    'Data(perSeason,perCrop)'!$O:$O,2,
    'Data(perSeason,perCrop)'!$C:$C,U$52,
    'Data(perSeason,perCrop)'!$R:$R,"IRRIGATED"),
"")</f>
        <v>285</v>
      </c>
      <c r="V111" s="59" t="str">
        <f>IFERROR(
    AVERAGEIFS('Data(perSeason,perCrop)'!$E:$E,
    'Data(perSeason,perCrop)'!$S:$S,$A111,
    'Data(perSeason,perCrop)'!$O:$O,2,
    'Data(perSeason,perCrop)'!$C:$C,V$52,
    'Data(perSeason,perCrop)'!$R:$R,"IRRIGATED"),
"")</f>
        <v/>
      </c>
      <c r="W111" s="59" t="str">
        <f>IFERROR(
    AVERAGEIFS('Data(perSeason,perCrop)'!$E:$E,
    'Data(perSeason,perCrop)'!$S:$S,$A111,
    'Data(perSeason,perCrop)'!$O:$O,2,
    'Data(perSeason,perCrop)'!$C:$C,W$52,
    'Data(perSeason,perCrop)'!$R:$R,"IRRIGATED"),
"")</f>
        <v/>
      </c>
      <c r="X111" s="59" t="str">
        <f>IFERROR(
    AVERAGEIFS('Data(perSeason,perCrop)'!$E:$E,
    'Data(perSeason,perCrop)'!$S:$S,$A111,
    'Data(perSeason,perCrop)'!$O:$O,2,
    'Data(perSeason,perCrop)'!$C:$C,X$52,
    'Data(perSeason,perCrop)'!$R:$R,"IRRIGATED"),
"")</f>
        <v/>
      </c>
      <c r="Y111" s="59" t="str">
        <f>IFERROR(
    AVERAGEIFS('Data(perSeason,perCrop)'!$E:$E,
    'Data(perSeason,perCrop)'!$S:$S,$A111,
    'Data(perSeason,perCrop)'!$O:$O,2,
    'Data(perSeason,perCrop)'!$C:$C,Y$52,
    'Data(perSeason,perCrop)'!$R:$R,"IRRIGATED"),
"")</f>
        <v/>
      </c>
      <c r="Z111" s="59" t="str">
        <f>IFERROR(
    AVERAGEIFS('Data(perSeason,perCrop)'!$E:$E,
    'Data(perSeason,perCrop)'!$S:$S,$A111,
    'Data(perSeason,perCrop)'!$O:$O,2,
    'Data(perSeason,perCrop)'!$C:$C,Z$52,
    'Data(perSeason,perCrop)'!$R:$R,"IRRIGATED"),
"")</f>
        <v/>
      </c>
      <c r="AA111" s="59" t="str">
        <f>IFERROR(
    AVERAGEIFS('Data(perSeason,perCrop)'!$E:$E,
    'Data(perSeason,perCrop)'!$S:$S,$A111,
    'Data(perSeason,perCrop)'!$O:$O,2,
    'Data(perSeason,perCrop)'!$C:$C,AA$52,
    'Data(perSeason,perCrop)'!$R:$R,"IRRIGATED"),
"")</f>
        <v/>
      </c>
      <c r="AB111" s="59" t="str">
        <f>IFERROR(
    AVERAGEIFS('Data(perSeason,perCrop)'!$E:$E,
    'Data(perSeason,perCrop)'!$S:$S,$A111,
    'Data(perSeason,perCrop)'!$O:$O,2,
    'Data(perSeason,perCrop)'!$C:$C,AB$52,
    'Data(perSeason,perCrop)'!$R:$R,"IRRIGATED"),
"")</f>
        <v/>
      </c>
      <c r="AC111" s="59" t="str">
        <f>IFERROR(
    AVERAGEIFS('Data(perSeason,perCrop)'!$E:$E,
    'Data(perSeason,perCrop)'!$S:$S,$A111,
    'Data(perSeason,perCrop)'!$O:$O,2,
    'Data(perSeason,perCrop)'!$C:$C,AC$52,
    'Data(perSeason,perCrop)'!$R:$R,"IRRIGATED"),
"")</f>
        <v/>
      </c>
      <c r="AD111" s="59" t="str">
        <f>IFERROR(
    AVERAGEIFS('Data(perSeason,perCrop)'!$E:$E,
    'Data(perSeason,perCrop)'!$S:$S,$A111,
    'Data(perSeason,perCrop)'!$O:$O,2,
    'Data(perSeason,perCrop)'!$C:$C,AD$52,
    'Data(perSeason,perCrop)'!$R:$R,"IRRIGATED"),
"")</f>
        <v/>
      </c>
      <c r="AE111" s="59" t="str">
        <f>IFERROR(
    AVERAGEIFS('Data(perSeason,perCrop)'!$E:$E,
    'Data(perSeason,perCrop)'!$S:$S,$A111,
    'Data(perSeason,perCrop)'!$O:$O,2,
    'Data(perSeason,perCrop)'!$C:$C,AE$52,
    'Data(perSeason,perCrop)'!$R:$R,"IRRIGATED"),
"")</f>
        <v/>
      </c>
      <c r="AF111" s="59" t="str">
        <f>IFERROR(
    AVERAGEIFS('Data(perSeason,perCrop)'!$E:$E,
    'Data(perSeason,perCrop)'!$S:$S,$A111,
    'Data(perSeason,perCrop)'!$O:$O,2,
    'Data(perSeason,perCrop)'!$C:$C,AF$52,
    'Data(perSeason,perCrop)'!$R:$R,"IRRIGATED"),
"")</f>
        <v/>
      </c>
    </row>
    <row r="112" spans="1:32" ht="18.75" x14ac:dyDescent="0.3">
      <c r="A112" s="42">
        <v>2021</v>
      </c>
      <c r="B112" s="59" t="str">
        <f>IFERROR(
    AVERAGEIFS('Data(perSeason,perCrop)'!$E:$E,
    'Data(perSeason,perCrop)'!$S:$S,$A112,
    'Data(perSeason,perCrop)'!$O:$O,2,
    'Data(perSeason,perCrop)'!$C:$C,B$52,
    'Data(perSeason,perCrop)'!$R:$R,"IRRIGATED"),
"")</f>
        <v/>
      </c>
      <c r="C112" s="59">
        <f>IFERROR(
    AVERAGEIFS('Data(perSeason,perCrop)'!$E:$E,
    'Data(perSeason,perCrop)'!$S:$S,$A112,
    'Data(perSeason,perCrop)'!$O:$O,2,
    'Data(perSeason,perCrop)'!$C:$C,C$52,
    'Data(perSeason,perCrop)'!$R:$R,"IRRIGATED"),
"")</f>
        <v>230</v>
      </c>
      <c r="D112" s="59" t="str">
        <f>IFERROR(
    AVERAGEIFS('Data(perSeason,perCrop)'!$E:$E,
    'Data(perSeason,perCrop)'!$S:$S,$A112,
    'Data(perSeason,perCrop)'!$O:$O,2,
    'Data(perSeason,perCrop)'!$C:$C,D$52,
    'Data(perSeason,perCrop)'!$R:$R,"IRRIGATED"),
"")</f>
        <v/>
      </c>
      <c r="E112" s="59" t="str">
        <f>IFERROR(
    AVERAGEIFS('Data(perSeason,perCrop)'!$E:$E,
    'Data(perSeason,perCrop)'!$S:$S,$A112,
    'Data(perSeason,perCrop)'!$O:$O,2,
    'Data(perSeason,perCrop)'!$C:$C,E$52,
    'Data(perSeason,perCrop)'!$R:$R,"IRRIGATED"),
"")</f>
        <v/>
      </c>
      <c r="F112" s="59" t="str">
        <f>IFERROR(
    AVERAGEIFS('Data(perSeason,perCrop)'!$E:$E,
    'Data(perSeason,perCrop)'!$S:$S,$A112,
    'Data(perSeason,perCrop)'!$O:$O,2,
    'Data(perSeason,perCrop)'!$C:$C,F$52,
    'Data(perSeason,perCrop)'!$R:$R,"IRRIGATED"),
"")</f>
        <v/>
      </c>
      <c r="G112" s="59" t="str">
        <f>IFERROR(
    AVERAGEIFS('Data(perSeason,perCrop)'!$E:$E,
    'Data(perSeason,perCrop)'!$S:$S,$A112,
    'Data(perSeason,perCrop)'!$O:$O,2,
    'Data(perSeason,perCrop)'!$C:$C,G$52,
    'Data(perSeason,perCrop)'!$R:$R,"IRRIGATED"),
"")</f>
        <v/>
      </c>
      <c r="H112" s="59" t="str">
        <f>IFERROR(
    AVERAGEIFS('Data(perSeason,perCrop)'!$E:$E,
    'Data(perSeason,perCrop)'!$S:$S,$A112,
    'Data(perSeason,perCrop)'!$O:$O,2,
    'Data(perSeason,perCrop)'!$C:$C,H$52,
    'Data(perSeason,perCrop)'!$R:$R,"IRRIGATED"),
"")</f>
        <v/>
      </c>
      <c r="I112" s="59" t="str">
        <f>IFERROR(
    AVERAGEIFS('Data(perSeason,perCrop)'!$E:$E,
    'Data(perSeason,perCrop)'!$S:$S,$A112,
    'Data(perSeason,perCrop)'!$O:$O,2,
    'Data(perSeason,perCrop)'!$C:$C,I$52,
    'Data(perSeason,perCrop)'!$R:$R,"IRRIGATED"),
"")</f>
        <v/>
      </c>
      <c r="J112" s="59" t="str">
        <f>IFERROR(
    AVERAGEIFS('Data(perSeason,perCrop)'!$E:$E,
    'Data(perSeason,perCrop)'!$S:$S,$A112,
    'Data(perSeason,perCrop)'!$O:$O,2,
    'Data(perSeason,perCrop)'!$C:$C,J$52,
    'Data(perSeason,perCrop)'!$R:$R,"IRRIGATED"),
"")</f>
        <v/>
      </c>
      <c r="K112" s="59" t="str">
        <f>IFERROR(
    AVERAGEIFS('Data(perSeason,perCrop)'!$E:$E,
    'Data(perSeason,perCrop)'!$S:$S,$A112,
    'Data(perSeason,perCrop)'!$O:$O,2,
    'Data(perSeason,perCrop)'!$C:$C,K$52,
    'Data(perSeason,perCrop)'!$R:$R,"IRRIGATED"),
"")</f>
        <v/>
      </c>
      <c r="L112" s="59" t="str">
        <f>IFERROR(
    AVERAGEIFS('Data(perSeason,perCrop)'!$E:$E,
    'Data(perSeason,perCrop)'!$S:$S,$A112,
    'Data(perSeason,perCrop)'!$O:$O,2,
    'Data(perSeason,perCrop)'!$C:$C,L$52,
    'Data(perSeason,perCrop)'!$R:$R,"IRRIGATED"),
"")</f>
        <v/>
      </c>
      <c r="M112" s="59" t="str">
        <f>IFERROR(
    AVERAGEIFS('Data(perSeason,perCrop)'!$E:$E,
    'Data(perSeason,perCrop)'!$S:$S,$A112,
    'Data(perSeason,perCrop)'!$O:$O,2,
    'Data(perSeason,perCrop)'!$C:$C,M$52,
    'Data(perSeason,perCrop)'!$R:$R,"IRRIGATED"),
"")</f>
        <v/>
      </c>
      <c r="N112" s="59" t="str">
        <f>IFERROR(
    AVERAGEIFS('Data(perSeason,perCrop)'!$E:$E,
    'Data(perSeason,perCrop)'!$S:$S,$A112,
    'Data(perSeason,perCrop)'!$O:$O,2,
    'Data(perSeason,perCrop)'!$C:$C,N$52,
    'Data(perSeason,perCrop)'!$R:$R,"IRRIGATED"),
"")</f>
        <v/>
      </c>
      <c r="O112" s="59" t="str">
        <f>IFERROR(
    AVERAGEIFS('Data(perSeason,perCrop)'!$E:$E,
    'Data(perSeason,perCrop)'!$S:$S,$A112,
    'Data(perSeason,perCrop)'!$O:$O,2,
    'Data(perSeason,perCrop)'!$C:$C,O$52,
    'Data(perSeason,perCrop)'!$R:$R,"IRRIGATED"),
"")</f>
        <v/>
      </c>
      <c r="P112" s="59">
        <f>IFERROR(
    AVERAGEIFS('Data(perSeason,perCrop)'!$E:$E,
    'Data(perSeason,perCrop)'!$S:$S,$A112,
    'Data(perSeason,perCrop)'!$O:$O,2,
    'Data(perSeason,perCrop)'!$C:$C,P$52,
    'Data(perSeason,perCrop)'!$R:$R,"IRRIGATED"),
"")</f>
        <v>241</v>
      </c>
      <c r="Q112" s="59" t="str">
        <f>IFERROR(
    AVERAGEIFS('Data(perSeason,perCrop)'!$E:$E,
    'Data(perSeason,perCrop)'!$S:$S,$A112,
    'Data(perSeason,perCrop)'!$O:$O,2,
    'Data(perSeason,perCrop)'!$C:$C,Q$52,
    'Data(perSeason,perCrop)'!$R:$R,"IRRIGATED"),
"")</f>
        <v/>
      </c>
      <c r="R112" s="59">
        <f>IFERROR(
    AVERAGEIFS('Data(perSeason,perCrop)'!$E:$E,
    'Data(perSeason,perCrop)'!$S:$S,$A112,
    'Data(perSeason,perCrop)'!$O:$O,2,
    'Data(perSeason,perCrop)'!$C:$C,R$52,
    'Data(perSeason,perCrop)'!$R:$R,"IRRIGATED"),
"")</f>
        <v>236</v>
      </c>
      <c r="S112" s="59" t="str">
        <f>IFERROR(
    AVERAGEIFS('Data(perSeason,perCrop)'!$E:$E,
    'Data(perSeason,perCrop)'!$S:$S,$A112,
    'Data(perSeason,perCrop)'!$O:$O,2,
    'Data(perSeason,perCrop)'!$C:$C,S$52,
    'Data(perSeason,perCrop)'!$R:$R,"IRRIGATED"),
"")</f>
        <v/>
      </c>
      <c r="T112" s="59" t="str">
        <f>IFERROR(
    AVERAGEIFS('Data(perSeason,perCrop)'!$E:$E,
    'Data(perSeason,perCrop)'!$S:$S,$A112,
    'Data(perSeason,perCrop)'!$O:$O,2,
    'Data(perSeason,perCrop)'!$C:$C,T$52,
    'Data(perSeason,perCrop)'!$R:$R,"IRRIGATED"),
"")</f>
        <v/>
      </c>
      <c r="U112" s="59">
        <f>IFERROR(
    AVERAGEIFS('Data(perSeason,perCrop)'!$E:$E,
    'Data(perSeason,perCrop)'!$S:$S,$A112,
    'Data(perSeason,perCrop)'!$O:$O,2,
    'Data(perSeason,perCrop)'!$C:$C,U$52,
    'Data(perSeason,perCrop)'!$R:$R,"IRRIGATED"),
"")</f>
        <v>271</v>
      </c>
      <c r="V112" s="59" t="str">
        <f>IFERROR(
    AVERAGEIFS('Data(perSeason,perCrop)'!$E:$E,
    'Data(perSeason,perCrop)'!$S:$S,$A112,
    'Data(perSeason,perCrop)'!$O:$O,2,
    'Data(perSeason,perCrop)'!$C:$C,V$52,
    'Data(perSeason,perCrop)'!$R:$R,"IRRIGATED"),
"")</f>
        <v/>
      </c>
      <c r="W112" s="59" t="str">
        <f>IFERROR(
    AVERAGEIFS('Data(perSeason,perCrop)'!$E:$E,
    'Data(perSeason,perCrop)'!$S:$S,$A112,
    'Data(perSeason,perCrop)'!$O:$O,2,
    'Data(perSeason,perCrop)'!$C:$C,W$52,
    'Data(perSeason,perCrop)'!$R:$R,"IRRIGATED"),
"")</f>
        <v/>
      </c>
      <c r="X112" s="59" t="str">
        <f>IFERROR(
    AVERAGEIFS('Data(perSeason,perCrop)'!$E:$E,
    'Data(perSeason,perCrop)'!$S:$S,$A112,
    'Data(perSeason,perCrop)'!$O:$O,2,
    'Data(perSeason,perCrop)'!$C:$C,X$52,
    'Data(perSeason,perCrop)'!$R:$R,"IRRIGATED"),
"")</f>
        <v/>
      </c>
      <c r="Y112" s="59" t="str">
        <f>IFERROR(
    AVERAGEIFS('Data(perSeason,perCrop)'!$E:$E,
    'Data(perSeason,perCrop)'!$S:$S,$A112,
    'Data(perSeason,perCrop)'!$O:$O,2,
    'Data(perSeason,perCrop)'!$C:$C,Y$52,
    'Data(perSeason,perCrop)'!$R:$R,"IRRIGATED"),
"")</f>
        <v/>
      </c>
      <c r="Z112" s="59" t="str">
        <f>IFERROR(
    AVERAGEIFS('Data(perSeason,perCrop)'!$E:$E,
    'Data(perSeason,perCrop)'!$S:$S,$A112,
    'Data(perSeason,perCrop)'!$O:$O,2,
    'Data(perSeason,perCrop)'!$C:$C,Z$52,
    'Data(perSeason,perCrop)'!$R:$R,"IRRIGATED"),
"")</f>
        <v/>
      </c>
      <c r="AA112" s="59" t="str">
        <f>IFERROR(
    AVERAGEIFS('Data(perSeason,perCrop)'!$E:$E,
    'Data(perSeason,perCrop)'!$S:$S,$A112,
    'Data(perSeason,perCrop)'!$O:$O,2,
    'Data(perSeason,perCrop)'!$C:$C,AA$52,
    'Data(perSeason,perCrop)'!$R:$R,"IRRIGATED"),
"")</f>
        <v/>
      </c>
      <c r="AB112" s="59" t="str">
        <f>IFERROR(
    AVERAGEIFS('Data(perSeason,perCrop)'!$E:$E,
    'Data(perSeason,perCrop)'!$S:$S,$A112,
    'Data(perSeason,perCrop)'!$O:$O,2,
    'Data(perSeason,perCrop)'!$C:$C,AB$52,
    'Data(perSeason,perCrop)'!$R:$R,"IRRIGATED"),
"")</f>
        <v/>
      </c>
      <c r="AC112" s="59" t="str">
        <f>IFERROR(
    AVERAGEIFS('Data(perSeason,perCrop)'!$E:$E,
    'Data(perSeason,perCrop)'!$S:$S,$A112,
    'Data(perSeason,perCrop)'!$O:$O,2,
    'Data(perSeason,perCrop)'!$C:$C,AC$52,
    'Data(perSeason,perCrop)'!$R:$R,"IRRIGATED"),
"")</f>
        <v/>
      </c>
      <c r="AD112" s="59" t="str">
        <f>IFERROR(
    AVERAGEIFS('Data(perSeason,perCrop)'!$E:$E,
    'Data(perSeason,perCrop)'!$S:$S,$A112,
    'Data(perSeason,perCrop)'!$O:$O,2,
    'Data(perSeason,perCrop)'!$C:$C,AD$52,
    'Data(perSeason,perCrop)'!$R:$R,"IRRIGATED"),
"")</f>
        <v/>
      </c>
      <c r="AE112" s="59" t="str">
        <f>IFERROR(
    AVERAGEIFS('Data(perSeason,perCrop)'!$E:$E,
    'Data(perSeason,perCrop)'!$S:$S,$A112,
    'Data(perSeason,perCrop)'!$O:$O,2,
    'Data(perSeason,perCrop)'!$C:$C,AE$52,
    'Data(perSeason,perCrop)'!$R:$R,"IRRIGATED"),
"")</f>
        <v/>
      </c>
      <c r="AF112" s="59" t="str">
        <f>IFERROR(
    AVERAGEIFS('Data(perSeason,perCrop)'!$E:$E,
    'Data(perSeason,perCrop)'!$S:$S,$A112,
    'Data(perSeason,perCrop)'!$O:$O,2,
    'Data(perSeason,perCrop)'!$C:$C,AF$52,
    'Data(perSeason,perCrop)'!$R:$R,"IRRIGATED"),
"")</f>
        <v/>
      </c>
    </row>
    <row r="113" spans="1:32" ht="18.75" x14ac:dyDescent="0.3">
      <c r="A113" s="42">
        <v>2022</v>
      </c>
      <c r="B113" s="59" t="str">
        <f>IFERROR(
    AVERAGEIFS('Data(perSeason,perCrop)'!$E:$E,
    'Data(perSeason,perCrop)'!$S:$S,$A113,
    'Data(perSeason,perCrop)'!$O:$O,2,
    'Data(perSeason,perCrop)'!$C:$C,B$52,
    'Data(perSeason,perCrop)'!$R:$R,"IRRIGATED"),
"")</f>
        <v/>
      </c>
      <c r="C113" s="59">
        <f>IFERROR(
    AVERAGEIFS('Data(perSeason,perCrop)'!$E:$E,
    'Data(perSeason,perCrop)'!$S:$S,$A113,
    'Data(perSeason,perCrop)'!$O:$O,2,
    'Data(perSeason,perCrop)'!$C:$C,C$52,
    'Data(perSeason,perCrop)'!$R:$R,"IRRIGATED"),
"")</f>
        <v>222</v>
      </c>
      <c r="D113" s="59" t="str">
        <f>IFERROR(
    AVERAGEIFS('Data(perSeason,perCrop)'!$E:$E,
    'Data(perSeason,perCrop)'!$S:$S,$A113,
    'Data(perSeason,perCrop)'!$O:$O,2,
    'Data(perSeason,perCrop)'!$C:$C,D$52,
    'Data(perSeason,perCrop)'!$R:$R,"IRRIGATED"),
"")</f>
        <v/>
      </c>
      <c r="E113" s="59" t="str">
        <f>IFERROR(
    AVERAGEIFS('Data(perSeason,perCrop)'!$E:$E,
    'Data(perSeason,perCrop)'!$S:$S,$A113,
    'Data(perSeason,perCrop)'!$O:$O,2,
    'Data(perSeason,perCrop)'!$C:$C,E$52,
    'Data(perSeason,perCrop)'!$R:$R,"IRRIGATED"),
"")</f>
        <v/>
      </c>
      <c r="F113" s="59" t="str">
        <f>IFERROR(
    AVERAGEIFS('Data(perSeason,perCrop)'!$E:$E,
    'Data(perSeason,perCrop)'!$S:$S,$A113,
    'Data(perSeason,perCrop)'!$O:$O,2,
    'Data(perSeason,perCrop)'!$C:$C,F$52,
    'Data(perSeason,perCrop)'!$R:$R,"IRRIGATED"),
"")</f>
        <v/>
      </c>
      <c r="G113" s="59" t="str">
        <f>IFERROR(
    AVERAGEIFS('Data(perSeason,perCrop)'!$E:$E,
    'Data(perSeason,perCrop)'!$S:$S,$A113,
    'Data(perSeason,perCrop)'!$O:$O,2,
    'Data(perSeason,perCrop)'!$C:$C,G$52,
    'Data(perSeason,perCrop)'!$R:$R,"IRRIGATED"),
"")</f>
        <v/>
      </c>
      <c r="H113" s="59" t="str">
        <f>IFERROR(
    AVERAGEIFS('Data(perSeason,perCrop)'!$E:$E,
    'Data(perSeason,perCrop)'!$S:$S,$A113,
    'Data(perSeason,perCrop)'!$O:$O,2,
    'Data(perSeason,perCrop)'!$C:$C,H$52,
    'Data(perSeason,perCrop)'!$R:$R,"IRRIGATED"),
"")</f>
        <v/>
      </c>
      <c r="I113" s="59" t="str">
        <f>IFERROR(
    AVERAGEIFS('Data(perSeason,perCrop)'!$E:$E,
    'Data(perSeason,perCrop)'!$S:$S,$A113,
    'Data(perSeason,perCrop)'!$O:$O,2,
    'Data(perSeason,perCrop)'!$C:$C,I$52,
    'Data(perSeason,perCrop)'!$R:$R,"IRRIGATED"),
"")</f>
        <v/>
      </c>
      <c r="J113" s="59" t="str">
        <f>IFERROR(
    AVERAGEIFS('Data(perSeason,perCrop)'!$E:$E,
    'Data(perSeason,perCrop)'!$S:$S,$A113,
    'Data(perSeason,perCrop)'!$O:$O,2,
    'Data(perSeason,perCrop)'!$C:$C,J$52,
    'Data(perSeason,perCrop)'!$R:$R,"IRRIGATED"),
"")</f>
        <v/>
      </c>
      <c r="K113" s="59" t="str">
        <f>IFERROR(
    AVERAGEIFS('Data(perSeason,perCrop)'!$E:$E,
    'Data(perSeason,perCrop)'!$S:$S,$A113,
    'Data(perSeason,perCrop)'!$O:$O,2,
    'Data(perSeason,perCrop)'!$C:$C,K$52,
    'Data(perSeason,perCrop)'!$R:$R,"IRRIGATED"),
"")</f>
        <v/>
      </c>
      <c r="L113" s="59" t="str">
        <f>IFERROR(
    AVERAGEIFS('Data(perSeason,perCrop)'!$E:$E,
    'Data(perSeason,perCrop)'!$S:$S,$A113,
    'Data(perSeason,perCrop)'!$O:$O,2,
    'Data(perSeason,perCrop)'!$C:$C,L$52,
    'Data(perSeason,perCrop)'!$R:$R,"IRRIGATED"),
"")</f>
        <v/>
      </c>
      <c r="M113" s="59" t="str">
        <f>IFERROR(
    AVERAGEIFS('Data(perSeason,perCrop)'!$E:$E,
    'Data(perSeason,perCrop)'!$S:$S,$A113,
    'Data(perSeason,perCrop)'!$O:$O,2,
    'Data(perSeason,perCrop)'!$C:$C,M$52,
    'Data(perSeason,perCrop)'!$R:$R,"IRRIGATED"),
"")</f>
        <v/>
      </c>
      <c r="N113" s="59" t="str">
        <f>IFERROR(
    AVERAGEIFS('Data(perSeason,perCrop)'!$E:$E,
    'Data(perSeason,perCrop)'!$S:$S,$A113,
    'Data(perSeason,perCrop)'!$O:$O,2,
    'Data(perSeason,perCrop)'!$C:$C,N$52,
    'Data(perSeason,perCrop)'!$R:$R,"IRRIGATED"),
"")</f>
        <v/>
      </c>
      <c r="O113" s="59" t="str">
        <f>IFERROR(
    AVERAGEIFS('Data(perSeason,perCrop)'!$E:$E,
    'Data(perSeason,perCrop)'!$S:$S,$A113,
    'Data(perSeason,perCrop)'!$O:$O,2,
    'Data(perSeason,perCrop)'!$C:$C,O$52,
    'Data(perSeason,perCrop)'!$R:$R,"IRRIGATED"),
"")</f>
        <v/>
      </c>
      <c r="P113" s="59">
        <f>IFERROR(
    AVERAGEIFS('Data(perSeason,perCrop)'!$E:$E,
    'Data(perSeason,perCrop)'!$S:$S,$A113,
    'Data(perSeason,perCrop)'!$O:$O,2,
    'Data(perSeason,perCrop)'!$C:$C,P$52,
    'Data(perSeason,perCrop)'!$R:$R,"IRRIGATED"),
"")</f>
        <v>252</v>
      </c>
      <c r="Q113" s="59" t="str">
        <f>IFERROR(
    AVERAGEIFS('Data(perSeason,perCrop)'!$E:$E,
    'Data(perSeason,perCrop)'!$S:$S,$A113,
    'Data(perSeason,perCrop)'!$O:$O,2,
    'Data(perSeason,perCrop)'!$C:$C,Q$52,
    'Data(perSeason,perCrop)'!$R:$R,"IRRIGATED"),
"")</f>
        <v/>
      </c>
      <c r="R113" s="59">
        <f>IFERROR(
    AVERAGEIFS('Data(perSeason,perCrop)'!$E:$E,
    'Data(perSeason,perCrop)'!$S:$S,$A113,
    'Data(perSeason,perCrop)'!$O:$O,2,
    'Data(perSeason,perCrop)'!$C:$C,R$52,
    'Data(perSeason,perCrop)'!$R:$R,"IRRIGATED"),
"")</f>
        <v>238</v>
      </c>
      <c r="S113" s="59" t="str">
        <f>IFERROR(
    AVERAGEIFS('Data(perSeason,perCrop)'!$E:$E,
    'Data(perSeason,perCrop)'!$S:$S,$A113,
    'Data(perSeason,perCrop)'!$O:$O,2,
    'Data(perSeason,perCrop)'!$C:$C,S$52,
    'Data(perSeason,perCrop)'!$R:$R,"IRRIGATED"),
"")</f>
        <v/>
      </c>
      <c r="T113" s="59" t="str">
        <f>IFERROR(
    AVERAGEIFS('Data(perSeason,perCrop)'!$E:$E,
    'Data(perSeason,perCrop)'!$S:$S,$A113,
    'Data(perSeason,perCrop)'!$O:$O,2,
    'Data(perSeason,perCrop)'!$C:$C,T$52,
    'Data(perSeason,perCrop)'!$R:$R,"IRRIGATED"),
"")</f>
        <v/>
      </c>
      <c r="U113" s="59">
        <f>IFERROR(
    AVERAGEIFS('Data(perSeason,perCrop)'!$E:$E,
    'Data(perSeason,perCrop)'!$S:$S,$A113,
    'Data(perSeason,perCrop)'!$O:$O,2,
    'Data(perSeason,perCrop)'!$C:$C,U$52,
    'Data(perSeason,perCrop)'!$R:$R,"IRRIGATED"),
"")</f>
        <v>285</v>
      </c>
      <c r="V113" s="59" t="str">
        <f>IFERROR(
    AVERAGEIFS('Data(perSeason,perCrop)'!$E:$E,
    'Data(perSeason,perCrop)'!$S:$S,$A113,
    'Data(perSeason,perCrop)'!$O:$O,2,
    'Data(perSeason,perCrop)'!$C:$C,V$52,
    'Data(perSeason,perCrop)'!$R:$R,"IRRIGATED"),
"")</f>
        <v/>
      </c>
      <c r="W113" s="59" t="str">
        <f>IFERROR(
    AVERAGEIFS('Data(perSeason,perCrop)'!$E:$E,
    'Data(perSeason,perCrop)'!$S:$S,$A113,
    'Data(perSeason,perCrop)'!$O:$O,2,
    'Data(perSeason,perCrop)'!$C:$C,W$52,
    'Data(perSeason,perCrop)'!$R:$R,"IRRIGATED"),
"")</f>
        <v/>
      </c>
      <c r="X113" s="59" t="str">
        <f>IFERROR(
    AVERAGEIFS('Data(perSeason,perCrop)'!$E:$E,
    'Data(perSeason,perCrop)'!$S:$S,$A113,
    'Data(perSeason,perCrop)'!$O:$O,2,
    'Data(perSeason,perCrop)'!$C:$C,X$52,
    'Data(perSeason,perCrop)'!$R:$R,"IRRIGATED"),
"")</f>
        <v/>
      </c>
      <c r="Y113" s="59" t="str">
        <f>IFERROR(
    AVERAGEIFS('Data(perSeason,perCrop)'!$E:$E,
    'Data(perSeason,perCrop)'!$S:$S,$A113,
    'Data(perSeason,perCrop)'!$O:$O,2,
    'Data(perSeason,perCrop)'!$C:$C,Y$52,
    'Data(perSeason,perCrop)'!$R:$R,"IRRIGATED"),
"")</f>
        <v/>
      </c>
      <c r="Z113" s="59" t="str">
        <f>IFERROR(
    AVERAGEIFS('Data(perSeason,perCrop)'!$E:$E,
    'Data(perSeason,perCrop)'!$S:$S,$A113,
    'Data(perSeason,perCrop)'!$O:$O,2,
    'Data(perSeason,perCrop)'!$C:$C,Z$52,
    'Data(perSeason,perCrop)'!$R:$R,"IRRIGATED"),
"")</f>
        <v/>
      </c>
      <c r="AA113" s="59" t="str">
        <f>IFERROR(
    AVERAGEIFS('Data(perSeason,perCrop)'!$E:$E,
    'Data(perSeason,perCrop)'!$S:$S,$A113,
    'Data(perSeason,perCrop)'!$O:$O,2,
    'Data(perSeason,perCrop)'!$C:$C,AA$52,
    'Data(perSeason,perCrop)'!$R:$R,"IRRIGATED"),
"")</f>
        <v/>
      </c>
      <c r="AB113" s="59" t="str">
        <f>IFERROR(
    AVERAGEIFS('Data(perSeason,perCrop)'!$E:$E,
    'Data(perSeason,perCrop)'!$S:$S,$A113,
    'Data(perSeason,perCrop)'!$O:$O,2,
    'Data(perSeason,perCrop)'!$C:$C,AB$52,
    'Data(perSeason,perCrop)'!$R:$R,"IRRIGATED"),
"")</f>
        <v/>
      </c>
      <c r="AC113" s="59" t="str">
        <f>IFERROR(
    AVERAGEIFS('Data(perSeason,perCrop)'!$E:$E,
    'Data(perSeason,perCrop)'!$S:$S,$A113,
    'Data(perSeason,perCrop)'!$O:$O,2,
    'Data(perSeason,perCrop)'!$C:$C,AC$52,
    'Data(perSeason,perCrop)'!$R:$R,"IRRIGATED"),
"")</f>
        <v/>
      </c>
      <c r="AD113" s="59" t="str">
        <f>IFERROR(
    AVERAGEIFS('Data(perSeason,perCrop)'!$E:$E,
    'Data(perSeason,perCrop)'!$S:$S,$A113,
    'Data(perSeason,perCrop)'!$O:$O,2,
    'Data(perSeason,perCrop)'!$C:$C,AD$52,
    'Data(perSeason,perCrop)'!$R:$R,"IRRIGATED"),
"")</f>
        <v/>
      </c>
      <c r="AE113" s="59" t="str">
        <f>IFERROR(
    AVERAGEIFS('Data(perSeason,perCrop)'!$E:$E,
    'Data(perSeason,perCrop)'!$S:$S,$A113,
    'Data(perSeason,perCrop)'!$O:$O,2,
    'Data(perSeason,perCrop)'!$C:$C,AE$52,
    'Data(perSeason,perCrop)'!$R:$R,"IRRIGATED"),
"")</f>
        <v/>
      </c>
      <c r="AF113" s="59" t="str">
        <f>IFERROR(
    AVERAGEIFS('Data(perSeason,perCrop)'!$E:$E,
    'Data(perSeason,perCrop)'!$S:$S,$A113,
    'Data(perSeason,perCrop)'!$O:$O,2,
    'Data(perSeason,perCrop)'!$C:$C,AF$52,
    'Data(perSeason,perCrop)'!$R:$R,"IRRIGATED"),
"")</f>
        <v/>
      </c>
    </row>
    <row r="114" spans="1:32" ht="18.75" x14ac:dyDescent="0.3">
      <c r="A114" s="47" t="s">
        <v>184</v>
      </c>
      <c r="B114" s="48" t="str">
        <f>IFERROR(AVERAGE(B109:B113),"")</f>
        <v/>
      </c>
      <c r="C114" s="48">
        <f t="shared" ref="C114:AF114" si="47">IFERROR(AVERAGE(C109:C113),"")</f>
        <v>222.2</v>
      </c>
      <c r="D114" s="48" t="str">
        <f t="shared" si="47"/>
        <v/>
      </c>
      <c r="E114" s="48" t="str">
        <f t="shared" si="47"/>
        <v/>
      </c>
      <c r="F114" s="48" t="str">
        <f t="shared" si="47"/>
        <v/>
      </c>
      <c r="G114" s="48" t="str">
        <f t="shared" si="47"/>
        <v/>
      </c>
      <c r="H114" s="48" t="str">
        <f t="shared" si="47"/>
        <v/>
      </c>
      <c r="I114" s="48" t="str">
        <f t="shared" si="47"/>
        <v/>
      </c>
      <c r="J114" s="48" t="str">
        <f t="shared" si="47"/>
        <v/>
      </c>
      <c r="K114" s="48" t="str">
        <f t="shared" si="47"/>
        <v/>
      </c>
      <c r="L114" s="48" t="str">
        <f t="shared" si="47"/>
        <v/>
      </c>
      <c r="M114" s="48" t="str">
        <f t="shared" si="47"/>
        <v/>
      </c>
      <c r="N114" s="48" t="str">
        <f t="shared" si="47"/>
        <v/>
      </c>
      <c r="O114" s="48" t="str">
        <f t="shared" si="47"/>
        <v/>
      </c>
      <c r="P114" s="48">
        <f t="shared" si="47"/>
        <v>238.4</v>
      </c>
      <c r="Q114" s="48" t="str">
        <f t="shared" si="47"/>
        <v/>
      </c>
      <c r="R114" s="48">
        <f t="shared" si="47"/>
        <v>233</v>
      </c>
      <c r="S114" s="48" t="str">
        <f t="shared" si="47"/>
        <v/>
      </c>
      <c r="T114" s="48" t="str">
        <f t="shared" si="47"/>
        <v/>
      </c>
      <c r="U114" s="48">
        <f t="shared" si="47"/>
        <v>274</v>
      </c>
      <c r="V114" s="48" t="str">
        <f t="shared" si="47"/>
        <v/>
      </c>
      <c r="W114" s="48" t="str">
        <f t="shared" si="47"/>
        <v/>
      </c>
      <c r="X114" s="48" t="str">
        <f t="shared" si="47"/>
        <v/>
      </c>
      <c r="Y114" s="48" t="str">
        <f t="shared" si="47"/>
        <v/>
      </c>
      <c r="Z114" s="48" t="str">
        <f t="shared" si="47"/>
        <v/>
      </c>
      <c r="AA114" s="48" t="str">
        <f t="shared" si="47"/>
        <v/>
      </c>
      <c r="AB114" s="48" t="str">
        <f t="shared" si="47"/>
        <v/>
      </c>
      <c r="AC114" s="48" t="str">
        <f t="shared" si="47"/>
        <v/>
      </c>
      <c r="AD114" s="48" t="str">
        <f t="shared" si="47"/>
        <v/>
      </c>
      <c r="AE114" s="48" t="str">
        <f t="shared" si="47"/>
        <v/>
      </c>
      <c r="AF114" s="48" t="str">
        <f t="shared" si="47"/>
        <v/>
      </c>
    </row>
    <row r="116" spans="1:32" ht="18.75" x14ac:dyDescent="0.3">
      <c r="A116" s="42" t="s">
        <v>34</v>
      </c>
      <c r="B116" s="58" t="s">
        <v>47</v>
      </c>
      <c r="C116" s="58" t="s">
        <v>57</v>
      </c>
      <c r="D116" s="58" t="s">
        <v>110</v>
      </c>
      <c r="E116" s="58" t="s">
        <v>50</v>
      </c>
      <c r="F116" s="58" t="s">
        <v>58</v>
      </c>
      <c r="G116" s="58" t="s">
        <v>51</v>
      </c>
      <c r="H116" s="58" t="s">
        <v>97</v>
      </c>
      <c r="I116" s="58" t="s">
        <v>52</v>
      </c>
      <c r="J116" s="58" t="s">
        <v>59</v>
      </c>
      <c r="K116" s="58" t="s">
        <v>111</v>
      </c>
      <c r="L116" s="58" t="s">
        <v>54</v>
      </c>
      <c r="M116" s="58" t="s">
        <v>112</v>
      </c>
      <c r="N116" s="58" t="s">
        <v>48</v>
      </c>
      <c r="O116" s="58" t="s">
        <v>53</v>
      </c>
      <c r="P116" s="58" t="s">
        <v>49</v>
      </c>
      <c r="Q116" s="58" t="s">
        <v>56</v>
      </c>
      <c r="R116" s="58" t="s">
        <v>102</v>
      </c>
      <c r="S116" s="58" t="s">
        <v>103</v>
      </c>
      <c r="T116" s="58" t="s">
        <v>101</v>
      </c>
      <c r="U116" s="58" t="s">
        <v>106</v>
      </c>
      <c r="V116" s="58" t="s">
        <v>113</v>
      </c>
      <c r="W116" s="58" t="s">
        <v>114</v>
      </c>
      <c r="X116" s="58" t="s">
        <v>115</v>
      </c>
      <c r="Y116" s="58" t="s">
        <v>116</v>
      </c>
      <c r="Z116" s="58" t="s">
        <v>107</v>
      </c>
      <c r="AA116" s="58" t="s">
        <v>104</v>
      </c>
      <c r="AB116" s="58" t="s">
        <v>117</v>
      </c>
      <c r="AC116" s="58" t="s">
        <v>118</v>
      </c>
      <c r="AD116" s="58" t="s">
        <v>119</v>
      </c>
      <c r="AE116" s="58" t="s">
        <v>108</v>
      </c>
      <c r="AF116" s="58" t="s">
        <v>105</v>
      </c>
    </row>
    <row r="117" spans="1:32" ht="18.75" x14ac:dyDescent="0.3">
      <c r="A117" s="42" t="s">
        <v>183</v>
      </c>
      <c r="B117" s="42">
        <v>1</v>
      </c>
      <c r="C117" s="42">
        <v>2</v>
      </c>
      <c r="D117" s="42">
        <v>3</v>
      </c>
      <c r="E117" s="42">
        <v>4</v>
      </c>
      <c r="F117" s="42">
        <v>5</v>
      </c>
      <c r="G117" s="42">
        <v>6</v>
      </c>
      <c r="H117" s="42">
        <v>7</v>
      </c>
      <c r="I117" s="42">
        <v>8</v>
      </c>
      <c r="J117" s="42">
        <v>9</v>
      </c>
      <c r="K117" s="42">
        <v>10</v>
      </c>
      <c r="L117" s="42">
        <v>11</v>
      </c>
      <c r="M117" s="42">
        <v>12</v>
      </c>
      <c r="N117" s="42">
        <v>13</v>
      </c>
      <c r="O117" s="42">
        <v>14</v>
      </c>
      <c r="P117" s="42">
        <v>15</v>
      </c>
      <c r="Q117" s="42">
        <v>16</v>
      </c>
      <c r="R117" s="42">
        <v>17</v>
      </c>
      <c r="S117" s="42">
        <v>18</v>
      </c>
      <c r="T117" s="42">
        <v>19</v>
      </c>
      <c r="U117" s="42">
        <v>20</v>
      </c>
      <c r="V117" s="42">
        <v>21</v>
      </c>
      <c r="W117" s="42">
        <v>22</v>
      </c>
      <c r="X117" s="42">
        <v>23</v>
      </c>
      <c r="Y117" s="42">
        <v>24</v>
      </c>
      <c r="Z117" s="42">
        <v>25</v>
      </c>
      <c r="AA117" s="42">
        <v>40</v>
      </c>
      <c r="AB117" s="42">
        <v>41</v>
      </c>
      <c r="AC117" s="42">
        <v>42</v>
      </c>
      <c r="AD117" s="42">
        <v>43</v>
      </c>
      <c r="AE117" s="42">
        <v>44</v>
      </c>
      <c r="AF117" s="42">
        <v>45</v>
      </c>
    </row>
    <row r="118" spans="1:32" ht="18.75" x14ac:dyDescent="0.3">
      <c r="A118" s="42">
        <v>2018</v>
      </c>
      <c r="B118" s="59" t="str">
        <f>IFERROR(AVERAGEIFS('Data(perSeason,perCrop)'!$P:$P,'Data(perSeason,perCrop)'!$S:$S,$A118,'Data(perSeason,perCrop)'!$O:$O,2,'Data(perSeason,perCrop)'!$C:$C,B$52,'Data(perSeason,perCrop)'!$R:$R,"IRRIGATED"),"")</f>
        <v/>
      </c>
      <c r="C118" s="59">
        <f>IFERROR(AVERAGEIFS('Data(perSeason,perCrop)'!$P:$P,'Data(perSeason,perCrop)'!$S:$S,$A118,'Data(perSeason,perCrop)'!$O:$O,2,'Data(perSeason,perCrop)'!$C:$C,C$52,'Data(perSeason,perCrop)'!$R:$R,"IRRIGATED"),"")</f>
        <v>6299</v>
      </c>
      <c r="D118" s="59" t="str">
        <f>IFERROR(AVERAGEIFS('Data(perSeason,perCrop)'!$P:$P,'Data(perSeason,perCrop)'!$S:$S,$A118,'Data(perSeason,perCrop)'!$O:$O,2,'Data(perSeason,perCrop)'!$C:$C,D$52,'Data(perSeason,perCrop)'!$R:$R,"IRRIGATED"),"")</f>
        <v/>
      </c>
      <c r="E118" s="59" t="str">
        <f>IFERROR(AVERAGEIFS('Data(perSeason,perCrop)'!$P:$P,'Data(perSeason,perCrop)'!$S:$S,$A118,'Data(perSeason,perCrop)'!$O:$O,2,'Data(perSeason,perCrop)'!$C:$C,E$52,'Data(perSeason,perCrop)'!$R:$R,"IRRIGATED"),"")</f>
        <v/>
      </c>
      <c r="F118" s="59" t="str">
        <f>IFERROR(AVERAGEIFS('Data(perSeason,perCrop)'!$P:$P,'Data(perSeason,perCrop)'!$S:$S,$A118,'Data(perSeason,perCrop)'!$O:$O,2,'Data(perSeason,perCrop)'!$C:$C,F$52,'Data(perSeason,perCrop)'!$R:$R,"IRRIGATED"),"")</f>
        <v/>
      </c>
      <c r="G118" s="59" t="str">
        <f>IFERROR(AVERAGEIFS('Data(perSeason,perCrop)'!$P:$P,'Data(perSeason,perCrop)'!$S:$S,$A118,'Data(perSeason,perCrop)'!$O:$O,2,'Data(perSeason,perCrop)'!$C:$C,G$52,'Data(perSeason,perCrop)'!$R:$R,"IRRIGATED"),"")</f>
        <v/>
      </c>
      <c r="H118" s="59" t="str">
        <f>IFERROR(AVERAGEIFS('Data(perSeason,perCrop)'!$P:$P,'Data(perSeason,perCrop)'!$S:$S,$A118,'Data(perSeason,perCrop)'!$O:$O,2,'Data(perSeason,perCrop)'!$C:$C,H$52,'Data(perSeason,perCrop)'!$R:$R,"IRRIGATED"),"")</f>
        <v/>
      </c>
      <c r="I118" s="59" t="str">
        <f>IFERROR(AVERAGEIFS('Data(perSeason,perCrop)'!$P:$P,'Data(perSeason,perCrop)'!$S:$S,$A118,'Data(perSeason,perCrop)'!$O:$O,2,'Data(perSeason,perCrop)'!$C:$C,I$52,'Data(perSeason,perCrop)'!$R:$R,"IRRIGATED"),"")</f>
        <v/>
      </c>
      <c r="J118" s="59" t="str">
        <f>IFERROR(AVERAGEIFS('Data(perSeason,perCrop)'!$P:$P,'Data(perSeason,perCrop)'!$S:$S,$A118,'Data(perSeason,perCrop)'!$O:$O,2,'Data(perSeason,perCrop)'!$C:$C,J$52,'Data(perSeason,perCrop)'!$R:$R,"IRRIGATED"),"")</f>
        <v/>
      </c>
      <c r="K118" s="59" t="str">
        <f>IFERROR(AVERAGEIFS('Data(perSeason,perCrop)'!$P:$P,'Data(perSeason,perCrop)'!$S:$S,$A118,'Data(perSeason,perCrop)'!$O:$O,2,'Data(perSeason,perCrop)'!$C:$C,K$52,'Data(perSeason,perCrop)'!$R:$R,"IRRIGATED"),"")</f>
        <v/>
      </c>
      <c r="L118" s="59" t="str">
        <f>IFERROR(AVERAGEIFS('Data(perSeason,perCrop)'!$P:$P,'Data(perSeason,perCrop)'!$S:$S,$A118,'Data(perSeason,perCrop)'!$O:$O,2,'Data(perSeason,perCrop)'!$C:$C,L$52,'Data(perSeason,perCrop)'!$R:$R,"IRRIGATED"),"")</f>
        <v/>
      </c>
      <c r="M118" s="59" t="str">
        <f>IFERROR(AVERAGEIFS('Data(perSeason,perCrop)'!$P:$P,'Data(perSeason,perCrop)'!$S:$S,$A118,'Data(perSeason,perCrop)'!$O:$O,2,'Data(perSeason,perCrop)'!$C:$C,M$52,'Data(perSeason,perCrop)'!$R:$R,"IRRIGATED"),"")</f>
        <v/>
      </c>
      <c r="N118" s="59" t="str">
        <f>IFERROR(AVERAGEIFS('Data(perSeason,perCrop)'!$P:$P,'Data(perSeason,perCrop)'!$S:$S,$A118,'Data(perSeason,perCrop)'!$O:$O,2,'Data(perSeason,perCrop)'!$C:$C,N$52,'Data(perSeason,perCrop)'!$R:$R,"IRRIGATED"),"")</f>
        <v/>
      </c>
      <c r="O118" s="59" t="str">
        <f>IFERROR(AVERAGEIFS('Data(perSeason,perCrop)'!$P:$P,'Data(perSeason,perCrop)'!$S:$S,$A118,'Data(perSeason,perCrop)'!$O:$O,2,'Data(perSeason,perCrop)'!$C:$C,O$52,'Data(perSeason,perCrop)'!$R:$R,"IRRIGATED"),"")</f>
        <v/>
      </c>
      <c r="P118" s="59">
        <f>IFERROR(AVERAGEIFS('Data(perSeason,perCrop)'!$P:$P,'Data(perSeason,perCrop)'!$S:$S,$A118,'Data(perSeason,perCrop)'!$O:$O,2,'Data(perSeason,perCrop)'!$C:$C,P$52,'Data(perSeason,perCrop)'!$R:$R,"IRRIGATED"),"")</f>
        <v>6293</v>
      </c>
      <c r="Q118" s="59" t="str">
        <f>IFERROR(AVERAGEIFS('Data(perSeason,perCrop)'!$P:$P,'Data(perSeason,perCrop)'!$S:$S,$A118,'Data(perSeason,perCrop)'!$O:$O,2,'Data(perSeason,perCrop)'!$C:$C,Q$52,'Data(perSeason,perCrop)'!$R:$R,"IRRIGATED"),"")</f>
        <v/>
      </c>
      <c r="R118" s="59">
        <f>IFERROR(AVERAGEIFS('Data(perSeason,perCrop)'!$P:$P,'Data(perSeason,perCrop)'!$S:$S,$A118,'Data(perSeason,perCrop)'!$O:$O,2,'Data(perSeason,perCrop)'!$C:$C,R$52,'Data(perSeason,perCrop)'!$R:$R,"IRRIGATED"),"")</f>
        <v>5782</v>
      </c>
      <c r="S118" s="59" t="str">
        <f>IFERROR(AVERAGEIFS('Data(perSeason,perCrop)'!$P:$P,'Data(perSeason,perCrop)'!$S:$S,$A118,'Data(perSeason,perCrop)'!$O:$O,2,'Data(perSeason,perCrop)'!$C:$C,S$52,'Data(perSeason,perCrop)'!$R:$R,"IRRIGATED"),"")</f>
        <v/>
      </c>
      <c r="T118" s="59" t="str">
        <f>IFERROR(AVERAGEIFS('Data(perSeason,perCrop)'!$P:$P,'Data(perSeason,perCrop)'!$S:$S,$A118,'Data(perSeason,perCrop)'!$O:$O,2,'Data(perSeason,perCrop)'!$C:$C,T$52,'Data(perSeason,perCrop)'!$R:$R,"IRRIGATED"),"")</f>
        <v/>
      </c>
      <c r="U118" s="59">
        <f>IFERROR(AVERAGEIFS('Data(perSeason,perCrop)'!$P:$P,'Data(perSeason,perCrop)'!$S:$S,$A118,'Data(perSeason,perCrop)'!$O:$O,2,'Data(perSeason,perCrop)'!$C:$C,U$52,'Data(perSeason,perCrop)'!$R:$R,"IRRIGATED"),"")</f>
        <v>7535</v>
      </c>
      <c r="V118" s="59" t="str">
        <f>IFERROR(AVERAGEIFS('Data(perSeason,perCrop)'!$P:$P,'Data(perSeason,perCrop)'!$S:$S,$A118,'Data(perSeason,perCrop)'!$O:$O,2,'Data(perSeason,perCrop)'!$C:$C,V$52,'Data(perSeason,perCrop)'!$R:$R,"IRRIGATED"),"")</f>
        <v/>
      </c>
      <c r="W118" s="59" t="str">
        <f>IFERROR(AVERAGEIFS('Data(perSeason,perCrop)'!$P:$P,'Data(perSeason,perCrop)'!$S:$S,$A118,'Data(perSeason,perCrop)'!$O:$O,2,'Data(perSeason,perCrop)'!$C:$C,W$52,'Data(perSeason,perCrop)'!$R:$R,"IRRIGATED"),"")</f>
        <v/>
      </c>
      <c r="X118" s="59" t="str">
        <f>IFERROR(AVERAGEIFS('Data(perSeason,perCrop)'!$P:$P,'Data(perSeason,perCrop)'!$S:$S,$A118,'Data(perSeason,perCrop)'!$O:$O,2,'Data(perSeason,perCrop)'!$C:$C,X$52,'Data(perSeason,perCrop)'!$R:$R,"IRRIGATED"),"")</f>
        <v/>
      </c>
      <c r="Y118" s="59" t="str">
        <f>IFERROR(AVERAGEIFS('Data(perSeason,perCrop)'!$P:$P,'Data(perSeason,perCrop)'!$S:$S,$A118,'Data(perSeason,perCrop)'!$O:$O,2,'Data(perSeason,perCrop)'!$C:$C,Y$52,'Data(perSeason,perCrop)'!$R:$R,"IRRIGATED"),"")</f>
        <v/>
      </c>
      <c r="Z118" s="59" t="str">
        <f>IFERROR(AVERAGEIFS('Data(perSeason,perCrop)'!$P:$P,'Data(perSeason,perCrop)'!$S:$S,$A118,'Data(perSeason,perCrop)'!$O:$O,2,'Data(perSeason,perCrop)'!$C:$C,Z$52,'Data(perSeason,perCrop)'!$R:$R,"IRRIGATED"),"")</f>
        <v/>
      </c>
      <c r="AA118" s="59" t="str">
        <f>IFERROR(AVERAGEIFS('Data(perSeason,perCrop)'!$P:$P,'Data(perSeason,perCrop)'!$S:$S,$A118,'Data(perSeason,perCrop)'!$O:$O,2,'Data(perSeason,perCrop)'!$C:$C,AA$52,'Data(perSeason,perCrop)'!$R:$R,"IRRIGATED"),"")</f>
        <v/>
      </c>
      <c r="AB118" s="59" t="str">
        <f>IFERROR(AVERAGEIFS('Data(perSeason,perCrop)'!$P:$P,'Data(perSeason,perCrop)'!$S:$S,$A118,'Data(perSeason,perCrop)'!$O:$O,2,'Data(perSeason,perCrop)'!$C:$C,AB$52,'Data(perSeason,perCrop)'!$R:$R,"IRRIGATED"),"")</f>
        <v/>
      </c>
      <c r="AC118" s="59" t="str">
        <f>IFERROR(AVERAGEIFS('Data(perSeason,perCrop)'!$P:$P,'Data(perSeason,perCrop)'!$S:$S,$A118,'Data(perSeason,perCrop)'!$O:$O,2,'Data(perSeason,perCrop)'!$C:$C,AC$52,'Data(perSeason,perCrop)'!$R:$R,"IRRIGATED"),"")</f>
        <v/>
      </c>
      <c r="AD118" s="59" t="str">
        <f>IFERROR(AVERAGEIFS('Data(perSeason,perCrop)'!$P:$P,'Data(perSeason,perCrop)'!$S:$S,$A118,'Data(perSeason,perCrop)'!$O:$O,2,'Data(perSeason,perCrop)'!$C:$C,AD$52,'Data(perSeason,perCrop)'!$R:$R,"IRRIGATED"),"")</f>
        <v/>
      </c>
      <c r="AE118" s="59" t="str">
        <f>IFERROR(AVERAGEIFS('Data(perSeason,perCrop)'!$P:$P,'Data(perSeason,perCrop)'!$S:$S,$A118,'Data(perSeason,perCrop)'!$O:$O,2,'Data(perSeason,perCrop)'!$C:$C,AE$52,'Data(perSeason,perCrop)'!$R:$R,"IRRIGATED"),"")</f>
        <v/>
      </c>
      <c r="AF118" s="59" t="str">
        <f>IFERROR(AVERAGEIFS('Data(perSeason,perCrop)'!$P:$P,'Data(perSeason,perCrop)'!$S:$S,$A118,'Data(perSeason,perCrop)'!$O:$O,2,'Data(perSeason,perCrop)'!$C:$C,AF$52,'Data(perSeason,perCrop)'!$R:$R,"IRRIGATED"),"")</f>
        <v/>
      </c>
    </row>
    <row r="119" spans="1:32" ht="18.75" x14ac:dyDescent="0.3">
      <c r="A119" s="42">
        <v>2019</v>
      </c>
      <c r="B119" s="59" t="str">
        <f>IFERROR(AVERAGEIFS('Data(perSeason,perCrop)'!$P:$P,'Data(perSeason,perCrop)'!$S:$S,$A119,'Data(perSeason,perCrop)'!$O:$O,2,'Data(perSeason,perCrop)'!$C:$C,B$52,'Data(perSeason,perCrop)'!$R:$R,"IRRIGATED"),"")</f>
        <v/>
      </c>
      <c r="C119" s="59">
        <f>IFERROR(AVERAGEIFS('Data(perSeason,perCrop)'!$P:$P,'Data(perSeason,perCrop)'!$S:$S,$A119,'Data(perSeason,perCrop)'!$O:$O,2,'Data(perSeason,perCrop)'!$C:$C,C$52,'Data(perSeason,perCrop)'!$R:$R,"IRRIGATED"),"")</f>
        <v>6266</v>
      </c>
      <c r="D119" s="59" t="str">
        <f>IFERROR(AVERAGEIFS('Data(perSeason,perCrop)'!$P:$P,'Data(perSeason,perCrop)'!$S:$S,$A119,'Data(perSeason,perCrop)'!$O:$O,2,'Data(perSeason,perCrop)'!$C:$C,D$52,'Data(perSeason,perCrop)'!$R:$R,"IRRIGATED"),"")</f>
        <v/>
      </c>
      <c r="E119" s="59" t="str">
        <f>IFERROR(AVERAGEIFS('Data(perSeason,perCrop)'!$P:$P,'Data(perSeason,perCrop)'!$S:$S,$A119,'Data(perSeason,perCrop)'!$O:$O,2,'Data(perSeason,perCrop)'!$C:$C,E$52,'Data(perSeason,perCrop)'!$R:$R,"IRRIGATED"),"")</f>
        <v/>
      </c>
      <c r="F119" s="59" t="str">
        <f>IFERROR(AVERAGEIFS('Data(perSeason,perCrop)'!$P:$P,'Data(perSeason,perCrop)'!$S:$S,$A119,'Data(perSeason,perCrop)'!$O:$O,2,'Data(perSeason,perCrop)'!$C:$C,F$52,'Data(perSeason,perCrop)'!$R:$R,"IRRIGATED"),"")</f>
        <v/>
      </c>
      <c r="G119" s="59" t="str">
        <f>IFERROR(AVERAGEIFS('Data(perSeason,perCrop)'!$P:$P,'Data(perSeason,perCrop)'!$S:$S,$A119,'Data(perSeason,perCrop)'!$O:$O,2,'Data(perSeason,perCrop)'!$C:$C,G$52,'Data(perSeason,perCrop)'!$R:$R,"IRRIGATED"),"")</f>
        <v/>
      </c>
      <c r="H119" s="59" t="str">
        <f>IFERROR(AVERAGEIFS('Data(perSeason,perCrop)'!$P:$P,'Data(perSeason,perCrop)'!$S:$S,$A119,'Data(perSeason,perCrop)'!$O:$O,2,'Data(perSeason,perCrop)'!$C:$C,H$52,'Data(perSeason,perCrop)'!$R:$R,"IRRIGATED"),"")</f>
        <v/>
      </c>
      <c r="I119" s="59" t="str">
        <f>IFERROR(AVERAGEIFS('Data(perSeason,perCrop)'!$P:$P,'Data(perSeason,perCrop)'!$S:$S,$A119,'Data(perSeason,perCrop)'!$O:$O,2,'Data(perSeason,perCrop)'!$C:$C,I$52,'Data(perSeason,perCrop)'!$R:$R,"IRRIGATED"),"")</f>
        <v/>
      </c>
      <c r="J119" s="59" t="str">
        <f>IFERROR(AVERAGEIFS('Data(perSeason,perCrop)'!$P:$P,'Data(perSeason,perCrop)'!$S:$S,$A119,'Data(perSeason,perCrop)'!$O:$O,2,'Data(perSeason,perCrop)'!$C:$C,J$52,'Data(perSeason,perCrop)'!$R:$R,"IRRIGATED"),"")</f>
        <v/>
      </c>
      <c r="K119" s="59" t="str">
        <f>IFERROR(AVERAGEIFS('Data(perSeason,perCrop)'!$P:$P,'Data(perSeason,perCrop)'!$S:$S,$A119,'Data(perSeason,perCrop)'!$O:$O,2,'Data(perSeason,perCrop)'!$C:$C,K$52,'Data(perSeason,perCrop)'!$R:$R,"IRRIGATED"),"")</f>
        <v/>
      </c>
      <c r="L119" s="59" t="str">
        <f>IFERROR(AVERAGEIFS('Data(perSeason,perCrop)'!$P:$P,'Data(perSeason,perCrop)'!$S:$S,$A119,'Data(perSeason,perCrop)'!$O:$O,2,'Data(perSeason,perCrop)'!$C:$C,L$52,'Data(perSeason,perCrop)'!$R:$R,"IRRIGATED"),"")</f>
        <v/>
      </c>
      <c r="M119" s="59" t="str">
        <f>IFERROR(AVERAGEIFS('Data(perSeason,perCrop)'!$P:$P,'Data(perSeason,perCrop)'!$S:$S,$A119,'Data(perSeason,perCrop)'!$O:$O,2,'Data(perSeason,perCrop)'!$C:$C,M$52,'Data(perSeason,perCrop)'!$R:$R,"IRRIGATED"),"")</f>
        <v/>
      </c>
      <c r="N119" s="59" t="str">
        <f>IFERROR(AVERAGEIFS('Data(perSeason,perCrop)'!$P:$P,'Data(perSeason,perCrop)'!$S:$S,$A119,'Data(perSeason,perCrop)'!$O:$O,2,'Data(perSeason,perCrop)'!$C:$C,N$52,'Data(perSeason,perCrop)'!$R:$R,"IRRIGATED"),"")</f>
        <v/>
      </c>
      <c r="O119" s="59" t="str">
        <f>IFERROR(AVERAGEIFS('Data(perSeason,perCrop)'!$P:$P,'Data(perSeason,perCrop)'!$S:$S,$A119,'Data(perSeason,perCrop)'!$O:$O,2,'Data(perSeason,perCrop)'!$C:$C,O$52,'Data(perSeason,perCrop)'!$R:$R,"IRRIGATED"),"")</f>
        <v/>
      </c>
      <c r="P119" s="59">
        <f>IFERROR(AVERAGEIFS('Data(perSeason,perCrop)'!$P:$P,'Data(perSeason,perCrop)'!$S:$S,$A119,'Data(perSeason,perCrop)'!$O:$O,2,'Data(perSeason,perCrop)'!$C:$C,P$52,'Data(perSeason,perCrop)'!$R:$R,"IRRIGATED"),"")</f>
        <v>6490</v>
      </c>
      <c r="Q119" s="59" t="str">
        <f>IFERROR(AVERAGEIFS('Data(perSeason,perCrop)'!$P:$P,'Data(perSeason,perCrop)'!$S:$S,$A119,'Data(perSeason,perCrop)'!$O:$O,2,'Data(perSeason,perCrop)'!$C:$C,Q$52,'Data(perSeason,perCrop)'!$R:$R,"IRRIGATED"),"")</f>
        <v/>
      </c>
      <c r="R119" s="59">
        <f>IFERROR(AVERAGEIFS('Data(perSeason,perCrop)'!$P:$P,'Data(perSeason,perCrop)'!$S:$S,$A119,'Data(perSeason,perCrop)'!$O:$O,2,'Data(perSeason,perCrop)'!$C:$C,R$52,'Data(perSeason,perCrop)'!$R:$R,"IRRIGATED"),"")</f>
        <v>6349</v>
      </c>
      <c r="S119" s="59" t="str">
        <f>IFERROR(AVERAGEIFS('Data(perSeason,perCrop)'!$P:$P,'Data(perSeason,perCrop)'!$S:$S,$A119,'Data(perSeason,perCrop)'!$O:$O,2,'Data(perSeason,perCrop)'!$C:$C,S$52,'Data(perSeason,perCrop)'!$R:$R,"IRRIGATED"),"")</f>
        <v/>
      </c>
      <c r="T119" s="59" t="str">
        <f>IFERROR(AVERAGEIFS('Data(perSeason,perCrop)'!$P:$P,'Data(perSeason,perCrop)'!$S:$S,$A119,'Data(perSeason,perCrop)'!$O:$O,2,'Data(perSeason,perCrop)'!$C:$C,T$52,'Data(perSeason,perCrop)'!$R:$R,"IRRIGATED"),"")</f>
        <v/>
      </c>
      <c r="U119" s="59">
        <f>IFERROR(AVERAGEIFS('Data(perSeason,perCrop)'!$P:$P,'Data(perSeason,perCrop)'!$S:$S,$A119,'Data(perSeason,perCrop)'!$O:$O,2,'Data(perSeason,perCrop)'!$C:$C,U$52,'Data(perSeason,perCrop)'!$R:$R,"IRRIGATED"),"")</f>
        <v>7819</v>
      </c>
      <c r="V119" s="59" t="str">
        <f>IFERROR(AVERAGEIFS('Data(perSeason,perCrop)'!$P:$P,'Data(perSeason,perCrop)'!$S:$S,$A119,'Data(perSeason,perCrop)'!$O:$O,2,'Data(perSeason,perCrop)'!$C:$C,V$52,'Data(perSeason,perCrop)'!$R:$R,"IRRIGATED"),"")</f>
        <v/>
      </c>
      <c r="W119" s="59" t="str">
        <f>IFERROR(AVERAGEIFS('Data(perSeason,perCrop)'!$P:$P,'Data(perSeason,perCrop)'!$S:$S,$A119,'Data(perSeason,perCrop)'!$O:$O,2,'Data(perSeason,perCrop)'!$C:$C,W$52,'Data(perSeason,perCrop)'!$R:$R,"IRRIGATED"),"")</f>
        <v/>
      </c>
      <c r="X119" s="59" t="str">
        <f>IFERROR(AVERAGEIFS('Data(perSeason,perCrop)'!$P:$P,'Data(perSeason,perCrop)'!$S:$S,$A119,'Data(perSeason,perCrop)'!$O:$O,2,'Data(perSeason,perCrop)'!$C:$C,X$52,'Data(perSeason,perCrop)'!$R:$R,"IRRIGATED"),"")</f>
        <v/>
      </c>
      <c r="Y119" s="59" t="str">
        <f>IFERROR(AVERAGEIFS('Data(perSeason,perCrop)'!$P:$P,'Data(perSeason,perCrop)'!$S:$S,$A119,'Data(perSeason,perCrop)'!$O:$O,2,'Data(perSeason,perCrop)'!$C:$C,Y$52,'Data(perSeason,perCrop)'!$R:$R,"IRRIGATED"),"")</f>
        <v/>
      </c>
      <c r="Z119" s="59" t="str">
        <f>IFERROR(AVERAGEIFS('Data(perSeason,perCrop)'!$P:$P,'Data(perSeason,perCrop)'!$S:$S,$A119,'Data(perSeason,perCrop)'!$O:$O,2,'Data(perSeason,perCrop)'!$C:$C,Z$52,'Data(perSeason,perCrop)'!$R:$R,"IRRIGATED"),"")</f>
        <v/>
      </c>
      <c r="AA119" s="59" t="str">
        <f>IFERROR(AVERAGEIFS('Data(perSeason,perCrop)'!$P:$P,'Data(perSeason,perCrop)'!$S:$S,$A119,'Data(perSeason,perCrop)'!$O:$O,2,'Data(perSeason,perCrop)'!$C:$C,AA$52,'Data(perSeason,perCrop)'!$R:$R,"IRRIGATED"),"")</f>
        <v/>
      </c>
      <c r="AB119" s="59" t="str">
        <f>IFERROR(AVERAGEIFS('Data(perSeason,perCrop)'!$P:$P,'Data(perSeason,perCrop)'!$S:$S,$A119,'Data(perSeason,perCrop)'!$O:$O,2,'Data(perSeason,perCrop)'!$C:$C,AB$52,'Data(perSeason,perCrop)'!$R:$R,"IRRIGATED"),"")</f>
        <v/>
      </c>
      <c r="AC119" s="59" t="str">
        <f>IFERROR(AVERAGEIFS('Data(perSeason,perCrop)'!$P:$P,'Data(perSeason,perCrop)'!$S:$S,$A119,'Data(perSeason,perCrop)'!$O:$O,2,'Data(perSeason,perCrop)'!$C:$C,AC$52,'Data(perSeason,perCrop)'!$R:$R,"IRRIGATED"),"")</f>
        <v/>
      </c>
      <c r="AD119" s="59" t="str">
        <f>IFERROR(AVERAGEIFS('Data(perSeason,perCrop)'!$P:$P,'Data(perSeason,perCrop)'!$S:$S,$A119,'Data(perSeason,perCrop)'!$O:$O,2,'Data(perSeason,perCrop)'!$C:$C,AD$52,'Data(perSeason,perCrop)'!$R:$R,"IRRIGATED"),"")</f>
        <v/>
      </c>
      <c r="AE119" s="59" t="str">
        <f>IFERROR(AVERAGEIFS('Data(perSeason,perCrop)'!$P:$P,'Data(perSeason,perCrop)'!$S:$S,$A119,'Data(perSeason,perCrop)'!$O:$O,2,'Data(perSeason,perCrop)'!$C:$C,AE$52,'Data(perSeason,perCrop)'!$R:$R,"IRRIGATED"),"")</f>
        <v/>
      </c>
      <c r="AF119" s="59" t="str">
        <f>IFERROR(AVERAGEIFS('Data(perSeason,perCrop)'!$P:$P,'Data(perSeason,perCrop)'!$S:$S,$A119,'Data(perSeason,perCrop)'!$O:$O,2,'Data(perSeason,perCrop)'!$C:$C,AF$52,'Data(perSeason,perCrop)'!$R:$R,"IRRIGATED"),"")</f>
        <v/>
      </c>
    </row>
    <row r="120" spans="1:32" ht="18.75" x14ac:dyDescent="0.3">
      <c r="A120" s="42">
        <v>2020</v>
      </c>
      <c r="B120" s="59" t="str">
        <f>IFERROR(AVERAGEIFS('Data(perSeason,perCrop)'!$P:$P,'Data(perSeason,perCrop)'!$S:$S,$A120,'Data(perSeason,perCrop)'!$O:$O,2,'Data(perSeason,perCrop)'!$C:$C,B$52,'Data(perSeason,perCrop)'!$R:$R,"IRRIGATED"),"")</f>
        <v/>
      </c>
      <c r="C120" s="59">
        <f>IFERROR(AVERAGEIFS('Data(perSeason,perCrop)'!$P:$P,'Data(perSeason,perCrop)'!$S:$S,$A120,'Data(perSeason,perCrop)'!$O:$O,2,'Data(perSeason,perCrop)'!$C:$C,C$52,'Data(perSeason,perCrop)'!$R:$R,"IRRIGATED"),"")</f>
        <v>5201</v>
      </c>
      <c r="D120" s="59" t="str">
        <f>IFERROR(AVERAGEIFS('Data(perSeason,perCrop)'!$P:$P,'Data(perSeason,perCrop)'!$S:$S,$A120,'Data(perSeason,perCrop)'!$O:$O,2,'Data(perSeason,perCrop)'!$C:$C,D$52,'Data(perSeason,perCrop)'!$R:$R,"IRRIGATED"),"")</f>
        <v/>
      </c>
      <c r="E120" s="59" t="str">
        <f>IFERROR(AVERAGEIFS('Data(perSeason,perCrop)'!$P:$P,'Data(perSeason,perCrop)'!$S:$S,$A120,'Data(perSeason,perCrop)'!$O:$O,2,'Data(perSeason,perCrop)'!$C:$C,E$52,'Data(perSeason,perCrop)'!$R:$R,"IRRIGATED"),"")</f>
        <v/>
      </c>
      <c r="F120" s="59" t="str">
        <f>IFERROR(AVERAGEIFS('Data(perSeason,perCrop)'!$P:$P,'Data(perSeason,perCrop)'!$S:$S,$A120,'Data(perSeason,perCrop)'!$O:$O,2,'Data(perSeason,perCrop)'!$C:$C,F$52,'Data(perSeason,perCrop)'!$R:$R,"IRRIGATED"),"")</f>
        <v/>
      </c>
      <c r="G120" s="59" t="str">
        <f>IFERROR(AVERAGEIFS('Data(perSeason,perCrop)'!$P:$P,'Data(perSeason,perCrop)'!$S:$S,$A120,'Data(perSeason,perCrop)'!$O:$O,2,'Data(perSeason,perCrop)'!$C:$C,G$52,'Data(perSeason,perCrop)'!$R:$R,"IRRIGATED"),"")</f>
        <v/>
      </c>
      <c r="H120" s="59" t="str">
        <f>IFERROR(AVERAGEIFS('Data(perSeason,perCrop)'!$P:$P,'Data(perSeason,perCrop)'!$S:$S,$A120,'Data(perSeason,perCrop)'!$O:$O,2,'Data(perSeason,perCrop)'!$C:$C,H$52,'Data(perSeason,perCrop)'!$R:$R,"IRRIGATED"),"")</f>
        <v/>
      </c>
      <c r="I120" s="59" t="str">
        <f>IFERROR(AVERAGEIFS('Data(perSeason,perCrop)'!$P:$P,'Data(perSeason,perCrop)'!$S:$S,$A120,'Data(perSeason,perCrop)'!$O:$O,2,'Data(perSeason,perCrop)'!$C:$C,I$52,'Data(perSeason,perCrop)'!$R:$R,"IRRIGATED"),"")</f>
        <v/>
      </c>
      <c r="J120" s="59" t="str">
        <f>IFERROR(AVERAGEIFS('Data(perSeason,perCrop)'!$P:$P,'Data(perSeason,perCrop)'!$S:$S,$A120,'Data(perSeason,perCrop)'!$O:$O,2,'Data(perSeason,perCrop)'!$C:$C,J$52,'Data(perSeason,perCrop)'!$R:$R,"IRRIGATED"),"")</f>
        <v/>
      </c>
      <c r="K120" s="59" t="str">
        <f>IFERROR(AVERAGEIFS('Data(perSeason,perCrop)'!$P:$P,'Data(perSeason,perCrop)'!$S:$S,$A120,'Data(perSeason,perCrop)'!$O:$O,2,'Data(perSeason,perCrop)'!$C:$C,K$52,'Data(perSeason,perCrop)'!$R:$R,"IRRIGATED"),"")</f>
        <v/>
      </c>
      <c r="L120" s="59" t="str">
        <f>IFERROR(AVERAGEIFS('Data(perSeason,perCrop)'!$P:$P,'Data(perSeason,perCrop)'!$S:$S,$A120,'Data(perSeason,perCrop)'!$O:$O,2,'Data(perSeason,perCrop)'!$C:$C,L$52,'Data(perSeason,perCrop)'!$R:$R,"IRRIGATED"),"")</f>
        <v/>
      </c>
      <c r="M120" s="59" t="str">
        <f>IFERROR(AVERAGEIFS('Data(perSeason,perCrop)'!$P:$P,'Data(perSeason,perCrop)'!$S:$S,$A120,'Data(perSeason,perCrop)'!$O:$O,2,'Data(perSeason,perCrop)'!$C:$C,M$52,'Data(perSeason,perCrop)'!$R:$R,"IRRIGATED"),"")</f>
        <v/>
      </c>
      <c r="N120" s="59" t="str">
        <f>IFERROR(AVERAGEIFS('Data(perSeason,perCrop)'!$P:$P,'Data(perSeason,perCrop)'!$S:$S,$A120,'Data(perSeason,perCrop)'!$O:$O,2,'Data(perSeason,perCrop)'!$C:$C,N$52,'Data(perSeason,perCrop)'!$R:$R,"IRRIGATED"),"")</f>
        <v/>
      </c>
      <c r="O120" s="59" t="str">
        <f>IFERROR(AVERAGEIFS('Data(perSeason,perCrop)'!$P:$P,'Data(perSeason,perCrop)'!$S:$S,$A120,'Data(perSeason,perCrop)'!$O:$O,2,'Data(perSeason,perCrop)'!$C:$C,O$52,'Data(perSeason,perCrop)'!$R:$R,"IRRIGATED"),"")</f>
        <v/>
      </c>
      <c r="P120" s="59">
        <f>IFERROR(AVERAGEIFS('Data(perSeason,perCrop)'!$P:$P,'Data(perSeason,perCrop)'!$S:$S,$A120,'Data(perSeason,perCrop)'!$O:$O,2,'Data(perSeason,perCrop)'!$C:$C,P$52,'Data(perSeason,perCrop)'!$R:$R,"IRRIGATED"),"")</f>
        <v>5794</v>
      </c>
      <c r="Q120" s="59" t="str">
        <f>IFERROR(AVERAGEIFS('Data(perSeason,perCrop)'!$P:$P,'Data(perSeason,perCrop)'!$S:$S,$A120,'Data(perSeason,perCrop)'!$O:$O,2,'Data(perSeason,perCrop)'!$C:$C,Q$52,'Data(perSeason,perCrop)'!$R:$R,"IRRIGATED"),"")</f>
        <v/>
      </c>
      <c r="R120" s="59">
        <f>IFERROR(AVERAGEIFS('Data(perSeason,perCrop)'!$P:$P,'Data(perSeason,perCrop)'!$S:$S,$A120,'Data(perSeason,perCrop)'!$O:$O,2,'Data(perSeason,perCrop)'!$C:$C,R$52,'Data(perSeason,perCrop)'!$R:$R,"IRRIGATED"),"")</f>
        <v>5737</v>
      </c>
      <c r="S120" s="59" t="str">
        <f>IFERROR(AVERAGEIFS('Data(perSeason,perCrop)'!$P:$P,'Data(perSeason,perCrop)'!$S:$S,$A120,'Data(perSeason,perCrop)'!$O:$O,2,'Data(perSeason,perCrop)'!$C:$C,S$52,'Data(perSeason,perCrop)'!$R:$R,"IRRIGATED"),"")</f>
        <v/>
      </c>
      <c r="T120" s="59" t="str">
        <f>IFERROR(AVERAGEIFS('Data(perSeason,perCrop)'!$P:$P,'Data(perSeason,perCrop)'!$S:$S,$A120,'Data(perSeason,perCrop)'!$O:$O,2,'Data(perSeason,perCrop)'!$C:$C,T$52,'Data(perSeason,perCrop)'!$R:$R,"IRRIGATED"),"")</f>
        <v/>
      </c>
      <c r="U120" s="59">
        <f>IFERROR(AVERAGEIFS('Data(perSeason,perCrop)'!$P:$P,'Data(perSeason,perCrop)'!$S:$S,$A120,'Data(perSeason,perCrop)'!$O:$O,2,'Data(perSeason,perCrop)'!$C:$C,U$52,'Data(perSeason,perCrop)'!$R:$R,"IRRIGATED"),"")</f>
        <v>6758</v>
      </c>
      <c r="V120" s="59" t="str">
        <f>IFERROR(AVERAGEIFS('Data(perSeason,perCrop)'!$P:$P,'Data(perSeason,perCrop)'!$S:$S,$A120,'Data(perSeason,perCrop)'!$O:$O,2,'Data(perSeason,perCrop)'!$C:$C,V$52,'Data(perSeason,perCrop)'!$R:$R,"IRRIGATED"),"")</f>
        <v/>
      </c>
      <c r="W120" s="59" t="str">
        <f>IFERROR(AVERAGEIFS('Data(perSeason,perCrop)'!$P:$P,'Data(perSeason,perCrop)'!$S:$S,$A120,'Data(perSeason,perCrop)'!$O:$O,2,'Data(perSeason,perCrop)'!$C:$C,W$52,'Data(perSeason,perCrop)'!$R:$R,"IRRIGATED"),"")</f>
        <v/>
      </c>
      <c r="X120" s="59" t="str">
        <f>IFERROR(AVERAGEIFS('Data(perSeason,perCrop)'!$P:$P,'Data(perSeason,perCrop)'!$S:$S,$A120,'Data(perSeason,perCrop)'!$O:$O,2,'Data(perSeason,perCrop)'!$C:$C,X$52,'Data(perSeason,perCrop)'!$R:$R,"IRRIGATED"),"")</f>
        <v/>
      </c>
      <c r="Y120" s="59" t="str">
        <f>IFERROR(AVERAGEIFS('Data(perSeason,perCrop)'!$P:$P,'Data(perSeason,perCrop)'!$S:$S,$A120,'Data(perSeason,perCrop)'!$O:$O,2,'Data(perSeason,perCrop)'!$C:$C,Y$52,'Data(perSeason,perCrop)'!$R:$R,"IRRIGATED"),"")</f>
        <v/>
      </c>
      <c r="Z120" s="59" t="str">
        <f>IFERROR(AVERAGEIFS('Data(perSeason,perCrop)'!$P:$P,'Data(perSeason,perCrop)'!$S:$S,$A120,'Data(perSeason,perCrop)'!$O:$O,2,'Data(perSeason,perCrop)'!$C:$C,Z$52,'Data(perSeason,perCrop)'!$R:$R,"IRRIGATED"),"")</f>
        <v/>
      </c>
      <c r="AA120" s="59" t="str">
        <f>IFERROR(AVERAGEIFS('Data(perSeason,perCrop)'!$P:$P,'Data(perSeason,perCrop)'!$S:$S,$A120,'Data(perSeason,perCrop)'!$O:$O,2,'Data(perSeason,perCrop)'!$C:$C,AA$52,'Data(perSeason,perCrop)'!$R:$R,"IRRIGATED"),"")</f>
        <v/>
      </c>
      <c r="AB120" s="59" t="str">
        <f>IFERROR(AVERAGEIFS('Data(perSeason,perCrop)'!$P:$P,'Data(perSeason,perCrop)'!$S:$S,$A120,'Data(perSeason,perCrop)'!$O:$O,2,'Data(perSeason,perCrop)'!$C:$C,AB$52,'Data(perSeason,perCrop)'!$R:$R,"IRRIGATED"),"")</f>
        <v/>
      </c>
      <c r="AC120" s="59" t="str">
        <f>IFERROR(AVERAGEIFS('Data(perSeason,perCrop)'!$P:$P,'Data(perSeason,perCrop)'!$S:$S,$A120,'Data(perSeason,perCrop)'!$O:$O,2,'Data(perSeason,perCrop)'!$C:$C,AC$52,'Data(perSeason,perCrop)'!$R:$R,"IRRIGATED"),"")</f>
        <v/>
      </c>
      <c r="AD120" s="59" t="str">
        <f>IFERROR(AVERAGEIFS('Data(perSeason,perCrop)'!$P:$P,'Data(perSeason,perCrop)'!$S:$S,$A120,'Data(perSeason,perCrop)'!$O:$O,2,'Data(perSeason,perCrop)'!$C:$C,AD$52,'Data(perSeason,perCrop)'!$R:$R,"IRRIGATED"),"")</f>
        <v/>
      </c>
      <c r="AE120" s="59" t="str">
        <f>IFERROR(AVERAGEIFS('Data(perSeason,perCrop)'!$P:$P,'Data(perSeason,perCrop)'!$S:$S,$A120,'Data(perSeason,perCrop)'!$O:$O,2,'Data(perSeason,perCrop)'!$C:$C,AE$52,'Data(perSeason,perCrop)'!$R:$R,"IRRIGATED"),"")</f>
        <v/>
      </c>
      <c r="AF120" s="59" t="str">
        <f>IFERROR(AVERAGEIFS('Data(perSeason,perCrop)'!$P:$P,'Data(perSeason,perCrop)'!$S:$S,$A120,'Data(perSeason,perCrop)'!$O:$O,2,'Data(perSeason,perCrop)'!$C:$C,AF$52,'Data(perSeason,perCrop)'!$R:$R,"IRRIGATED"),"")</f>
        <v/>
      </c>
    </row>
    <row r="121" spans="1:32" ht="18.75" x14ac:dyDescent="0.3">
      <c r="A121" s="42">
        <v>2021</v>
      </c>
      <c r="B121" s="59" t="str">
        <f>IFERROR(AVERAGEIFS('Data(perSeason,perCrop)'!$P:$P,'Data(perSeason,perCrop)'!$S:$S,$A121,'Data(perSeason,perCrop)'!$O:$O,2,'Data(perSeason,perCrop)'!$C:$C,B$52,'Data(perSeason,perCrop)'!$R:$R,"IRRIGATED"),"")</f>
        <v/>
      </c>
      <c r="C121" s="59">
        <f>IFERROR(AVERAGEIFS('Data(perSeason,perCrop)'!$P:$P,'Data(perSeason,perCrop)'!$S:$S,$A121,'Data(perSeason,perCrop)'!$O:$O,2,'Data(perSeason,perCrop)'!$C:$C,C$52,'Data(perSeason,perCrop)'!$R:$R,"IRRIGATED"),"")</f>
        <v>5581</v>
      </c>
      <c r="D121" s="59" t="str">
        <f>IFERROR(AVERAGEIFS('Data(perSeason,perCrop)'!$P:$P,'Data(perSeason,perCrop)'!$S:$S,$A121,'Data(perSeason,perCrop)'!$O:$O,2,'Data(perSeason,perCrop)'!$C:$C,D$52,'Data(perSeason,perCrop)'!$R:$R,"IRRIGATED"),"")</f>
        <v/>
      </c>
      <c r="E121" s="59" t="str">
        <f>IFERROR(AVERAGEIFS('Data(perSeason,perCrop)'!$P:$P,'Data(perSeason,perCrop)'!$S:$S,$A121,'Data(perSeason,perCrop)'!$O:$O,2,'Data(perSeason,perCrop)'!$C:$C,E$52,'Data(perSeason,perCrop)'!$R:$R,"IRRIGATED"),"")</f>
        <v/>
      </c>
      <c r="F121" s="59" t="str">
        <f>IFERROR(AVERAGEIFS('Data(perSeason,perCrop)'!$P:$P,'Data(perSeason,perCrop)'!$S:$S,$A121,'Data(perSeason,perCrop)'!$O:$O,2,'Data(perSeason,perCrop)'!$C:$C,F$52,'Data(perSeason,perCrop)'!$R:$R,"IRRIGATED"),"")</f>
        <v/>
      </c>
      <c r="G121" s="59" t="str">
        <f>IFERROR(AVERAGEIFS('Data(perSeason,perCrop)'!$P:$P,'Data(perSeason,perCrop)'!$S:$S,$A121,'Data(perSeason,perCrop)'!$O:$O,2,'Data(perSeason,perCrop)'!$C:$C,G$52,'Data(perSeason,perCrop)'!$R:$R,"IRRIGATED"),"")</f>
        <v/>
      </c>
      <c r="H121" s="59" t="str">
        <f>IFERROR(AVERAGEIFS('Data(perSeason,perCrop)'!$P:$P,'Data(perSeason,perCrop)'!$S:$S,$A121,'Data(perSeason,perCrop)'!$O:$O,2,'Data(perSeason,perCrop)'!$C:$C,H$52,'Data(perSeason,perCrop)'!$R:$R,"IRRIGATED"),"")</f>
        <v/>
      </c>
      <c r="I121" s="59" t="str">
        <f>IFERROR(AVERAGEIFS('Data(perSeason,perCrop)'!$P:$P,'Data(perSeason,perCrop)'!$S:$S,$A121,'Data(perSeason,perCrop)'!$O:$O,2,'Data(perSeason,perCrop)'!$C:$C,I$52,'Data(perSeason,perCrop)'!$R:$R,"IRRIGATED"),"")</f>
        <v/>
      </c>
      <c r="J121" s="59" t="str">
        <f>IFERROR(AVERAGEIFS('Data(perSeason,perCrop)'!$P:$P,'Data(perSeason,perCrop)'!$S:$S,$A121,'Data(perSeason,perCrop)'!$O:$O,2,'Data(perSeason,perCrop)'!$C:$C,J$52,'Data(perSeason,perCrop)'!$R:$R,"IRRIGATED"),"")</f>
        <v/>
      </c>
      <c r="K121" s="59" t="str">
        <f>IFERROR(AVERAGEIFS('Data(perSeason,perCrop)'!$P:$P,'Data(perSeason,perCrop)'!$S:$S,$A121,'Data(perSeason,perCrop)'!$O:$O,2,'Data(perSeason,perCrop)'!$C:$C,K$52,'Data(perSeason,perCrop)'!$R:$R,"IRRIGATED"),"")</f>
        <v/>
      </c>
      <c r="L121" s="59" t="str">
        <f>IFERROR(AVERAGEIFS('Data(perSeason,perCrop)'!$P:$P,'Data(perSeason,perCrop)'!$S:$S,$A121,'Data(perSeason,perCrop)'!$O:$O,2,'Data(perSeason,perCrop)'!$C:$C,L$52,'Data(perSeason,perCrop)'!$R:$R,"IRRIGATED"),"")</f>
        <v/>
      </c>
      <c r="M121" s="59" t="str">
        <f>IFERROR(AVERAGEIFS('Data(perSeason,perCrop)'!$P:$P,'Data(perSeason,perCrop)'!$S:$S,$A121,'Data(perSeason,perCrop)'!$O:$O,2,'Data(perSeason,perCrop)'!$C:$C,M$52,'Data(perSeason,perCrop)'!$R:$R,"IRRIGATED"),"")</f>
        <v/>
      </c>
      <c r="N121" s="59" t="str">
        <f>IFERROR(AVERAGEIFS('Data(perSeason,perCrop)'!$P:$P,'Data(perSeason,perCrop)'!$S:$S,$A121,'Data(perSeason,perCrop)'!$O:$O,2,'Data(perSeason,perCrop)'!$C:$C,N$52,'Data(perSeason,perCrop)'!$R:$R,"IRRIGATED"),"")</f>
        <v/>
      </c>
      <c r="O121" s="59" t="str">
        <f>IFERROR(AVERAGEIFS('Data(perSeason,perCrop)'!$P:$P,'Data(perSeason,perCrop)'!$S:$S,$A121,'Data(perSeason,perCrop)'!$O:$O,2,'Data(perSeason,perCrop)'!$C:$C,O$52,'Data(perSeason,perCrop)'!$R:$R,"IRRIGATED"),"")</f>
        <v/>
      </c>
      <c r="P121" s="59">
        <f>IFERROR(AVERAGEIFS('Data(perSeason,perCrop)'!$P:$P,'Data(perSeason,perCrop)'!$S:$S,$A121,'Data(perSeason,perCrop)'!$O:$O,2,'Data(perSeason,perCrop)'!$C:$C,P$52,'Data(perSeason,perCrop)'!$R:$R,"IRRIGATED"),"")</f>
        <v>5959</v>
      </c>
      <c r="Q121" s="59" t="str">
        <f>IFERROR(AVERAGEIFS('Data(perSeason,perCrop)'!$P:$P,'Data(perSeason,perCrop)'!$S:$S,$A121,'Data(perSeason,perCrop)'!$O:$O,2,'Data(perSeason,perCrop)'!$C:$C,Q$52,'Data(perSeason,perCrop)'!$R:$R,"IRRIGATED"),"")</f>
        <v/>
      </c>
      <c r="R121" s="59">
        <f>IFERROR(AVERAGEIFS('Data(perSeason,perCrop)'!$P:$P,'Data(perSeason,perCrop)'!$S:$S,$A121,'Data(perSeason,perCrop)'!$O:$O,2,'Data(perSeason,perCrop)'!$C:$C,R$52,'Data(perSeason,perCrop)'!$R:$R,"IRRIGATED"),"")</f>
        <v>5740</v>
      </c>
      <c r="S121" s="59" t="str">
        <f>IFERROR(AVERAGEIFS('Data(perSeason,perCrop)'!$P:$P,'Data(perSeason,perCrop)'!$S:$S,$A121,'Data(perSeason,perCrop)'!$O:$O,2,'Data(perSeason,perCrop)'!$C:$C,S$52,'Data(perSeason,perCrop)'!$R:$R,"IRRIGATED"),"")</f>
        <v/>
      </c>
      <c r="T121" s="59" t="str">
        <f>IFERROR(AVERAGEIFS('Data(perSeason,perCrop)'!$P:$P,'Data(perSeason,perCrop)'!$S:$S,$A121,'Data(perSeason,perCrop)'!$O:$O,2,'Data(perSeason,perCrop)'!$C:$C,T$52,'Data(perSeason,perCrop)'!$R:$R,"IRRIGATED"),"")</f>
        <v/>
      </c>
      <c r="U121" s="59">
        <f>IFERROR(AVERAGEIFS('Data(perSeason,perCrop)'!$P:$P,'Data(perSeason,perCrop)'!$S:$S,$A121,'Data(perSeason,perCrop)'!$O:$O,2,'Data(perSeason,perCrop)'!$C:$C,U$52,'Data(perSeason,perCrop)'!$R:$R,"IRRIGATED"),"")</f>
        <v>7065</v>
      </c>
      <c r="V121" s="59" t="str">
        <f>IFERROR(AVERAGEIFS('Data(perSeason,perCrop)'!$P:$P,'Data(perSeason,perCrop)'!$S:$S,$A121,'Data(perSeason,perCrop)'!$O:$O,2,'Data(perSeason,perCrop)'!$C:$C,V$52,'Data(perSeason,perCrop)'!$R:$R,"IRRIGATED"),"")</f>
        <v/>
      </c>
      <c r="W121" s="59" t="str">
        <f>IFERROR(AVERAGEIFS('Data(perSeason,perCrop)'!$P:$P,'Data(perSeason,perCrop)'!$S:$S,$A121,'Data(perSeason,perCrop)'!$O:$O,2,'Data(perSeason,perCrop)'!$C:$C,W$52,'Data(perSeason,perCrop)'!$R:$R,"IRRIGATED"),"")</f>
        <v/>
      </c>
      <c r="X121" s="59" t="str">
        <f>IFERROR(AVERAGEIFS('Data(perSeason,perCrop)'!$P:$P,'Data(perSeason,perCrop)'!$S:$S,$A121,'Data(perSeason,perCrop)'!$O:$O,2,'Data(perSeason,perCrop)'!$C:$C,X$52,'Data(perSeason,perCrop)'!$R:$R,"IRRIGATED"),"")</f>
        <v/>
      </c>
      <c r="Y121" s="59" t="str">
        <f>IFERROR(AVERAGEIFS('Data(perSeason,perCrop)'!$P:$P,'Data(perSeason,perCrop)'!$S:$S,$A121,'Data(perSeason,perCrop)'!$O:$O,2,'Data(perSeason,perCrop)'!$C:$C,Y$52,'Data(perSeason,perCrop)'!$R:$R,"IRRIGATED"),"")</f>
        <v/>
      </c>
      <c r="Z121" s="59" t="str">
        <f>IFERROR(AVERAGEIFS('Data(perSeason,perCrop)'!$P:$P,'Data(perSeason,perCrop)'!$S:$S,$A121,'Data(perSeason,perCrop)'!$O:$O,2,'Data(perSeason,perCrop)'!$C:$C,Z$52,'Data(perSeason,perCrop)'!$R:$R,"IRRIGATED"),"")</f>
        <v/>
      </c>
      <c r="AA121" s="59" t="str">
        <f>IFERROR(AVERAGEIFS('Data(perSeason,perCrop)'!$P:$P,'Data(perSeason,perCrop)'!$S:$S,$A121,'Data(perSeason,perCrop)'!$O:$O,2,'Data(perSeason,perCrop)'!$C:$C,AA$52,'Data(perSeason,perCrop)'!$R:$R,"IRRIGATED"),"")</f>
        <v/>
      </c>
      <c r="AB121" s="59" t="str">
        <f>IFERROR(AVERAGEIFS('Data(perSeason,perCrop)'!$P:$P,'Data(perSeason,perCrop)'!$S:$S,$A121,'Data(perSeason,perCrop)'!$O:$O,2,'Data(perSeason,perCrop)'!$C:$C,AB$52,'Data(perSeason,perCrop)'!$R:$R,"IRRIGATED"),"")</f>
        <v/>
      </c>
      <c r="AC121" s="59" t="str">
        <f>IFERROR(AVERAGEIFS('Data(perSeason,perCrop)'!$P:$P,'Data(perSeason,perCrop)'!$S:$S,$A121,'Data(perSeason,perCrop)'!$O:$O,2,'Data(perSeason,perCrop)'!$C:$C,AC$52,'Data(perSeason,perCrop)'!$R:$R,"IRRIGATED"),"")</f>
        <v/>
      </c>
      <c r="AD121" s="59" t="str">
        <f>IFERROR(AVERAGEIFS('Data(perSeason,perCrop)'!$P:$P,'Data(perSeason,perCrop)'!$S:$S,$A121,'Data(perSeason,perCrop)'!$O:$O,2,'Data(perSeason,perCrop)'!$C:$C,AD$52,'Data(perSeason,perCrop)'!$R:$R,"IRRIGATED"),"")</f>
        <v/>
      </c>
      <c r="AE121" s="59" t="str">
        <f>IFERROR(AVERAGEIFS('Data(perSeason,perCrop)'!$P:$P,'Data(perSeason,perCrop)'!$S:$S,$A121,'Data(perSeason,perCrop)'!$O:$O,2,'Data(perSeason,perCrop)'!$C:$C,AE$52,'Data(perSeason,perCrop)'!$R:$R,"IRRIGATED"),"")</f>
        <v/>
      </c>
      <c r="AF121" s="59" t="str">
        <f>IFERROR(AVERAGEIFS('Data(perSeason,perCrop)'!$P:$P,'Data(perSeason,perCrop)'!$S:$S,$A121,'Data(perSeason,perCrop)'!$O:$O,2,'Data(perSeason,perCrop)'!$C:$C,AF$52,'Data(perSeason,perCrop)'!$R:$R,"IRRIGATED"),"")</f>
        <v/>
      </c>
    </row>
    <row r="122" spans="1:32" ht="18.75" x14ac:dyDescent="0.3">
      <c r="A122" s="42">
        <v>2022</v>
      </c>
      <c r="B122" s="59" t="str">
        <f>IFERROR(AVERAGEIFS('Data(perSeason,perCrop)'!$P:$P,'Data(perSeason,perCrop)'!$S:$S,$A122,'Data(perSeason,perCrop)'!$O:$O,2,'Data(perSeason,perCrop)'!$C:$C,B$52,'Data(perSeason,perCrop)'!$R:$R,"IRRIGATED"),"")</f>
        <v/>
      </c>
      <c r="C122" s="59">
        <f>IFERROR(AVERAGEIFS('Data(perSeason,perCrop)'!$P:$P,'Data(perSeason,perCrop)'!$S:$S,$A122,'Data(perSeason,perCrop)'!$O:$O,2,'Data(perSeason,perCrop)'!$C:$C,C$52,'Data(perSeason,perCrop)'!$R:$R,"IRRIGATED"),"")</f>
        <v>6356</v>
      </c>
      <c r="D122" s="59" t="str">
        <f>IFERROR(AVERAGEIFS('Data(perSeason,perCrop)'!$P:$P,'Data(perSeason,perCrop)'!$S:$S,$A122,'Data(perSeason,perCrop)'!$O:$O,2,'Data(perSeason,perCrop)'!$C:$C,D$52,'Data(perSeason,perCrop)'!$R:$R,"IRRIGATED"),"")</f>
        <v/>
      </c>
      <c r="E122" s="59" t="str">
        <f>IFERROR(AVERAGEIFS('Data(perSeason,perCrop)'!$P:$P,'Data(perSeason,perCrop)'!$S:$S,$A122,'Data(perSeason,perCrop)'!$O:$O,2,'Data(perSeason,perCrop)'!$C:$C,E$52,'Data(perSeason,perCrop)'!$R:$R,"IRRIGATED"),"")</f>
        <v/>
      </c>
      <c r="F122" s="59" t="str">
        <f>IFERROR(AVERAGEIFS('Data(perSeason,perCrop)'!$P:$P,'Data(perSeason,perCrop)'!$S:$S,$A122,'Data(perSeason,perCrop)'!$O:$O,2,'Data(perSeason,perCrop)'!$C:$C,F$52,'Data(perSeason,perCrop)'!$R:$R,"IRRIGATED"),"")</f>
        <v/>
      </c>
      <c r="G122" s="59" t="str">
        <f>IFERROR(AVERAGEIFS('Data(perSeason,perCrop)'!$P:$P,'Data(perSeason,perCrop)'!$S:$S,$A122,'Data(perSeason,perCrop)'!$O:$O,2,'Data(perSeason,perCrop)'!$C:$C,G$52,'Data(perSeason,perCrop)'!$R:$R,"IRRIGATED"),"")</f>
        <v/>
      </c>
      <c r="H122" s="59" t="str">
        <f>IFERROR(AVERAGEIFS('Data(perSeason,perCrop)'!$P:$P,'Data(perSeason,perCrop)'!$S:$S,$A122,'Data(perSeason,perCrop)'!$O:$O,2,'Data(perSeason,perCrop)'!$C:$C,H$52,'Data(perSeason,perCrop)'!$R:$R,"IRRIGATED"),"")</f>
        <v/>
      </c>
      <c r="I122" s="59" t="str">
        <f>IFERROR(AVERAGEIFS('Data(perSeason,perCrop)'!$P:$P,'Data(perSeason,perCrop)'!$S:$S,$A122,'Data(perSeason,perCrop)'!$O:$O,2,'Data(perSeason,perCrop)'!$C:$C,I$52,'Data(perSeason,perCrop)'!$R:$R,"IRRIGATED"),"")</f>
        <v/>
      </c>
      <c r="J122" s="59" t="str">
        <f>IFERROR(AVERAGEIFS('Data(perSeason,perCrop)'!$P:$P,'Data(perSeason,perCrop)'!$S:$S,$A122,'Data(perSeason,perCrop)'!$O:$O,2,'Data(perSeason,perCrop)'!$C:$C,J$52,'Data(perSeason,perCrop)'!$R:$R,"IRRIGATED"),"")</f>
        <v/>
      </c>
      <c r="K122" s="59" t="str">
        <f>IFERROR(AVERAGEIFS('Data(perSeason,perCrop)'!$P:$P,'Data(perSeason,perCrop)'!$S:$S,$A122,'Data(perSeason,perCrop)'!$O:$O,2,'Data(perSeason,perCrop)'!$C:$C,K$52,'Data(perSeason,perCrop)'!$R:$R,"IRRIGATED"),"")</f>
        <v/>
      </c>
      <c r="L122" s="59" t="str">
        <f>IFERROR(AVERAGEIFS('Data(perSeason,perCrop)'!$P:$P,'Data(perSeason,perCrop)'!$S:$S,$A122,'Data(perSeason,perCrop)'!$O:$O,2,'Data(perSeason,perCrop)'!$C:$C,L$52,'Data(perSeason,perCrop)'!$R:$R,"IRRIGATED"),"")</f>
        <v/>
      </c>
      <c r="M122" s="59" t="str">
        <f>IFERROR(AVERAGEIFS('Data(perSeason,perCrop)'!$P:$P,'Data(perSeason,perCrop)'!$S:$S,$A122,'Data(perSeason,perCrop)'!$O:$O,2,'Data(perSeason,perCrop)'!$C:$C,M$52,'Data(perSeason,perCrop)'!$R:$R,"IRRIGATED"),"")</f>
        <v/>
      </c>
      <c r="N122" s="59" t="str">
        <f>IFERROR(AVERAGEIFS('Data(perSeason,perCrop)'!$P:$P,'Data(perSeason,perCrop)'!$S:$S,$A122,'Data(perSeason,perCrop)'!$O:$O,2,'Data(perSeason,perCrop)'!$C:$C,N$52,'Data(perSeason,perCrop)'!$R:$R,"IRRIGATED"),"")</f>
        <v/>
      </c>
      <c r="O122" s="59" t="str">
        <f>IFERROR(AVERAGEIFS('Data(perSeason,perCrop)'!$P:$P,'Data(perSeason,perCrop)'!$S:$S,$A122,'Data(perSeason,perCrop)'!$O:$O,2,'Data(perSeason,perCrop)'!$C:$C,O$52,'Data(perSeason,perCrop)'!$R:$R,"IRRIGATED"),"")</f>
        <v/>
      </c>
      <c r="P122" s="59">
        <f>IFERROR(AVERAGEIFS('Data(perSeason,perCrop)'!$P:$P,'Data(perSeason,perCrop)'!$S:$S,$A122,'Data(perSeason,perCrop)'!$O:$O,2,'Data(perSeason,perCrop)'!$C:$C,P$52,'Data(perSeason,perCrop)'!$R:$R,"IRRIGATED"),"")</f>
        <v>7042</v>
      </c>
      <c r="Q122" s="59" t="str">
        <f>IFERROR(AVERAGEIFS('Data(perSeason,perCrop)'!$P:$P,'Data(perSeason,perCrop)'!$S:$S,$A122,'Data(perSeason,perCrop)'!$O:$O,2,'Data(perSeason,perCrop)'!$C:$C,Q$52,'Data(perSeason,perCrop)'!$R:$R,"IRRIGATED"),"")</f>
        <v/>
      </c>
      <c r="R122" s="59">
        <f>IFERROR(AVERAGEIFS('Data(perSeason,perCrop)'!$P:$P,'Data(perSeason,perCrop)'!$S:$S,$A122,'Data(perSeason,perCrop)'!$O:$O,2,'Data(perSeason,perCrop)'!$C:$C,R$52,'Data(perSeason,perCrop)'!$R:$R,"IRRIGATED"),"")</f>
        <v>6625</v>
      </c>
      <c r="S122" s="59" t="str">
        <f>IFERROR(AVERAGEIFS('Data(perSeason,perCrop)'!$P:$P,'Data(perSeason,perCrop)'!$S:$S,$A122,'Data(perSeason,perCrop)'!$O:$O,2,'Data(perSeason,perCrop)'!$C:$C,S$52,'Data(perSeason,perCrop)'!$R:$R,"IRRIGATED"),"")</f>
        <v/>
      </c>
      <c r="T122" s="59" t="str">
        <f>IFERROR(AVERAGEIFS('Data(perSeason,perCrop)'!$P:$P,'Data(perSeason,perCrop)'!$S:$S,$A122,'Data(perSeason,perCrop)'!$O:$O,2,'Data(perSeason,perCrop)'!$C:$C,T$52,'Data(perSeason,perCrop)'!$R:$R,"IRRIGATED"),"")</f>
        <v/>
      </c>
      <c r="U122" s="59">
        <f>IFERROR(AVERAGEIFS('Data(perSeason,perCrop)'!$P:$P,'Data(perSeason,perCrop)'!$S:$S,$A122,'Data(perSeason,perCrop)'!$O:$O,2,'Data(perSeason,perCrop)'!$C:$C,U$52,'Data(perSeason,perCrop)'!$R:$R,"IRRIGATED"),"")</f>
        <v>8147</v>
      </c>
      <c r="V122" s="59" t="str">
        <f>IFERROR(AVERAGEIFS('Data(perSeason,perCrop)'!$P:$P,'Data(perSeason,perCrop)'!$S:$S,$A122,'Data(perSeason,perCrop)'!$O:$O,2,'Data(perSeason,perCrop)'!$C:$C,V$52,'Data(perSeason,perCrop)'!$R:$R,"IRRIGATED"),"")</f>
        <v/>
      </c>
      <c r="W122" s="59" t="str">
        <f>IFERROR(AVERAGEIFS('Data(perSeason,perCrop)'!$P:$P,'Data(perSeason,perCrop)'!$S:$S,$A122,'Data(perSeason,perCrop)'!$O:$O,2,'Data(perSeason,perCrop)'!$C:$C,W$52,'Data(perSeason,perCrop)'!$R:$R,"IRRIGATED"),"")</f>
        <v/>
      </c>
      <c r="X122" s="59" t="str">
        <f>IFERROR(AVERAGEIFS('Data(perSeason,perCrop)'!$P:$P,'Data(perSeason,perCrop)'!$S:$S,$A122,'Data(perSeason,perCrop)'!$O:$O,2,'Data(perSeason,perCrop)'!$C:$C,X$52,'Data(perSeason,perCrop)'!$R:$R,"IRRIGATED"),"")</f>
        <v/>
      </c>
      <c r="Y122" s="59" t="str">
        <f>IFERROR(AVERAGEIFS('Data(perSeason,perCrop)'!$P:$P,'Data(perSeason,perCrop)'!$S:$S,$A122,'Data(perSeason,perCrop)'!$O:$O,2,'Data(perSeason,perCrop)'!$C:$C,Y$52,'Data(perSeason,perCrop)'!$R:$R,"IRRIGATED"),"")</f>
        <v/>
      </c>
      <c r="Z122" s="59" t="str">
        <f>IFERROR(AVERAGEIFS('Data(perSeason,perCrop)'!$P:$P,'Data(perSeason,perCrop)'!$S:$S,$A122,'Data(perSeason,perCrop)'!$O:$O,2,'Data(perSeason,perCrop)'!$C:$C,Z$52,'Data(perSeason,perCrop)'!$R:$R,"IRRIGATED"),"")</f>
        <v/>
      </c>
      <c r="AA122" s="59" t="str">
        <f>IFERROR(AVERAGEIFS('Data(perSeason,perCrop)'!$P:$P,'Data(perSeason,perCrop)'!$S:$S,$A122,'Data(perSeason,perCrop)'!$O:$O,2,'Data(perSeason,perCrop)'!$C:$C,AA$52,'Data(perSeason,perCrop)'!$R:$R,"IRRIGATED"),"")</f>
        <v/>
      </c>
      <c r="AB122" s="59" t="str">
        <f>IFERROR(AVERAGEIFS('Data(perSeason,perCrop)'!$P:$P,'Data(perSeason,perCrop)'!$S:$S,$A122,'Data(perSeason,perCrop)'!$O:$O,2,'Data(perSeason,perCrop)'!$C:$C,AB$52,'Data(perSeason,perCrop)'!$R:$R,"IRRIGATED"),"")</f>
        <v/>
      </c>
      <c r="AC122" s="59" t="str">
        <f>IFERROR(AVERAGEIFS('Data(perSeason,perCrop)'!$P:$P,'Data(perSeason,perCrop)'!$S:$S,$A122,'Data(perSeason,perCrop)'!$O:$O,2,'Data(perSeason,perCrop)'!$C:$C,AC$52,'Data(perSeason,perCrop)'!$R:$R,"IRRIGATED"),"")</f>
        <v/>
      </c>
      <c r="AD122" s="59" t="str">
        <f>IFERROR(AVERAGEIFS('Data(perSeason,perCrop)'!$P:$P,'Data(perSeason,perCrop)'!$S:$S,$A122,'Data(perSeason,perCrop)'!$O:$O,2,'Data(perSeason,perCrop)'!$C:$C,AD$52,'Data(perSeason,perCrop)'!$R:$R,"IRRIGATED"),"")</f>
        <v/>
      </c>
      <c r="AE122" s="59" t="str">
        <f>IFERROR(AVERAGEIFS('Data(perSeason,perCrop)'!$P:$P,'Data(perSeason,perCrop)'!$S:$S,$A122,'Data(perSeason,perCrop)'!$O:$O,2,'Data(perSeason,perCrop)'!$C:$C,AE$52,'Data(perSeason,perCrop)'!$R:$R,"IRRIGATED"),"")</f>
        <v/>
      </c>
      <c r="AF122" s="59" t="str">
        <f>IFERROR(AVERAGEIFS('Data(perSeason,perCrop)'!$P:$P,'Data(perSeason,perCrop)'!$S:$S,$A122,'Data(perSeason,perCrop)'!$O:$O,2,'Data(perSeason,perCrop)'!$C:$C,AF$52,'Data(perSeason,perCrop)'!$R:$R,"IRRIGATED"),"")</f>
        <v/>
      </c>
    </row>
    <row r="123" spans="1:32" ht="18.75" x14ac:dyDescent="0.3">
      <c r="A123" s="47" t="s">
        <v>184</v>
      </c>
      <c r="B123" s="48" t="str">
        <f>IFERROR(AVERAGE(B118:B122),"")</f>
        <v/>
      </c>
      <c r="C123" s="48">
        <f t="shared" ref="C123:AF123" si="48">IFERROR(AVERAGE(C118:C122),"")</f>
        <v>5940.6</v>
      </c>
      <c r="D123" s="48" t="str">
        <f t="shared" si="48"/>
        <v/>
      </c>
      <c r="E123" s="48" t="str">
        <f t="shared" si="48"/>
        <v/>
      </c>
      <c r="F123" s="48" t="str">
        <f t="shared" si="48"/>
        <v/>
      </c>
      <c r="G123" s="48" t="str">
        <f t="shared" si="48"/>
        <v/>
      </c>
      <c r="H123" s="48" t="str">
        <f t="shared" si="48"/>
        <v/>
      </c>
      <c r="I123" s="48" t="str">
        <f t="shared" si="48"/>
        <v/>
      </c>
      <c r="J123" s="48" t="str">
        <f t="shared" si="48"/>
        <v/>
      </c>
      <c r="K123" s="48" t="str">
        <f t="shared" si="48"/>
        <v/>
      </c>
      <c r="L123" s="48" t="str">
        <f t="shared" si="48"/>
        <v/>
      </c>
      <c r="M123" s="48" t="str">
        <f t="shared" si="48"/>
        <v/>
      </c>
      <c r="N123" s="48" t="str">
        <f t="shared" si="48"/>
        <v/>
      </c>
      <c r="O123" s="48" t="str">
        <f t="shared" si="48"/>
        <v/>
      </c>
      <c r="P123" s="48">
        <f t="shared" si="48"/>
        <v>6315.6</v>
      </c>
      <c r="Q123" s="48" t="str">
        <f t="shared" si="48"/>
        <v/>
      </c>
      <c r="R123" s="48">
        <f t="shared" si="48"/>
        <v>6046.6</v>
      </c>
      <c r="S123" s="48" t="str">
        <f t="shared" si="48"/>
        <v/>
      </c>
      <c r="T123" s="48" t="str">
        <f t="shared" si="48"/>
        <v/>
      </c>
      <c r="U123" s="48">
        <f t="shared" si="48"/>
        <v>7464.8</v>
      </c>
      <c r="V123" s="48" t="str">
        <f t="shared" si="48"/>
        <v/>
      </c>
      <c r="W123" s="48" t="str">
        <f t="shared" si="48"/>
        <v/>
      </c>
      <c r="X123" s="48" t="str">
        <f t="shared" si="48"/>
        <v/>
      </c>
      <c r="Y123" s="48" t="str">
        <f t="shared" si="48"/>
        <v/>
      </c>
      <c r="Z123" s="48" t="str">
        <f t="shared" si="48"/>
        <v/>
      </c>
      <c r="AA123" s="48" t="str">
        <f t="shared" si="48"/>
        <v/>
      </c>
      <c r="AB123" s="48" t="str">
        <f t="shared" si="48"/>
        <v/>
      </c>
      <c r="AC123" s="48" t="str">
        <f t="shared" si="48"/>
        <v/>
      </c>
      <c r="AD123" s="48" t="str">
        <f t="shared" si="48"/>
        <v/>
      </c>
      <c r="AE123" s="48" t="str">
        <f t="shared" si="48"/>
        <v/>
      </c>
      <c r="AF123" s="48" t="str">
        <f t="shared" si="48"/>
        <v/>
      </c>
    </row>
    <row r="125" spans="1:32" ht="18.75" x14ac:dyDescent="0.3">
      <c r="A125" s="42" t="s">
        <v>3</v>
      </c>
      <c r="B125" s="58" t="s">
        <v>47</v>
      </c>
      <c r="C125" s="58" t="s">
        <v>57</v>
      </c>
      <c r="D125" s="58" t="s">
        <v>110</v>
      </c>
      <c r="E125" s="58" t="s">
        <v>50</v>
      </c>
      <c r="F125" s="58" t="s">
        <v>58</v>
      </c>
      <c r="G125" s="58" t="s">
        <v>51</v>
      </c>
      <c r="H125" s="58" t="s">
        <v>97</v>
      </c>
      <c r="I125" s="58" t="s">
        <v>52</v>
      </c>
      <c r="J125" s="58" t="s">
        <v>59</v>
      </c>
      <c r="K125" s="58" t="s">
        <v>111</v>
      </c>
      <c r="L125" s="58" t="s">
        <v>54</v>
      </c>
      <c r="M125" s="58" t="s">
        <v>112</v>
      </c>
      <c r="N125" s="58" t="s">
        <v>48</v>
      </c>
      <c r="O125" s="58" t="s">
        <v>53</v>
      </c>
      <c r="P125" s="58" t="s">
        <v>49</v>
      </c>
      <c r="Q125" s="58" t="s">
        <v>56</v>
      </c>
      <c r="R125" s="58" t="s">
        <v>102</v>
      </c>
      <c r="S125" s="58" t="s">
        <v>103</v>
      </c>
      <c r="T125" s="58" t="s">
        <v>101</v>
      </c>
      <c r="U125" s="58" t="s">
        <v>106</v>
      </c>
      <c r="V125" s="58" t="s">
        <v>113</v>
      </c>
      <c r="W125" s="58" t="s">
        <v>114</v>
      </c>
      <c r="X125" s="58" t="s">
        <v>115</v>
      </c>
      <c r="Y125" s="58" t="s">
        <v>116</v>
      </c>
      <c r="Z125" s="58" t="s">
        <v>107</v>
      </c>
      <c r="AA125" s="58" t="s">
        <v>104</v>
      </c>
      <c r="AB125" s="58" t="s">
        <v>117</v>
      </c>
      <c r="AC125" s="58" t="s">
        <v>118</v>
      </c>
      <c r="AD125" s="58" t="s">
        <v>119</v>
      </c>
      <c r="AE125" s="58" t="s">
        <v>108</v>
      </c>
      <c r="AF125" s="58" t="s">
        <v>105</v>
      </c>
    </row>
    <row r="126" spans="1:32" ht="18.75" x14ac:dyDescent="0.3">
      <c r="A126" s="42" t="s">
        <v>183</v>
      </c>
      <c r="B126" s="42">
        <v>1</v>
      </c>
      <c r="C126" s="42">
        <v>2</v>
      </c>
      <c r="D126" s="42">
        <v>3</v>
      </c>
      <c r="E126" s="42">
        <v>4</v>
      </c>
      <c r="F126" s="42">
        <v>5</v>
      </c>
      <c r="G126" s="42">
        <v>6</v>
      </c>
      <c r="H126" s="42">
        <v>7</v>
      </c>
      <c r="I126" s="42">
        <v>8</v>
      </c>
      <c r="J126" s="42">
        <v>9</v>
      </c>
      <c r="K126" s="42">
        <v>10</v>
      </c>
      <c r="L126" s="42">
        <v>11</v>
      </c>
      <c r="M126" s="42">
        <v>12</v>
      </c>
      <c r="N126" s="42">
        <v>13</v>
      </c>
      <c r="O126" s="42">
        <v>14</v>
      </c>
      <c r="P126" s="42">
        <v>15</v>
      </c>
      <c r="Q126" s="42">
        <v>16</v>
      </c>
      <c r="R126" s="42">
        <v>17</v>
      </c>
      <c r="S126" s="42">
        <v>18</v>
      </c>
      <c r="T126" s="42">
        <v>19</v>
      </c>
      <c r="U126" s="42">
        <v>20</v>
      </c>
      <c r="V126" s="42">
        <v>21</v>
      </c>
      <c r="W126" s="42">
        <v>22</v>
      </c>
      <c r="X126" s="42">
        <v>23</v>
      </c>
      <c r="Y126" s="42">
        <v>24</v>
      </c>
      <c r="Z126" s="42">
        <v>25</v>
      </c>
      <c r="AA126" s="42">
        <v>40</v>
      </c>
      <c r="AB126" s="42">
        <v>41</v>
      </c>
      <c r="AC126" s="42">
        <v>42</v>
      </c>
      <c r="AD126" s="42">
        <v>43</v>
      </c>
      <c r="AE126" s="42">
        <v>44</v>
      </c>
      <c r="AF126" s="42">
        <v>45</v>
      </c>
    </row>
    <row r="127" spans="1:32" ht="18.75" x14ac:dyDescent="0.3">
      <c r="A127" s="42">
        <v>2018</v>
      </c>
      <c r="B127" s="68" t="str">
        <f t="shared" ref="B127:AF127" si="49">IF(ISNUMBER(B109)=TRUE,B118/(B109*(1/1000*10000)),"")</f>
        <v/>
      </c>
      <c r="C127" s="68">
        <f t="shared" si="49"/>
        <v>2.7627192982456141</v>
      </c>
      <c r="D127" s="68" t="str">
        <f t="shared" si="49"/>
        <v/>
      </c>
      <c r="E127" s="68" t="str">
        <f t="shared" si="49"/>
        <v/>
      </c>
      <c r="F127" s="68" t="str">
        <f t="shared" si="49"/>
        <v/>
      </c>
      <c r="G127" s="68" t="str">
        <f t="shared" si="49"/>
        <v/>
      </c>
      <c r="H127" s="68" t="str">
        <f t="shared" si="49"/>
        <v/>
      </c>
      <c r="I127" s="68" t="str">
        <f t="shared" si="49"/>
        <v/>
      </c>
      <c r="J127" s="68" t="str">
        <f t="shared" si="49"/>
        <v/>
      </c>
      <c r="K127" s="68" t="str">
        <f t="shared" si="49"/>
        <v/>
      </c>
      <c r="L127" s="68" t="str">
        <f t="shared" si="49"/>
        <v/>
      </c>
      <c r="M127" s="68" t="str">
        <f t="shared" si="49"/>
        <v/>
      </c>
      <c r="N127" s="68" t="str">
        <f t="shared" si="49"/>
        <v/>
      </c>
      <c r="O127" s="68" t="str">
        <f t="shared" si="49"/>
        <v/>
      </c>
      <c r="P127" s="68">
        <f t="shared" si="49"/>
        <v>2.7480349344978166</v>
      </c>
      <c r="Q127" s="68" t="str">
        <f t="shared" si="49"/>
        <v/>
      </c>
      <c r="R127" s="68">
        <f t="shared" si="49"/>
        <v>2.6045045045045043</v>
      </c>
      <c r="S127" s="68" t="str">
        <f t="shared" si="49"/>
        <v/>
      </c>
      <c r="T127" s="68" t="str">
        <f t="shared" si="49"/>
        <v/>
      </c>
      <c r="U127" s="68">
        <f t="shared" si="49"/>
        <v>2.8650190114068441</v>
      </c>
      <c r="V127" s="68" t="str">
        <f t="shared" si="49"/>
        <v/>
      </c>
      <c r="W127" s="68" t="str">
        <f t="shared" si="49"/>
        <v/>
      </c>
      <c r="X127" s="68" t="str">
        <f t="shared" si="49"/>
        <v/>
      </c>
      <c r="Y127" s="68" t="str">
        <f t="shared" si="49"/>
        <v/>
      </c>
      <c r="Z127" s="68" t="str">
        <f t="shared" si="49"/>
        <v/>
      </c>
      <c r="AA127" s="68" t="str">
        <f t="shared" si="49"/>
        <v/>
      </c>
      <c r="AB127" s="68" t="str">
        <f t="shared" si="49"/>
        <v/>
      </c>
      <c r="AC127" s="68" t="str">
        <f t="shared" si="49"/>
        <v/>
      </c>
      <c r="AD127" s="68" t="str">
        <f t="shared" si="49"/>
        <v/>
      </c>
      <c r="AE127" s="68" t="str">
        <f t="shared" si="49"/>
        <v/>
      </c>
      <c r="AF127" s="68" t="str">
        <f t="shared" si="49"/>
        <v/>
      </c>
    </row>
    <row r="128" spans="1:32" ht="18.75" x14ac:dyDescent="0.3">
      <c r="A128" s="42">
        <v>2019</v>
      </c>
      <c r="B128" s="68" t="str">
        <f t="shared" ref="B128:AF128" si="50">IF(ISNUMBER(B110)=TRUE,B119/(B110*(1/1000*10000)),"")</f>
        <v/>
      </c>
      <c r="C128" s="68">
        <f t="shared" si="50"/>
        <v>2.9838095238095237</v>
      </c>
      <c r="D128" s="68" t="str">
        <f t="shared" si="50"/>
        <v/>
      </c>
      <c r="E128" s="68" t="str">
        <f t="shared" si="50"/>
        <v/>
      </c>
      <c r="F128" s="68" t="str">
        <f t="shared" si="50"/>
        <v/>
      </c>
      <c r="G128" s="68" t="str">
        <f t="shared" si="50"/>
        <v/>
      </c>
      <c r="H128" s="68" t="str">
        <f t="shared" si="50"/>
        <v/>
      </c>
      <c r="I128" s="68" t="str">
        <f t="shared" si="50"/>
        <v/>
      </c>
      <c r="J128" s="68" t="str">
        <f t="shared" si="50"/>
        <v/>
      </c>
      <c r="K128" s="68" t="str">
        <f t="shared" si="50"/>
        <v/>
      </c>
      <c r="L128" s="68" t="str">
        <f t="shared" si="50"/>
        <v/>
      </c>
      <c r="M128" s="68" t="str">
        <f t="shared" si="50"/>
        <v/>
      </c>
      <c r="N128" s="68" t="str">
        <f t="shared" si="50"/>
        <v/>
      </c>
      <c r="O128" s="68" t="str">
        <f t="shared" si="50"/>
        <v/>
      </c>
      <c r="P128" s="68">
        <f t="shared" si="50"/>
        <v>2.936651583710407</v>
      </c>
      <c r="Q128" s="68" t="str">
        <f t="shared" si="50"/>
        <v/>
      </c>
      <c r="R128" s="68">
        <f t="shared" si="50"/>
        <v>2.847085201793722</v>
      </c>
      <c r="S128" s="68" t="str">
        <f t="shared" si="50"/>
        <v/>
      </c>
      <c r="T128" s="68" t="str">
        <f t="shared" si="50"/>
        <v/>
      </c>
      <c r="U128" s="68">
        <f t="shared" si="50"/>
        <v>2.9394736842105265</v>
      </c>
      <c r="V128" s="68" t="str">
        <f t="shared" si="50"/>
        <v/>
      </c>
      <c r="W128" s="68" t="str">
        <f t="shared" si="50"/>
        <v/>
      </c>
      <c r="X128" s="68" t="str">
        <f t="shared" si="50"/>
        <v/>
      </c>
      <c r="Y128" s="68" t="str">
        <f t="shared" si="50"/>
        <v/>
      </c>
      <c r="Z128" s="68" t="str">
        <f t="shared" si="50"/>
        <v/>
      </c>
      <c r="AA128" s="68" t="str">
        <f t="shared" si="50"/>
        <v/>
      </c>
      <c r="AB128" s="68" t="str">
        <f t="shared" si="50"/>
        <v/>
      </c>
      <c r="AC128" s="68" t="str">
        <f t="shared" si="50"/>
        <v/>
      </c>
      <c r="AD128" s="68" t="str">
        <f t="shared" si="50"/>
        <v/>
      </c>
      <c r="AE128" s="68" t="str">
        <f t="shared" si="50"/>
        <v/>
      </c>
      <c r="AF128" s="68" t="str">
        <f t="shared" si="50"/>
        <v/>
      </c>
    </row>
    <row r="129" spans="1:32" ht="18.75" x14ac:dyDescent="0.3">
      <c r="A129" s="42">
        <v>2020</v>
      </c>
      <c r="B129" s="68" t="str">
        <f t="shared" ref="B129:AF129" si="51">IF(ISNUMBER(B111)=TRUE,B120/(B111*(1/1000*10000)),"")</f>
        <v/>
      </c>
      <c r="C129" s="68">
        <f t="shared" si="51"/>
        <v>2.3533936651583711</v>
      </c>
      <c r="D129" s="68" t="str">
        <f t="shared" si="51"/>
        <v/>
      </c>
      <c r="E129" s="68" t="str">
        <f t="shared" si="51"/>
        <v/>
      </c>
      <c r="F129" s="68" t="str">
        <f t="shared" si="51"/>
        <v/>
      </c>
      <c r="G129" s="68" t="str">
        <f t="shared" si="51"/>
        <v/>
      </c>
      <c r="H129" s="68" t="str">
        <f t="shared" si="51"/>
        <v/>
      </c>
      <c r="I129" s="68" t="str">
        <f t="shared" si="51"/>
        <v/>
      </c>
      <c r="J129" s="68" t="str">
        <f t="shared" si="51"/>
        <v/>
      </c>
      <c r="K129" s="68" t="str">
        <f t="shared" si="51"/>
        <v/>
      </c>
      <c r="L129" s="68" t="str">
        <f t="shared" si="51"/>
        <v/>
      </c>
      <c r="M129" s="68" t="str">
        <f t="shared" si="51"/>
        <v/>
      </c>
      <c r="N129" s="68" t="str">
        <f t="shared" si="51"/>
        <v/>
      </c>
      <c r="O129" s="68" t="str">
        <f t="shared" si="51"/>
        <v/>
      </c>
      <c r="P129" s="68">
        <f t="shared" si="51"/>
        <v>2.3269076305220882</v>
      </c>
      <c r="Q129" s="68" t="str">
        <f t="shared" si="51"/>
        <v/>
      </c>
      <c r="R129" s="68">
        <f t="shared" si="51"/>
        <v>2.3321138211382113</v>
      </c>
      <c r="S129" s="68" t="str">
        <f t="shared" si="51"/>
        <v/>
      </c>
      <c r="T129" s="68" t="str">
        <f t="shared" si="51"/>
        <v/>
      </c>
      <c r="U129" s="68">
        <f t="shared" si="51"/>
        <v>2.3712280701754387</v>
      </c>
      <c r="V129" s="68" t="str">
        <f t="shared" si="51"/>
        <v/>
      </c>
      <c r="W129" s="68" t="str">
        <f t="shared" si="51"/>
        <v/>
      </c>
      <c r="X129" s="68" t="str">
        <f t="shared" si="51"/>
        <v/>
      </c>
      <c r="Y129" s="68" t="str">
        <f t="shared" si="51"/>
        <v/>
      </c>
      <c r="Z129" s="68" t="str">
        <f t="shared" si="51"/>
        <v/>
      </c>
      <c r="AA129" s="68" t="str">
        <f t="shared" si="51"/>
        <v/>
      </c>
      <c r="AB129" s="68" t="str">
        <f t="shared" si="51"/>
        <v/>
      </c>
      <c r="AC129" s="68" t="str">
        <f t="shared" si="51"/>
        <v/>
      </c>
      <c r="AD129" s="68" t="str">
        <f t="shared" si="51"/>
        <v/>
      </c>
      <c r="AE129" s="68" t="str">
        <f t="shared" si="51"/>
        <v/>
      </c>
      <c r="AF129" s="68" t="str">
        <f t="shared" si="51"/>
        <v/>
      </c>
    </row>
    <row r="130" spans="1:32" ht="18.75" x14ac:dyDescent="0.3">
      <c r="A130" s="42">
        <v>2021</v>
      </c>
      <c r="B130" s="68" t="str">
        <f t="shared" ref="B130:AF130" si="52">IF(ISNUMBER(B112)=TRUE,B121/(B112*(1/1000*10000)),"")</f>
        <v/>
      </c>
      <c r="C130" s="68">
        <f t="shared" si="52"/>
        <v>2.4265217391304348</v>
      </c>
      <c r="D130" s="68" t="str">
        <f t="shared" si="52"/>
        <v/>
      </c>
      <c r="E130" s="68" t="str">
        <f t="shared" si="52"/>
        <v/>
      </c>
      <c r="F130" s="68" t="str">
        <f t="shared" si="52"/>
        <v/>
      </c>
      <c r="G130" s="68" t="str">
        <f t="shared" si="52"/>
        <v/>
      </c>
      <c r="H130" s="68" t="str">
        <f t="shared" si="52"/>
        <v/>
      </c>
      <c r="I130" s="68" t="str">
        <f t="shared" si="52"/>
        <v/>
      </c>
      <c r="J130" s="68" t="str">
        <f t="shared" si="52"/>
        <v/>
      </c>
      <c r="K130" s="68" t="str">
        <f t="shared" si="52"/>
        <v/>
      </c>
      <c r="L130" s="68" t="str">
        <f t="shared" si="52"/>
        <v/>
      </c>
      <c r="M130" s="68" t="str">
        <f t="shared" si="52"/>
        <v/>
      </c>
      <c r="N130" s="68" t="str">
        <f t="shared" si="52"/>
        <v/>
      </c>
      <c r="O130" s="68" t="str">
        <f t="shared" si="52"/>
        <v/>
      </c>
      <c r="P130" s="68">
        <f t="shared" si="52"/>
        <v>2.4726141078838175</v>
      </c>
      <c r="Q130" s="68" t="str">
        <f t="shared" si="52"/>
        <v/>
      </c>
      <c r="R130" s="68">
        <f t="shared" si="52"/>
        <v>2.4322033898305087</v>
      </c>
      <c r="S130" s="68" t="str">
        <f t="shared" si="52"/>
        <v/>
      </c>
      <c r="T130" s="68" t="str">
        <f t="shared" si="52"/>
        <v/>
      </c>
      <c r="U130" s="68">
        <f t="shared" si="52"/>
        <v>2.6070110701107012</v>
      </c>
      <c r="V130" s="68" t="str">
        <f t="shared" si="52"/>
        <v/>
      </c>
      <c r="W130" s="68" t="str">
        <f t="shared" si="52"/>
        <v/>
      </c>
      <c r="X130" s="68" t="str">
        <f t="shared" si="52"/>
        <v/>
      </c>
      <c r="Y130" s="68" t="str">
        <f t="shared" si="52"/>
        <v/>
      </c>
      <c r="Z130" s="68" t="str">
        <f t="shared" si="52"/>
        <v/>
      </c>
      <c r="AA130" s="68" t="str">
        <f t="shared" si="52"/>
        <v/>
      </c>
      <c r="AB130" s="68" t="str">
        <f t="shared" si="52"/>
        <v/>
      </c>
      <c r="AC130" s="68" t="str">
        <f t="shared" si="52"/>
        <v/>
      </c>
      <c r="AD130" s="68" t="str">
        <f t="shared" si="52"/>
        <v/>
      </c>
      <c r="AE130" s="68" t="str">
        <f t="shared" si="52"/>
        <v/>
      </c>
      <c r="AF130" s="68" t="str">
        <f t="shared" si="52"/>
        <v/>
      </c>
    </row>
    <row r="131" spans="1:32" ht="18.75" x14ac:dyDescent="0.3">
      <c r="A131" s="42">
        <v>2022</v>
      </c>
      <c r="B131" s="68" t="str">
        <f t="shared" ref="B131:AF131" si="53">IF(ISNUMBER(B113)=TRUE,B122/(B113*(1/1000*10000)),"")</f>
        <v/>
      </c>
      <c r="C131" s="68">
        <f t="shared" si="53"/>
        <v>2.8630630630630631</v>
      </c>
      <c r="D131" s="68" t="str">
        <f t="shared" si="53"/>
        <v/>
      </c>
      <c r="E131" s="68" t="str">
        <f t="shared" si="53"/>
        <v/>
      </c>
      <c r="F131" s="68" t="str">
        <f t="shared" si="53"/>
        <v/>
      </c>
      <c r="G131" s="68" t="str">
        <f t="shared" si="53"/>
        <v/>
      </c>
      <c r="H131" s="68" t="str">
        <f t="shared" si="53"/>
        <v/>
      </c>
      <c r="I131" s="68" t="str">
        <f t="shared" si="53"/>
        <v/>
      </c>
      <c r="J131" s="68" t="str">
        <f t="shared" si="53"/>
        <v/>
      </c>
      <c r="K131" s="68" t="str">
        <f t="shared" si="53"/>
        <v/>
      </c>
      <c r="L131" s="68" t="str">
        <f t="shared" si="53"/>
        <v/>
      </c>
      <c r="M131" s="68" t="str">
        <f t="shared" si="53"/>
        <v/>
      </c>
      <c r="N131" s="68" t="str">
        <f t="shared" si="53"/>
        <v/>
      </c>
      <c r="O131" s="68" t="str">
        <f t="shared" si="53"/>
        <v/>
      </c>
      <c r="P131" s="68">
        <f t="shared" si="53"/>
        <v>2.7944444444444443</v>
      </c>
      <c r="Q131" s="68" t="str">
        <f t="shared" si="53"/>
        <v/>
      </c>
      <c r="R131" s="68">
        <f t="shared" si="53"/>
        <v>2.7836134453781511</v>
      </c>
      <c r="S131" s="68" t="str">
        <f t="shared" si="53"/>
        <v/>
      </c>
      <c r="T131" s="68" t="str">
        <f t="shared" si="53"/>
        <v/>
      </c>
      <c r="U131" s="68">
        <f t="shared" si="53"/>
        <v>2.8585964912280701</v>
      </c>
      <c r="V131" s="68" t="str">
        <f t="shared" si="53"/>
        <v/>
      </c>
      <c r="W131" s="68" t="str">
        <f t="shared" si="53"/>
        <v/>
      </c>
      <c r="X131" s="68" t="str">
        <f t="shared" si="53"/>
        <v/>
      </c>
      <c r="Y131" s="68" t="str">
        <f t="shared" si="53"/>
        <v/>
      </c>
      <c r="Z131" s="68" t="str">
        <f t="shared" si="53"/>
        <v/>
      </c>
      <c r="AA131" s="68" t="str">
        <f t="shared" si="53"/>
        <v/>
      </c>
      <c r="AB131" s="68" t="str">
        <f t="shared" si="53"/>
        <v/>
      </c>
      <c r="AC131" s="68" t="str">
        <f t="shared" si="53"/>
        <v/>
      </c>
      <c r="AD131" s="68" t="str">
        <f t="shared" si="53"/>
        <v/>
      </c>
      <c r="AE131" s="68" t="str">
        <f t="shared" si="53"/>
        <v/>
      </c>
      <c r="AF131" s="68" t="str">
        <f t="shared" si="53"/>
        <v/>
      </c>
    </row>
    <row r="132" spans="1:32" ht="18.75" x14ac:dyDescent="0.3">
      <c r="A132" s="47" t="s">
        <v>184</v>
      </c>
      <c r="B132" s="52" t="str">
        <f>IFERROR(AVERAGE(B127:B131),"")</f>
        <v/>
      </c>
      <c r="C132" s="52">
        <f t="shared" ref="C132:AF132" si="54">IFERROR(AVERAGE(C127:C131),"")</f>
        <v>2.6779014578814015</v>
      </c>
      <c r="D132" s="52" t="str">
        <f t="shared" si="54"/>
        <v/>
      </c>
      <c r="E132" s="52" t="str">
        <f t="shared" si="54"/>
        <v/>
      </c>
      <c r="F132" s="52" t="str">
        <f t="shared" si="54"/>
        <v/>
      </c>
      <c r="G132" s="52" t="str">
        <f t="shared" si="54"/>
        <v/>
      </c>
      <c r="H132" s="52" t="str">
        <f t="shared" si="54"/>
        <v/>
      </c>
      <c r="I132" s="52" t="str">
        <f t="shared" si="54"/>
        <v/>
      </c>
      <c r="J132" s="52" t="str">
        <f t="shared" si="54"/>
        <v/>
      </c>
      <c r="K132" s="52" t="str">
        <f t="shared" si="54"/>
        <v/>
      </c>
      <c r="L132" s="52" t="str">
        <f t="shared" si="54"/>
        <v/>
      </c>
      <c r="M132" s="52" t="str">
        <f t="shared" si="54"/>
        <v/>
      </c>
      <c r="N132" s="52" t="str">
        <f t="shared" si="54"/>
        <v/>
      </c>
      <c r="O132" s="52" t="str">
        <f t="shared" si="54"/>
        <v/>
      </c>
      <c r="P132" s="52">
        <f t="shared" si="54"/>
        <v>2.6557305402117146</v>
      </c>
      <c r="Q132" s="52" t="str">
        <f t="shared" si="54"/>
        <v/>
      </c>
      <c r="R132" s="52">
        <f t="shared" si="54"/>
        <v>2.5999040725290192</v>
      </c>
      <c r="S132" s="52" t="str">
        <f t="shared" si="54"/>
        <v/>
      </c>
      <c r="T132" s="52" t="str">
        <f t="shared" si="54"/>
        <v/>
      </c>
      <c r="U132" s="52">
        <f t="shared" si="54"/>
        <v>2.7282656654263162</v>
      </c>
      <c r="V132" s="52" t="str">
        <f t="shared" si="54"/>
        <v/>
      </c>
      <c r="W132" s="52" t="str">
        <f t="shared" si="54"/>
        <v/>
      </c>
      <c r="X132" s="52" t="str">
        <f t="shared" si="54"/>
        <v/>
      </c>
      <c r="Y132" s="52" t="str">
        <f t="shared" si="54"/>
        <v/>
      </c>
      <c r="Z132" s="52" t="str">
        <f t="shared" si="54"/>
        <v/>
      </c>
      <c r="AA132" s="52" t="str">
        <f t="shared" si="54"/>
        <v/>
      </c>
      <c r="AB132" s="52" t="str">
        <f t="shared" si="54"/>
        <v/>
      </c>
      <c r="AC132" s="52" t="str">
        <f t="shared" si="54"/>
        <v/>
      </c>
      <c r="AD132" s="52" t="str">
        <f t="shared" si="54"/>
        <v/>
      </c>
      <c r="AE132" s="52" t="str">
        <f t="shared" si="54"/>
        <v/>
      </c>
      <c r="AF132" s="52" t="str">
        <f t="shared" si="54"/>
        <v/>
      </c>
    </row>
    <row r="134" spans="1:32" ht="18.75" x14ac:dyDescent="0.3">
      <c r="A134" s="42" t="s">
        <v>211</v>
      </c>
      <c r="B134" s="42" t="s">
        <v>120</v>
      </c>
    </row>
    <row r="135" spans="1:32" ht="18.75" x14ac:dyDescent="0.3">
      <c r="A135" s="42">
        <v>2018</v>
      </c>
      <c r="B135" s="63">
        <f>IF(COUNTIFS('Data(perSeason,perCrop)'!$S:$S,$A135)&gt;0,SUMPRODUCT(B99:AF99,B127:AF127)/SUM(B99:AF99),"")</f>
        <v>2.7661808572205873</v>
      </c>
    </row>
    <row r="136" spans="1:32" ht="18.75" x14ac:dyDescent="0.3">
      <c r="A136" s="42">
        <v>2019</v>
      </c>
      <c r="B136" s="63">
        <f>IF(COUNTIFS('Data(perSeason,perCrop)'!$S:$S,$A136)&gt;0,SUMPRODUCT(B100:AF100,B128:AF128)/SUM(B100:AF100),"")</f>
        <v>2.9505460496041942</v>
      </c>
    </row>
    <row r="137" spans="1:32" ht="18.75" x14ac:dyDescent="0.3">
      <c r="A137" s="42">
        <v>2020</v>
      </c>
      <c r="B137" s="63">
        <f>IF(COUNTIFS('Data(perSeason,perCrop)'!$S:$S,$A137)&gt;0,SUMPRODUCT(B101:AF101,B129:AF129)/SUM(B101:AF101),"")</f>
        <v>2.3525846832570418</v>
      </c>
    </row>
    <row r="138" spans="1:32" ht="18.75" x14ac:dyDescent="0.3">
      <c r="A138" s="42">
        <v>2021</v>
      </c>
      <c r="B138" s="63">
        <f>IF(COUNTIFS('Data(perSeason,perCrop)'!$S:$S,$A138)&gt;0,SUMPRODUCT(B102:AF102,B130:AF130)/SUM(B102:AF102),"")</f>
        <v>2.4470121184487335</v>
      </c>
    </row>
    <row r="139" spans="1:32" ht="18.75" x14ac:dyDescent="0.3">
      <c r="A139" s="42">
        <v>2022</v>
      </c>
      <c r="B139" s="63">
        <f>IF(COUNTIFS('Data(perSeason,perCrop)'!$S:$S,$A139)&gt;0,SUMPRODUCT(B103:AF103,B131:AF131)/SUM(B103:AF103),"")</f>
        <v>2.8587855987107749</v>
      </c>
    </row>
    <row r="140" spans="1:32" ht="18.75" x14ac:dyDescent="0.3">
      <c r="A140" s="47" t="s">
        <v>184</v>
      </c>
      <c r="B140" s="52">
        <f>AVERAGE(B135:B139)</f>
        <v>2.6750218614482661</v>
      </c>
    </row>
    <row r="143" spans="1:32" ht="18.75" x14ac:dyDescent="0.3">
      <c r="A143" s="42" t="s">
        <v>23</v>
      </c>
      <c r="B143" s="58" t="s">
        <v>47</v>
      </c>
      <c r="C143" s="58" t="s">
        <v>57</v>
      </c>
      <c r="D143" s="58" t="s">
        <v>110</v>
      </c>
      <c r="E143" s="58" t="s">
        <v>50</v>
      </c>
      <c r="F143" s="58" t="s">
        <v>58</v>
      </c>
      <c r="G143" s="58" t="s">
        <v>51</v>
      </c>
      <c r="H143" s="58" t="s">
        <v>97</v>
      </c>
      <c r="I143" s="58" t="s">
        <v>52</v>
      </c>
      <c r="J143" s="58" t="s">
        <v>59</v>
      </c>
      <c r="K143" s="58" t="s">
        <v>111</v>
      </c>
      <c r="L143" s="58" t="s">
        <v>54</v>
      </c>
      <c r="M143" s="58" t="s">
        <v>112</v>
      </c>
      <c r="N143" s="58" t="s">
        <v>48</v>
      </c>
      <c r="O143" s="58" t="s">
        <v>53</v>
      </c>
      <c r="P143" s="58" t="s">
        <v>49</v>
      </c>
      <c r="Q143" s="58" t="s">
        <v>56</v>
      </c>
      <c r="R143" s="58" t="s">
        <v>102</v>
      </c>
      <c r="S143" s="58" t="s">
        <v>103</v>
      </c>
      <c r="T143" s="58" t="s">
        <v>101</v>
      </c>
      <c r="U143" s="58" t="s">
        <v>106</v>
      </c>
      <c r="V143" s="58" t="s">
        <v>113</v>
      </c>
      <c r="W143" s="58" t="s">
        <v>114</v>
      </c>
      <c r="X143" s="58" t="s">
        <v>115</v>
      </c>
      <c r="Y143" s="58" t="s">
        <v>116</v>
      </c>
      <c r="Z143" s="58" t="s">
        <v>107</v>
      </c>
      <c r="AA143" s="58" t="s">
        <v>104</v>
      </c>
      <c r="AB143" s="58" t="s">
        <v>117</v>
      </c>
      <c r="AC143" s="58" t="s">
        <v>118</v>
      </c>
      <c r="AD143" s="58" t="s">
        <v>119</v>
      </c>
      <c r="AE143" s="58" t="s">
        <v>108</v>
      </c>
      <c r="AF143" s="58" t="s">
        <v>105</v>
      </c>
    </row>
    <row r="144" spans="1:32" ht="18.75" x14ac:dyDescent="0.3">
      <c r="A144" s="42" t="s">
        <v>183</v>
      </c>
      <c r="B144" s="42">
        <v>1</v>
      </c>
      <c r="C144" s="42">
        <v>2</v>
      </c>
      <c r="D144" s="42">
        <v>3</v>
      </c>
      <c r="E144" s="42">
        <v>4</v>
      </c>
      <c r="F144" s="42">
        <v>5</v>
      </c>
      <c r="G144" s="42">
        <v>6</v>
      </c>
      <c r="H144" s="42">
        <v>7</v>
      </c>
      <c r="I144" s="42">
        <v>8</v>
      </c>
      <c r="J144" s="42">
        <v>9</v>
      </c>
      <c r="K144" s="42">
        <v>10</v>
      </c>
      <c r="L144" s="42">
        <v>11</v>
      </c>
      <c r="M144" s="42">
        <v>12</v>
      </c>
      <c r="N144" s="42">
        <v>13</v>
      </c>
      <c r="O144" s="42">
        <v>14</v>
      </c>
      <c r="P144" s="42">
        <v>15</v>
      </c>
      <c r="Q144" s="42">
        <v>16</v>
      </c>
      <c r="R144" s="42">
        <v>17</v>
      </c>
      <c r="S144" s="42">
        <v>18</v>
      </c>
      <c r="T144" s="42">
        <v>19</v>
      </c>
      <c r="U144" s="42">
        <v>20</v>
      </c>
      <c r="V144" s="42">
        <v>21</v>
      </c>
      <c r="W144" s="42">
        <v>22</v>
      </c>
      <c r="X144" s="42">
        <v>23</v>
      </c>
      <c r="Y144" s="42">
        <v>24</v>
      </c>
      <c r="Z144" s="42">
        <v>25</v>
      </c>
      <c r="AA144" s="42">
        <v>40</v>
      </c>
      <c r="AB144" s="42">
        <v>41</v>
      </c>
      <c r="AC144" s="42">
        <v>42</v>
      </c>
      <c r="AD144" s="42">
        <v>43</v>
      </c>
      <c r="AE144" s="42">
        <v>44</v>
      </c>
      <c r="AF144" s="42">
        <v>45</v>
      </c>
    </row>
    <row r="145" spans="1:32" ht="18.75" x14ac:dyDescent="0.3">
      <c r="A145" s="42">
        <v>2018</v>
      </c>
      <c r="B145" s="59">
        <f>SUMIFS('Data(perSeason,perCrop)'!$A:$A,'Data(perSeason,perCrop)'!$S:$S,Productivity!$A145,'Data(perSeason,perCrop)'!$O:$O,3,'Data(perSeason,perCrop)'!$C:$C,Productivity!B$52,'Data(perSeason,perCrop)'!$R:$R,"IRRIGATED")</f>
        <v>0</v>
      </c>
      <c r="C145" s="59">
        <f>SUMIFS('Data(perSeason,perCrop)'!$A:$A,'Data(perSeason,perCrop)'!$S:$S,Productivity!$A145,'Data(perSeason,perCrop)'!$O:$O,3,'Data(perSeason,perCrop)'!$C:$C,Productivity!C$52,'Data(perSeason,perCrop)'!$R:$R,"IRRIGATED")</f>
        <v>0</v>
      </c>
      <c r="D145" s="59">
        <f>SUMIFS('Data(perSeason,perCrop)'!$A:$A,'Data(perSeason,perCrop)'!$S:$S,Productivity!$A145,'Data(perSeason,perCrop)'!$O:$O,3,'Data(perSeason,perCrop)'!$C:$C,Productivity!D$52,'Data(perSeason,perCrop)'!$R:$R,"IRRIGATED")</f>
        <v>0</v>
      </c>
      <c r="E145" s="59">
        <f>SUMIFS('Data(perSeason,perCrop)'!$A:$A,'Data(perSeason,perCrop)'!$S:$S,Productivity!$A145,'Data(perSeason,perCrop)'!$O:$O,3,'Data(perSeason,perCrop)'!$C:$C,Productivity!E$52,'Data(perSeason,perCrop)'!$R:$R,"IRRIGATED")</f>
        <v>0</v>
      </c>
      <c r="F145" s="59">
        <f>SUMIFS('Data(perSeason,perCrop)'!$A:$A,'Data(perSeason,perCrop)'!$S:$S,Productivity!$A145,'Data(perSeason,perCrop)'!$O:$O,3,'Data(perSeason,perCrop)'!$C:$C,Productivity!F$52,'Data(perSeason,perCrop)'!$R:$R,"IRRIGATED")</f>
        <v>0</v>
      </c>
      <c r="G145" s="59">
        <f>SUMIFS('Data(perSeason,perCrop)'!$A:$A,'Data(perSeason,perCrop)'!$S:$S,Productivity!$A145,'Data(perSeason,perCrop)'!$O:$O,3,'Data(perSeason,perCrop)'!$C:$C,Productivity!G$52,'Data(perSeason,perCrop)'!$R:$R,"IRRIGATED")</f>
        <v>0</v>
      </c>
      <c r="H145" s="59">
        <f>SUMIFS('Data(perSeason,perCrop)'!$A:$A,'Data(perSeason,perCrop)'!$S:$S,Productivity!$A145,'Data(perSeason,perCrop)'!$O:$O,3,'Data(perSeason,perCrop)'!$C:$C,Productivity!H$52,'Data(perSeason,perCrop)'!$R:$R,"IRRIGATED")</f>
        <v>0</v>
      </c>
      <c r="I145" s="59">
        <f>SUMIFS('Data(perSeason,perCrop)'!$A:$A,'Data(perSeason,perCrop)'!$S:$S,Productivity!$A145,'Data(perSeason,perCrop)'!$O:$O,3,'Data(perSeason,perCrop)'!$C:$C,Productivity!I$52,'Data(perSeason,perCrop)'!$R:$R,"IRRIGATED")</f>
        <v>0</v>
      </c>
      <c r="J145" s="59">
        <f>SUMIFS('Data(perSeason,perCrop)'!$A:$A,'Data(perSeason,perCrop)'!$S:$S,Productivity!$A145,'Data(perSeason,perCrop)'!$O:$O,3,'Data(perSeason,perCrop)'!$C:$C,Productivity!J$52,'Data(perSeason,perCrop)'!$R:$R,"IRRIGATED")</f>
        <v>0</v>
      </c>
      <c r="K145" s="59">
        <f>SUMIFS('Data(perSeason,perCrop)'!$A:$A,'Data(perSeason,perCrop)'!$S:$S,Productivity!$A145,'Data(perSeason,perCrop)'!$O:$O,3,'Data(perSeason,perCrop)'!$C:$C,Productivity!K$52,'Data(perSeason,perCrop)'!$R:$R,"IRRIGATED")</f>
        <v>0</v>
      </c>
      <c r="L145" s="59">
        <f>SUMIFS('Data(perSeason,perCrop)'!$A:$A,'Data(perSeason,perCrop)'!$S:$S,Productivity!$A145,'Data(perSeason,perCrop)'!$O:$O,3,'Data(perSeason,perCrop)'!$C:$C,Productivity!L$52,'Data(perSeason,perCrop)'!$R:$R,"IRRIGATED")</f>
        <v>0</v>
      </c>
      <c r="M145" s="59">
        <f>SUMIFS('Data(perSeason,perCrop)'!$A:$A,'Data(perSeason,perCrop)'!$S:$S,Productivity!$A145,'Data(perSeason,perCrop)'!$O:$O,3,'Data(perSeason,perCrop)'!$C:$C,Productivity!M$52,'Data(perSeason,perCrop)'!$R:$R,"IRRIGATED")</f>
        <v>0</v>
      </c>
      <c r="N145" s="59">
        <f>SUMIFS('Data(perSeason,perCrop)'!$A:$A,'Data(perSeason,perCrop)'!$S:$S,Productivity!$A145,'Data(perSeason,perCrop)'!$O:$O,3,'Data(perSeason,perCrop)'!$C:$C,Productivity!N$52,'Data(perSeason,perCrop)'!$R:$R,"IRRIGATED")</f>
        <v>0</v>
      </c>
      <c r="O145" s="59">
        <f>SUMIFS('Data(perSeason,perCrop)'!$A:$A,'Data(perSeason,perCrop)'!$S:$S,Productivity!$A145,'Data(perSeason,perCrop)'!$O:$O,3,'Data(perSeason,perCrop)'!$C:$C,Productivity!O$52,'Data(perSeason,perCrop)'!$R:$R,"IRRIGATED")</f>
        <v>1486.84613455358</v>
      </c>
      <c r="P145" s="59">
        <f>SUMIFS('Data(perSeason,perCrop)'!$A:$A,'Data(perSeason,perCrop)'!$S:$S,Productivity!$A145,'Data(perSeason,perCrop)'!$O:$O,3,'Data(perSeason,perCrop)'!$C:$C,Productivity!P$52,'Data(perSeason,perCrop)'!$R:$R,"IRRIGATED")</f>
        <v>180.69503764097601</v>
      </c>
      <c r="Q145" s="59">
        <f>SUMIFS('Data(perSeason,perCrop)'!$A:$A,'Data(perSeason,perCrop)'!$S:$S,Productivity!$A145,'Data(perSeason,perCrop)'!$O:$O,3,'Data(perSeason,perCrop)'!$C:$C,Productivity!Q$52,'Data(perSeason,perCrop)'!$R:$R,"IRRIGATED")</f>
        <v>0</v>
      </c>
      <c r="R145" s="59">
        <f>SUMIFS('Data(perSeason,perCrop)'!$A:$A,'Data(perSeason,perCrop)'!$S:$S,Productivity!$A145,'Data(perSeason,perCrop)'!$O:$O,3,'Data(perSeason,perCrop)'!$C:$C,Productivity!R$52,'Data(perSeason,perCrop)'!$R:$R,"IRRIGATED")</f>
        <v>32.092347733992</v>
      </c>
      <c r="S145" s="59">
        <f>SUMIFS('Data(perSeason,perCrop)'!$A:$A,'Data(perSeason,perCrop)'!$S:$S,Productivity!$A145,'Data(perSeason,perCrop)'!$O:$O,3,'Data(perSeason,perCrop)'!$C:$C,Productivity!S$52,'Data(perSeason,perCrop)'!$R:$R,"IRRIGATED")</f>
        <v>0</v>
      </c>
      <c r="T145" s="59">
        <f>SUMIFS('Data(perSeason,perCrop)'!$A:$A,'Data(perSeason,perCrop)'!$S:$S,Productivity!$A145,'Data(perSeason,perCrop)'!$O:$O,3,'Data(perSeason,perCrop)'!$C:$C,Productivity!T$52,'Data(perSeason,perCrop)'!$R:$R,"IRRIGATED")</f>
        <v>0</v>
      </c>
      <c r="U145" s="59">
        <f>SUMIFS('Data(perSeason,perCrop)'!$A:$A,'Data(perSeason,perCrop)'!$S:$S,Productivity!$A145,'Data(perSeason,perCrop)'!$O:$O,3,'Data(perSeason,perCrop)'!$C:$C,Productivity!U$52,'Data(perSeason,perCrop)'!$R:$R,"IRRIGATED")</f>
        <v>788.22196759386497</v>
      </c>
      <c r="V145" s="59">
        <f>SUMIFS('Data(perSeason,perCrop)'!$A:$A,'Data(perSeason,perCrop)'!$S:$S,Productivity!$A145,'Data(perSeason,perCrop)'!$O:$O,3,'Data(perSeason,perCrop)'!$C:$C,Productivity!V$52,'Data(perSeason,perCrop)'!$R:$R,"IRRIGATED")</f>
        <v>0</v>
      </c>
      <c r="W145" s="59">
        <f>SUMIFS('Data(perSeason,perCrop)'!$A:$A,'Data(perSeason,perCrop)'!$S:$S,Productivity!$A145,'Data(perSeason,perCrop)'!$O:$O,3,'Data(perSeason,perCrop)'!$C:$C,Productivity!W$52,'Data(perSeason,perCrop)'!$R:$R,"IRRIGATED")</f>
        <v>0</v>
      </c>
      <c r="X145" s="59">
        <f>SUMIFS('Data(perSeason,perCrop)'!$A:$A,'Data(perSeason,perCrop)'!$S:$S,Productivity!$A145,'Data(perSeason,perCrop)'!$O:$O,3,'Data(perSeason,perCrop)'!$C:$C,Productivity!X$52,'Data(perSeason,perCrop)'!$R:$R,"IRRIGATED")</f>
        <v>0</v>
      </c>
      <c r="Y145" s="59">
        <f>SUMIFS('Data(perSeason,perCrop)'!$A:$A,'Data(perSeason,perCrop)'!$S:$S,Productivity!$A145,'Data(perSeason,perCrop)'!$O:$O,3,'Data(perSeason,perCrop)'!$C:$C,Productivity!Y$52,'Data(perSeason,perCrop)'!$R:$R,"IRRIGATED")</f>
        <v>0</v>
      </c>
      <c r="Z145" s="59">
        <f>SUMIFS('Data(perSeason,perCrop)'!$A:$A,'Data(perSeason,perCrop)'!$S:$S,Productivity!$A145,'Data(perSeason,perCrop)'!$O:$O,3,'Data(perSeason,perCrop)'!$C:$C,Productivity!Z$52,'Data(perSeason,perCrop)'!$R:$R,"IRRIGATED")</f>
        <v>0</v>
      </c>
      <c r="AA145" s="59">
        <f>SUMIFS('Data(perSeason,perCrop)'!$A:$A,'Data(perSeason,perCrop)'!$S:$S,Productivity!$A145,'Data(perSeason,perCrop)'!$O:$O,3,'Data(perSeason,perCrop)'!$C:$C,Productivity!AA$52,'Data(perSeason,perCrop)'!$R:$R,"IRRIGATED")</f>
        <v>0</v>
      </c>
      <c r="AB145" s="59">
        <f>SUMIFS('Data(perSeason,perCrop)'!$A:$A,'Data(perSeason,perCrop)'!$S:$S,Productivity!$A145,'Data(perSeason,perCrop)'!$O:$O,3,'Data(perSeason,perCrop)'!$C:$C,Productivity!AB$52,'Data(perSeason,perCrop)'!$R:$R,"IRRIGATED")</f>
        <v>0</v>
      </c>
      <c r="AC145" s="59">
        <f>SUMIFS('Data(perSeason,perCrop)'!$A:$A,'Data(perSeason,perCrop)'!$S:$S,Productivity!$A145,'Data(perSeason,perCrop)'!$O:$O,3,'Data(perSeason,perCrop)'!$C:$C,Productivity!AC$52,'Data(perSeason,perCrop)'!$R:$R,"IRRIGATED")</f>
        <v>0</v>
      </c>
      <c r="AD145" s="59">
        <f>SUMIFS('Data(perSeason,perCrop)'!$A:$A,'Data(perSeason,perCrop)'!$S:$S,Productivity!$A145,'Data(perSeason,perCrop)'!$O:$O,3,'Data(perSeason,perCrop)'!$C:$C,Productivity!AD$52,'Data(perSeason,perCrop)'!$R:$R,"IRRIGATED")</f>
        <v>0</v>
      </c>
      <c r="AE145" s="59">
        <f>SUMIFS('Data(perSeason,perCrop)'!$A:$A,'Data(perSeason,perCrop)'!$S:$S,Productivity!$A145,'Data(perSeason,perCrop)'!$O:$O,3,'Data(perSeason,perCrop)'!$C:$C,Productivity!AE$52,'Data(perSeason,perCrop)'!$R:$R,"IRRIGATED")</f>
        <v>0</v>
      </c>
      <c r="AF145" s="59">
        <f>SUMIFS('Data(perSeason,perCrop)'!$A:$A,'Data(perSeason,perCrop)'!$S:$S,Productivity!$A145,'Data(perSeason,perCrop)'!$O:$O,3,'Data(perSeason,perCrop)'!$C:$C,Productivity!AF$52,'Data(perSeason,perCrop)'!$R:$R,"IRRIGATED")</f>
        <v>0</v>
      </c>
    </row>
    <row r="146" spans="1:32" ht="18.75" x14ac:dyDescent="0.3">
      <c r="A146" s="42">
        <v>2019</v>
      </c>
      <c r="B146" s="59">
        <f>SUMIFS('Data(perSeason,perCrop)'!$A:$A,'Data(perSeason,perCrop)'!$S:$S,Productivity!$A146,'Data(perSeason,perCrop)'!$O:$O,3,'Data(perSeason,perCrop)'!$C:$C,Productivity!B$52,'Data(perSeason,perCrop)'!$R:$R,"IRRIGATED")</f>
        <v>0</v>
      </c>
      <c r="C146" s="59">
        <f>SUMIFS('Data(perSeason,perCrop)'!$A:$A,'Data(perSeason,perCrop)'!$S:$S,Productivity!$A146,'Data(perSeason,perCrop)'!$O:$O,3,'Data(perSeason,perCrop)'!$C:$C,Productivity!C$52,'Data(perSeason,perCrop)'!$R:$R,"IRRIGATED")</f>
        <v>0</v>
      </c>
      <c r="D146" s="59">
        <f>SUMIFS('Data(perSeason,perCrop)'!$A:$A,'Data(perSeason,perCrop)'!$S:$S,Productivity!$A146,'Data(perSeason,perCrop)'!$O:$O,3,'Data(perSeason,perCrop)'!$C:$C,Productivity!D$52,'Data(perSeason,perCrop)'!$R:$R,"IRRIGATED")</f>
        <v>0</v>
      </c>
      <c r="E146" s="59">
        <f>SUMIFS('Data(perSeason,perCrop)'!$A:$A,'Data(perSeason,perCrop)'!$S:$S,Productivity!$A146,'Data(perSeason,perCrop)'!$O:$O,3,'Data(perSeason,perCrop)'!$C:$C,Productivity!E$52,'Data(perSeason,perCrop)'!$R:$R,"IRRIGATED")</f>
        <v>0</v>
      </c>
      <c r="F146" s="59">
        <f>SUMIFS('Data(perSeason,perCrop)'!$A:$A,'Data(perSeason,perCrop)'!$S:$S,Productivity!$A146,'Data(perSeason,perCrop)'!$O:$O,3,'Data(perSeason,perCrop)'!$C:$C,Productivity!F$52,'Data(perSeason,perCrop)'!$R:$R,"IRRIGATED")</f>
        <v>0</v>
      </c>
      <c r="G146" s="59">
        <f>SUMIFS('Data(perSeason,perCrop)'!$A:$A,'Data(perSeason,perCrop)'!$S:$S,Productivity!$A146,'Data(perSeason,perCrop)'!$O:$O,3,'Data(perSeason,perCrop)'!$C:$C,Productivity!G$52,'Data(perSeason,perCrop)'!$R:$R,"IRRIGATED")</f>
        <v>0</v>
      </c>
      <c r="H146" s="59">
        <f>SUMIFS('Data(perSeason,perCrop)'!$A:$A,'Data(perSeason,perCrop)'!$S:$S,Productivity!$A146,'Data(perSeason,perCrop)'!$O:$O,3,'Data(perSeason,perCrop)'!$C:$C,Productivity!H$52,'Data(perSeason,perCrop)'!$R:$R,"IRRIGATED")</f>
        <v>0</v>
      </c>
      <c r="I146" s="59">
        <f>SUMIFS('Data(perSeason,perCrop)'!$A:$A,'Data(perSeason,perCrop)'!$S:$S,Productivity!$A146,'Data(perSeason,perCrop)'!$O:$O,3,'Data(perSeason,perCrop)'!$C:$C,Productivity!I$52,'Data(perSeason,perCrop)'!$R:$R,"IRRIGATED")</f>
        <v>0</v>
      </c>
      <c r="J146" s="59">
        <f>SUMIFS('Data(perSeason,perCrop)'!$A:$A,'Data(perSeason,perCrop)'!$S:$S,Productivity!$A146,'Data(perSeason,perCrop)'!$O:$O,3,'Data(perSeason,perCrop)'!$C:$C,Productivity!J$52,'Data(perSeason,perCrop)'!$R:$R,"IRRIGATED")</f>
        <v>0</v>
      </c>
      <c r="K146" s="59">
        <f>SUMIFS('Data(perSeason,perCrop)'!$A:$A,'Data(perSeason,perCrop)'!$S:$S,Productivity!$A146,'Data(perSeason,perCrop)'!$O:$O,3,'Data(perSeason,perCrop)'!$C:$C,Productivity!K$52,'Data(perSeason,perCrop)'!$R:$R,"IRRIGATED")</f>
        <v>0</v>
      </c>
      <c r="L146" s="59">
        <f>SUMIFS('Data(perSeason,perCrop)'!$A:$A,'Data(perSeason,perCrop)'!$S:$S,Productivity!$A146,'Data(perSeason,perCrop)'!$O:$O,3,'Data(perSeason,perCrop)'!$C:$C,Productivity!L$52,'Data(perSeason,perCrop)'!$R:$R,"IRRIGATED")</f>
        <v>0</v>
      </c>
      <c r="M146" s="59">
        <f>SUMIFS('Data(perSeason,perCrop)'!$A:$A,'Data(perSeason,perCrop)'!$S:$S,Productivity!$A146,'Data(perSeason,perCrop)'!$O:$O,3,'Data(perSeason,perCrop)'!$C:$C,Productivity!M$52,'Data(perSeason,perCrop)'!$R:$R,"IRRIGATED")</f>
        <v>0</v>
      </c>
      <c r="N146" s="59">
        <f>SUMIFS('Data(perSeason,perCrop)'!$A:$A,'Data(perSeason,perCrop)'!$S:$S,Productivity!$A146,'Data(perSeason,perCrop)'!$O:$O,3,'Data(perSeason,perCrop)'!$C:$C,Productivity!N$52,'Data(perSeason,perCrop)'!$R:$R,"IRRIGATED")</f>
        <v>0</v>
      </c>
      <c r="O146" s="59">
        <f>SUMIFS('Data(perSeason,perCrop)'!$A:$A,'Data(perSeason,perCrop)'!$S:$S,Productivity!$A146,'Data(perSeason,perCrop)'!$O:$O,3,'Data(perSeason,perCrop)'!$C:$C,Productivity!O$52,'Data(perSeason,perCrop)'!$R:$R,"IRRIGATED")</f>
        <v>1924.6786916134799</v>
      </c>
      <c r="P146" s="59">
        <f>SUMIFS('Data(perSeason,perCrop)'!$A:$A,'Data(perSeason,perCrop)'!$S:$S,Productivity!$A146,'Data(perSeason,perCrop)'!$O:$O,3,'Data(perSeason,perCrop)'!$C:$C,Productivity!P$52,'Data(perSeason,perCrop)'!$R:$R,"IRRIGATED")</f>
        <v>557.28849852511803</v>
      </c>
      <c r="Q146" s="59">
        <f>SUMIFS('Data(perSeason,perCrop)'!$A:$A,'Data(perSeason,perCrop)'!$S:$S,Productivity!$A146,'Data(perSeason,perCrop)'!$O:$O,3,'Data(perSeason,perCrop)'!$C:$C,Productivity!Q$52,'Data(perSeason,perCrop)'!$R:$R,"IRRIGATED")</f>
        <v>0</v>
      </c>
      <c r="R146" s="59">
        <f>SUMIFS('Data(perSeason,perCrop)'!$A:$A,'Data(perSeason,perCrop)'!$S:$S,Productivity!$A146,'Data(perSeason,perCrop)'!$O:$O,3,'Data(perSeason,perCrop)'!$C:$C,Productivity!R$52,'Data(perSeason,perCrop)'!$R:$R,"IRRIGATED")</f>
        <v>251.30926642697199</v>
      </c>
      <c r="S146" s="59">
        <f>SUMIFS('Data(perSeason,perCrop)'!$A:$A,'Data(perSeason,perCrop)'!$S:$S,Productivity!$A146,'Data(perSeason,perCrop)'!$O:$O,3,'Data(perSeason,perCrop)'!$C:$C,Productivity!S$52,'Data(perSeason,perCrop)'!$R:$R,"IRRIGATED")</f>
        <v>0</v>
      </c>
      <c r="T146" s="59">
        <f>SUMIFS('Data(perSeason,perCrop)'!$A:$A,'Data(perSeason,perCrop)'!$S:$S,Productivity!$A146,'Data(perSeason,perCrop)'!$O:$O,3,'Data(perSeason,perCrop)'!$C:$C,Productivity!T$52,'Data(perSeason,perCrop)'!$R:$R,"IRRIGATED")</f>
        <v>0</v>
      </c>
      <c r="U146" s="59">
        <f>SUMIFS('Data(perSeason,perCrop)'!$A:$A,'Data(perSeason,perCrop)'!$S:$S,Productivity!$A146,'Data(perSeason,perCrop)'!$O:$O,3,'Data(perSeason,perCrop)'!$C:$C,Productivity!U$52,'Data(perSeason,perCrop)'!$R:$R,"IRRIGATED")</f>
        <v>4645.8124647906097</v>
      </c>
      <c r="V146" s="59">
        <f>SUMIFS('Data(perSeason,perCrop)'!$A:$A,'Data(perSeason,perCrop)'!$S:$S,Productivity!$A146,'Data(perSeason,perCrop)'!$O:$O,3,'Data(perSeason,perCrop)'!$C:$C,Productivity!V$52,'Data(perSeason,perCrop)'!$R:$R,"IRRIGATED")</f>
        <v>0</v>
      </c>
      <c r="W146" s="59">
        <f>SUMIFS('Data(perSeason,perCrop)'!$A:$A,'Data(perSeason,perCrop)'!$S:$S,Productivity!$A146,'Data(perSeason,perCrop)'!$O:$O,3,'Data(perSeason,perCrop)'!$C:$C,Productivity!W$52,'Data(perSeason,perCrop)'!$R:$R,"IRRIGATED")</f>
        <v>0</v>
      </c>
      <c r="X146" s="59">
        <f>SUMIFS('Data(perSeason,perCrop)'!$A:$A,'Data(perSeason,perCrop)'!$S:$S,Productivity!$A146,'Data(perSeason,perCrop)'!$O:$O,3,'Data(perSeason,perCrop)'!$C:$C,Productivity!X$52,'Data(perSeason,perCrop)'!$R:$R,"IRRIGATED")</f>
        <v>0</v>
      </c>
      <c r="Y146" s="59">
        <f>SUMIFS('Data(perSeason,perCrop)'!$A:$A,'Data(perSeason,perCrop)'!$S:$S,Productivity!$A146,'Data(perSeason,perCrop)'!$O:$O,3,'Data(perSeason,perCrop)'!$C:$C,Productivity!Y$52,'Data(perSeason,perCrop)'!$R:$R,"IRRIGATED")</f>
        <v>0</v>
      </c>
      <c r="Z146" s="59">
        <f>SUMIFS('Data(perSeason,perCrop)'!$A:$A,'Data(perSeason,perCrop)'!$S:$S,Productivity!$A146,'Data(perSeason,perCrop)'!$O:$O,3,'Data(perSeason,perCrop)'!$C:$C,Productivity!Z$52,'Data(perSeason,perCrop)'!$R:$R,"IRRIGATED")</f>
        <v>0</v>
      </c>
      <c r="AA146" s="59">
        <f>SUMIFS('Data(perSeason,perCrop)'!$A:$A,'Data(perSeason,perCrop)'!$S:$S,Productivity!$A146,'Data(perSeason,perCrop)'!$O:$O,3,'Data(perSeason,perCrop)'!$C:$C,Productivity!AA$52,'Data(perSeason,perCrop)'!$R:$R,"IRRIGATED")</f>
        <v>0</v>
      </c>
      <c r="AB146" s="59">
        <f>SUMIFS('Data(perSeason,perCrop)'!$A:$A,'Data(perSeason,perCrop)'!$S:$S,Productivity!$A146,'Data(perSeason,perCrop)'!$O:$O,3,'Data(perSeason,perCrop)'!$C:$C,Productivity!AB$52,'Data(perSeason,perCrop)'!$R:$R,"IRRIGATED")</f>
        <v>0</v>
      </c>
      <c r="AC146" s="59">
        <f>SUMIFS('Data(perSeason,perCrop)'!$A:$A,'Data(perSeason,perCrop)'!$S:$S,Productivity!$A146,'Data(perSeason,perCrop)'!$O:$O,3,'Data(perSeason,perCrop)'!$C:$C,Productivity!AC$52,'Data(perSeason,perCrop)'!$R:$R,"IRRIGATED")</f>
        <v>0</v>
      </c>
      <c r="AD146" s="59">
        <f>SUMIFS('Data(perSeason,perCrop)'!$A:$A,'Data(perSeason,perCrop)'!$S:$S,Productivity!$A146,'Data(perSeason,perCrop)'!$O:$O,3,'Data(perSeason,perCrop)'!$C:$C,Productivity!AD$52,'Data(perSeason,perCrop)'!$R:$R,"IRRIGATED")</f>
        <v>0</v>
      </c>
      <c r="AE146" s="59">
        <f>SUMIFS('Data(perSeason,perCrop)'!$A:$A,'Data(perSeason,perCrop)'!$S:$S,Productivity!$A146,'Data(perSeason,perCrop)'!$O:$O,3,'Data(perSeason,perCrop)'!$C:$C,Productivity!AE$52,'Data(perSeason,perCrop)'!$R:$R,"IRRIGATED")</f>
        <v>0</v>
      </c>
      <c r="AF146" s="59">
        <f>SUMIFS('Data(perSeason,perCrop)'!$A:$A,'Data(perSeason,perCrop)'!$S:$S,Productivity!$A146,'Data(perSeason,perCrop)'!$O:$O,3,'Data(perSeason,perCrop)'!$C:$C,Productivity!AF$52,'Data(perSeason,perCrop)'!$R:$R,"IRRIGATED")</f>
        <v>0</v>
      </c>
    </row>
    <row r="147" spans="1:32" ht="18.75" x14ac:dyDescent="0.3">
      <c r="A147" s="42">
        <v>2020</v>
      </c>
      <c r="B147" s="59">
        <f>SUMIFS('Data(perSeason,perCrop)'!$A:$A,'Data(perSeason,perCrop)'!$S:$S,Productivity!$A147,'Data(perSeason,perCrop)'!$O:$O,3,'Data(perSeason,perCrop)'!$C:$C,Productivity!B$52,'Data(perSeason,perCrop)'!$R:$R,"IRRIGATED")</f>
        <v>0</v>
      </c>
      <c r="C147" s="59">
        <f>SUMIFS('Data(perSeason,perCrop)'!$A:$A,'Data(perSeason,perCrop)'!$S:$S,Productivity!$A147,'Data(perSeason,perCrop)'!$O:$O,3,'Data(perSeason,perCrop)'!$C:$C,Productivity!C$52,'Data(perSeason,perCrop)'!$R:$R,"IRRIGATED")</f>
        <v>0</v>
      </c>
      <c r="D147" s="59">
        <f>SUMIFS('Data(perSeason,perCrop)'!$A:$A,'Data(perSeason,perCrop)'!$S:$S,Productivity!$A147,'Data(perSeason,perCrop)'!$O:$O,3,'Data(perSeason,perCrop)'!$C:$C,Productivity!D$52,'Data(perSeason,perCrop)'!$R:$R,"IRRIGATED")</f>
        <v>0</v>
      </c>
      <c r="E147" s="59">
        <f>SUMIFS('Data(perSeason,perCrop)'!$A:$A,'Data(perSeason,perCrop)'!$S:$S,Productivity!$A147,'Data(perSeason,perCrop)'!$O:$O,3,'Data(perSeason,perCrop)'!$C:$C,Productivity!E$52,'Data(perSeason,perCrop)'!$R:$R,"IRRIGATED")</f>
        <v>0</v>
      </c>
      <c r="F147" s="59">
        <f>SUMIFS('Data(perSeason,perCrop)'!$A:$A,'Data(perSeason,perCrop)'!$S:$S,Productivity!$A147,'Data(perSeason,perCrop)'!$O:$O,3,'Data(perSeason,perCrop)'!$C:$C,Productivity!F$52,'Data(perSeason,perCrop)'!$R:$R,"IRRIGATED")</f>
        <v>0</v>
      </c>
      <c r="G147" s="59">
        <f>SUMIFS('Data(perSeason,perCrop)'!$A:$A,'Data(perSeason,perCrop)'!$S:$S,Productivity!$A147,'Data(perSeason,perCrop)'!$O:$O,3,'Data(perSeason,perCrop)'!$C:$C,Productivity!G$52,'Data(perSeason,perCrop)'!$R:$R,"IRRIGATED")</f>
        <v>0</v>
      </c>
      <c r="H147" s="59">
        <f>SUMIFS('Data(perSeason,perCrop)'!$A:$A,'Data(perSeason,perCrop)'!$S:$S,Productivity!$A147,'Data(perSeason,perCrop)'!$O:$O,3,'Data(perSeason,perCrop)'!$C:$C,Productivity!H$52,'Data(perSeason,perCrop)'!$R:$R,"IRRIGATED")</f>
        <v>0</v>
      </c>
      <c r="I147" s="59">
        <f>SUMIFS('Data(perSeason,perCrop)'!$A:$A,'Data(perSeason,perCrop)'!$S:$S,Productivity!$A147,'Data(perSeason,perCrop)'!$O:$O,3,'Data(perSeason,perCrop)'!$C:$C,Productivity!I$52,'Data(perSeason,perCrop)'!$R:$R,"IRRIGATED")</f>
        <v>0</v>
      </c>
      <c r="J147" s="59">
        <f>SUMIFS('Data(perSeason,perCrop)'!$A:$A,'Data(perSeason,perCrop)'!$S:$S,Productivity!$A147,'Data(perSeason,perCrop)'!$O:$O,3,'Data(perSeason,perCrop)'!$C:$C,Productivity!J$52,'Data(perSeason,perCrop)'!$R:$R,"IRRIGATED")</f>
        <v>0</v>
      </c>
      <c r="K147" s="59">
        <f>SUMIFS('Data(perSeason,perCrop)'!$A:$A,'Data(perSeason,perCrop)'!$S:$S,Productivity!$A147,'Data(perSeason,perCrop)'!$O:$O,3,'Data(perSeason,perCrop)'!$C:$C,Productivity!K$52,'Data(perSeason,perCrop)'!$R:$R,"IRRIGATED")</f>
        <v>0</v>
      </c>
      <c r="L147" s="59">
        <f>SUMIFS('Data(perSeason,perCrop)'!$A:$A,'Data(perSeason,perCrop)'!$S:$S,Productivity!$A147,'Data(perSeason,perCrop)'!$O:$O,3,'Data(perSeason,perCrop)'!$C:$C,Productivity!L$52,'Data(perSeason,perCrop)'!$R:$R,"IRRIGATED")</f>
        <v>0</v>
      </c>
      <c r="M147" s="59">
        <f>SUMIFS('Data(perSeason,perCrop)'!$A:$A,'Data(perSeason,perCrop)'!$S:$S,Productivity!$A147,'Data(perSeason,perCrop)'!$O:$O,3,'Data(perSeason,perCrop)'!$C:$C,Productivity!M$52,'Data(perSeason,perCrop)'!$R:$R,"IRRIGATED")</f>
        <v>0</v>
      </c>
      <c r="N147" s="59">
        <f>SUMIFS('Data(perSeason,perCrop)'!$A:$A,'Data(perSeason,perCrop)'!$S:$S,Productivity!$A147,'Data(perSeason,perCrop)'!$O:$O,3,'Data(perSeason,perCrop)'!$C:$C,Productivity!N$52,'Data(perSeason,perCrop)'!$R:$R,"IRRIGATED")</f>
        <v>0</v>
      </c>
      <c r="O147" s="59">
        <f>SUMIFS('Data(perSeason,perCrop)'!$A:$A,'Data(perSeason,perCrop)'!$S:$S,Productivity!$A147,'Data(perSeason,perCrop)'!$O:$O,3,'Data(perSeason,perCrop)'!$C:$C,Productivity!O$52,'Data(perSeason,perCrop)'!$R:$R,"IRRIGATED")</f>
        <v>1619.26392212305</v>
      </c>
      <c r="P147" s="59">
        <f>SUMIFS('Data(perSeason,perCrop)'!$A:$A,'Data(perSeason,perCrop)'!$S:$S,Productivity!$A147,'Data(perSeason,perCrop)'!$O:$O,3,'Data(perSeason,perCrop)'!$C:$C,Productivity!P$52,'Data(perSeason,perCrop)'!$R:$R,"IRRIGATED")</f>
        <v>101.992670964208</v>
      </c>
      <c r="Q147" s="59">
        <f>SUMIFS('Data(perSeason,perCrop)'!$A:$A,'Data(perSeason,perCrop)'!$S:$S,Productivity!$A147,'Data(perSeason,perCrop)'!$O:$O,3,'Data(perSeason,perCrop)'!$C:$C,Productivity!Q$52,'Data(perSeason,perCrop)'!$R:$R,"IRRIGATED")</f>
        <v>0</v>
      </c>
      <c r="R147" s="59">
        <f>SUMIFS('Data(perSeason,perCrop)'!$A:$A,'Data(perSeason,perCrop)'!$S:$S,Productivity!$A147,'Data(perSeason,perCrop)'!$O:$O,3,'Data(perSeason,perCrop)'!$C:$C,Productivity!R$52,'Data(perSeason,perCrop)'!$R:$R,"IRRIGATED")</f>
        <v>79.219020296092296</v>
      </c>
      <c r="S147" s="59">
        <f>SUMIFS('Data(perSeason,perCrop)'!$A:$A,'Data(perSeason,perCrop)'!$S:$S,Productivity!$A147,'Data(perSeason,perCrop)'!$O:$O,3,'Data(perSeason,perCrop)'!$C:$C,Productivity!S$52,'Data(perSeason,perCrop)'!$R:$R,"IRRIGATED")</f>
        <v>0</v>
      </c>
      <c r="T147" s="59">
        <f>SUMIFS('Data(perSeason,perCrop)'!$A:$A,'Data(perSeason,perCrop)'!$S:$S,Productivity!$A147,'Data(perSeason,perCrop)'!$O:$O,3,'Data(perSeason,perCrop)'!$C:$C,Productivity!T$52,'Data(perSeason,perCrop)'!$R:$R,"IRRIGATED")</f>
        <v>0</v>
      </c>
      <c r="U147" s="59">
        <f>SUMIFS('Data(perSeason,perCrop)'!$A:$A,'Data(perSeason,perCrop)'!$S:$S,Productivity!$A147,'Data(perSeason,perCrop)'!$O:$O,3,'Data(perSeason,perCrop)'!$C:$C,Productivity!U$52,'Data(perSeason,perCrop)'!$R:$R,"IRRIGATED")</f>
        <v>421.759614879347</v>
      </c>
      <c r="V147" s="59">
        <f>SUMIFS('Data(perSeason,perCrop)'!$A:$A,'Data(perSeason,perCrop)'!$S:$S,Productivity!$A147,'Data(perSeason,perCrop)'!$O:$O,3,'Data(perSeason,perCrop)'!$C:$C,Productivity!V$52,'Data(perSeason,perCrop)'!$R:$R,"IRRIGATED")</f>
        <v>0</v>
      </c>
      <c r="W147" s="59">
        <f>SUMIFS('Data(perSeason,perCrop)'!$A:$A,'Data(perSeason,perCrop)'!$S:$S,Productivity!$A147,'Data(perSeason,perCrop)'!$O:$O,3,'Data(perSeason,perCrop)'!$C:$C,Productivity!W$52,'Data(perSeason,perCrop)'!$R:$R,"IRRIGATED")</f>
        <v>0</v>
      </c>
      <c r="X147" s="59">
        <f>SUMIFS('Data(perSeason,perCrop)'!$A:$A,'Data(perSeason,perCrop)'!$S:$S,Productivity!$A147,'Data(perSeason,perCrop)'!$O:$O,3,'Data(perSeason,perCrop)'!$C:$C,Productivity!X$52,'Data(perSeason,perCrop)'!$R:$R,"IRRIGATED")</f>
        <v>0</v>
      </c>
      <c r="Y147" s="59">
        <f>SUMIFS('Data(perSeason,perCrop)'!$A:$A,'Data(perSeason,perCrop)'!$S:$S,Productivity!$A147,'Data(perSeason,perCrop)'!$O:$O,3,'Data(perSeason,perCrop)'!$C:$C,Productivity!Y$52,'Data(perSeason,perCrop)'!$R:$R,"IRRIGATED")</f>
        <v>0</v>
      </c>
      <c r="Z147" s="59">
        <f>SUMIFS('Data(perSeason,perCrop)'!$A:$A,'Data(perSeason,perCrop)'!$S:$S,Productivity!$A147,'Data(perSeason,perCrop)'!$O:$O,3,'Data(perSeason,perCrop)'!$C:$C,Productivity!Z$52,'Data(perSeason,perCrop)'!$R:$R,"IRRIGATED")</f>
        <v>0</v>
      </c>
      <c r="AA147" s="59">
        <f>SUMIFS('Data(perSeason,perCrop)'!$A:$A,'Data(perSeason,perCrop)'!$S:$S,Productivity!$A147,'Data(perSeason,perCrop)'!$O:$O,3,'Data(perSeason,perCrop)'!$C:$C,Productivity!AA$52,'Data(perSeason,perCrop)'!$R:$R,"IRRIGATED")</f>
        <v>0</v>
      </c>
      <c r="AB147" s="59">
        <f>SUMIFS('Data(perSeason,perCrop)'!$A:$A,'Data(perSeason,perCrop)'!$S:$S,Productivity!$A147,'Data(perSeason,perCrop)'!$O:$O,3,'Data(perSeason,perCrop)'!$C:$C,Productivity!AB$52,'Data(perSeason,perCrop)'!$R:$R,"IRRIGATED")</f>
        <v>0</v>
      </c>
      <c r="AC147" s="59">
        <f>SUMIFS('Data(perSeason,perCrop)'!$A:$A,'Data(perSeason,perCrop)'!$S:$S,Productivity!$A147,'Data(perSeason,perCrop)'!$O:$O,3,'Data(perSeason,perCrop)'!$C:$C,Productivity!AC$52,'Data(perSeason,perCrop)'!$R:$R,"IRRIGATED")</f>
        <v>0</v>
      </c>
      <c r="AD147" s="59">
        <f>SUMIFS('Data(perSeason,perCrop)'!$A:$A,'Data(perSeason,perCrop)'!$S:$S,Productivity!$A147,'Data(perSeason,perCrop)'!$O:$O,3,'Data(perSeason,perCrop)'!$C:$C,Productivity!AD$52,'Data(perSeason,perCrop)'!$R:$R,"IRRIGATED")</f>
        <v>0</v>
      </c>
      <c r="AE147" s="59">
        <f>SUMIFS('Data(perSeason,perCrop)'!$A:$A,'Data(perSeason,perCrop)'!$S:$S,Productivity!$A147,'Data(perSeason,perCrop)'!$O:$O,3,'Data(perSeason,perCrop)'!$C:$C,Productivity!AE$52,'Data(perSeason,perCrop)'!$R:$R,"IRRIGATED")</f>
        <v>0</v>
      </c>
      <c r="AF147" s="59">
        <f>SUMIFS('Data(perSeason,perCrop)'!$A:$A,'Data(perSeason,perCrop)'!$S:$S,Productivity!$A147,'Data(perSeason,perCrop)'!$O:$O,3,'Data(perSeason,perCrop)'!$C:$C,Productivity!AF$52,'Data(perSeason,perCrop)'!$R:$R,"IRRIGATED")</f>
        <v>0</v>
      </c>
    </row>
    <row r="148" spans="1:32" ht="18.75" x14ac:dyDescent="0.3">
      <c r="A148" s="42">
        <v>2021</v>
      </c>
      <c r="B148" s="59">
        <f>SUMIFS('Data(perSeason,perCrop)'!$A:$A,'Data(perSeason,perCrop)'!$S:$S,Productivity!$A148,'Data(perSeason,perCrop)'!$O:$O,3,'Data(perSeason,perCrop)'!$C:$C,Productivity!B$52,'Data(perSeason,perCrop)'!$R:$R,"IRRIGATED")</f>
        <v>0</v>
      </c>
      <c r="C148" s="59">
        <f>SUMIFS('Data(perSeason,perCrop)'!$A:$A,'Data(perSeason,perCrop)'!$S:$S,Productivity!$A148,'Data(perSeason,perCrop)'!$O:$O,3,'Data(perSeason,perCrop)'!$C:$C,Productivity!C$52,'Data(perSeason,perCrop)'!$R:$R,"IRRIGATED")</f>
        <v>0</v>
      </c>
      <c r="D148" s="59">
        <f>SUMIFS('Data(perSeason,perCrop)'!$A:$A,'Data(perSeason,perCrop)'!$S:$S,Productivity!$A148,'Data(perSeason,perCrop)'!$O:$O,3,'Data(perSeason,perCrop)'!$C:$C,Productivity!D$52,'Data(perSeason,perCrop)'!$R:$R,"IRRIGATED")</f>
        <v>0</v>
      </c>
      <c r="E148" s="59">
        <f>SUMIFS('Data(perSeason,perCrop)'!$A:$A,'Data(perSeason,perCrop)'!$S:$S,Productivity!$A148,'Data(perSeason,perCrop)'!$O:$O,3,'Data(perSeason,perCrop)'!$C:$C,Productivity!E$52,'Data(perSeason,perCrop)'!$R:$R,"IRRIGATED")</f>
        <v>0</v>
      </c>
      <c r="F148" s="59">
        <f>SUMIFS('Data(perSeason,perCrop)'!$A:$A,'Data(perSeason,perCrop)'!$S:$S,Productivity!$A148,'Data(perSeason,perCrop)'!$O:$O,3,'Data(perSeason,perCrop)'!$C:$C,Productivity!F$52,'Data(perSeason,perCrop)'!$R:$R,"IRRIGATED")</f>
        <v>0</v>
      </c>
      <c r="G148" s="59">
        <f>SUMIFS('Data(perSeason,perCrop)'!$A:$A,'Data(perSeason,perCrop)'!$S:$S,Productivity!$A148,'Data(perSeason,perCrop)'!$O:$O,3,'Data(perSeason,perCrop)'!$C:$C,Productivity!G$52,'Data(perSeason,perCrop)'!$R:$R,"IRRIGATED")</f>
        <v>0</v>
      </c>
      <c r="H148" s="59">
        <f>SUMIFS('Data(perSeason,perCrop)'!$A:$A,'Data(perSeason,perCrop)'!$S:$S,Productivity!$A148,'Data(perSeason,perCrop)'!$O:$O,3,'Data(perSeason,perCrop)'!$C:$C,Productivity!H$52,'Data(perSeason,perCrop)'!$R:$R,"IRRIGATED")</f>
        <v>0</v>
      </c>
      <c r="I148" s="59">
        <f>SUMIFS('Data(perSeason,perCrop)'!$A:$A,'Data(perSeason,perCrop)'!$S:$S,Productivity!$A148,'Data(perSeason,perCrop)'!$O:$O,3,'Data(perSeason,perCrop)'!$C:$C,Productivity!I$52,'Data(perSeason,perCrop)'!$R:$R,"IRRIGATED")</f>
        <v>0</v>
      </c>
      <c r="J148" s="59">
        <f>SUMIFS('Data(perSeason,perCrop)'!$A:$A,'Data(perSeason,perCrop)'!$S:$S,Productivity!$A148,'Data(perSeason,perCrop)'!$O:$O,3,'Data(perSeason,perCrop)'!$C:$C,Productivity!J$52,'Data(perSeason,perCrop)'!$R:$R,"IRRIGATED")</f>
        <v>0</v>
      </c>
      <c r="K148" s="59">
        <f>SUMIFS('Data(perSeason,perCrop)'!$A:$A,'Data(perSeason,perCrop)'!$S:$S,Productivity!$A148,'Data(perSeason,perCrop)'!$O:$O,3,'Data(perSeason,perCrop)'!$C:$C,Productivity!K$52,'Data(perSeason,perCrop)'!$R:$R,"IRRIGATED")</f>
        <v>0</v>
      </c>
      <c r="L148" s="59">
        <f>SUMIFS('Data(perSeason,perCrop)'!$A:$A,'Data(perSeason,perCrop)'!$S:$S,Productivity!$A148,'Data(perSeason,perCrop)'!$O:$O,3,'Data(perSeason,perCrop)'!$C:$C,Productivity!L$52,'Data(perSeason,perCrop)'!$R:$R,"IRRIGATED")</f>
        <v>0</v>
      </c>
      <c r="M148" s="59">
        <f>SUMIFS('Data(perSeason,perCrop)'!$A:$A,'Data(perSeason,perCrop)'!$S:$S,Productivity!$A148,'Data(perSeason,perCrop)'!$O:$O,3,'Data(perSeason,perCrop)'!$C:$C,Productivity!M$52,'Data(perSeason,perCrop)'!$R:$R,"IRRIGATED")</f>
        <v>0</v>
      </c>
      <c r="N148" s="59">
        <f>SUMIFS('Data(perSeason,perCrop)'!$A:$A,'Data(perSeason,perCrop)'!$S:$S,Productivity!$A148,'Data(perSeason,perCrop)'!$O:$O,3,'Data(perSeason,perCrop)'!$C:$C,Productivity!N$52,'Data(perSeason,perCrop)'!$R:$R,"IRRIGATED")</f>
        <v>0</v>
      </c>
      <c r="O148" s="59">
        <f>SUMIFS('Data(perSeason,perCrop)'!$A:$A,'Data(perSeason,perCrop)'!$S:$S,Productivity!$A148,'Data(perSeason,perCrop)'!$O:$O,3,'Data(perSeason,perCrop)'!$C:$C,Productivity!O$52,'Data(perSeason,perCrop)'!$R:$R,"IRRIGATED")</f>
        <v>1482.5523249263899</v>
      </c>
      <c r="P148" s="59">
        <f>SUMIFS('Data(perSeason,perCrop)'!$A:$A,'Data(perSeason,perCrop)'!$S:$S,Productivity!$A148,'Data(perSeason,perCrop)'!$O:$O,3,'Data(perSeason,perCrop)'!$C:$C,Productivity!P$52,'Data(perSeason,perCrop)'!$R:$R,"IRRIGATED")</f>
        <v>46.674837371984701</v>
      </c>
      <c r="Q148" s="59">
        <f>SUMIFS('Data(perSeason,perCrop)'!$A:$A,'Data(perSeason,perCrop)'!$S:$S,Productivity!$A148,'Data(perSeason,perCrop)'!$O:$O,3,'Data(perSeason,perCrop)'!$C:$C,Productivity!Q$52,'Data(perSeason,perCrop)'!$R:$R,"IRRIGATED")</f>
        <v>0</v>
      </c>
      <c r="R148" s="59">
        <f>SUMIFS('Data(perSeason,perCrop)'!$A:$A,'Data(perSeason,perCrop)'!$S:$S,Productivity!$A148,'Data(perSeason,perCrop)'!$O:$O,3,'Data(perSeason,perCrop)'!$C:$C,Productivity!R$52,'Data(perSeason,perCrop)'!$R:$R,"IRRIGATED")</f>
        <v>81.540190848801501</v>
      </c>
      <c r="S148" s="59">
        <f>SUMIFS('Data(perSeason,perCrop)'!$A:$A,'Data(perSeason,perCrop)'!$S:$S,Productivity!$A148,'Data(perSeason,perCrop)'!$O:$O,3,'Data(perSeason,perCrop)'!$C:$C,Productivity!S$52,'Data(perSeason,perCrop)'!$R:$R,"IRRIGATED")</f>
        <v>0</v>
      </c>
      <c r="T148" s="59">
        <f>SUMIFS('Data(perSeason,perCrop)'!$A:$A,'Data(perSeason,perCrop)'!$S:$S,Productivity!$A148,'Data(perSeason,perCrop)'!$O:$O,3,'Data(perSeason,perCrop)'!$C:$C,Productivity!T$52,'Data(perSeason,perCrop)'!$R:$R,"IRRIGATED")</f>
        <v>0</v>
      </c>
      <c r="U148" s="59">
        <f>SUMIFS('Data(perSeason,perCrop)'!$A:$A,'Data(perSeason,perCrop)'!$S:$S,Productivity!$A148,'Data(perSeason,perCrop)'!$O:$O,3,'Data(perSeason,perCrop)'!$C:$C,Productivity!U$52,'Data(perSeason,perCrop)'!$R:$R,"IRRIGATED")</f>
        <v>744.45875800567205</v>
      </c>
      <c r="V148" s="59">
        <f>SUMIFS('Data(perSeason,perCrop)'!$A:$A,'Data(perSeason,perCrop)'!$S:$S,Productivity!$A148,'Data(perSeason,perCrop)'!$O:$O,3,'Data(perSeason,perCrop)'!$C:$C,Productivity!V$52,'Data(perSeason,perCrop)'!$R:$R,"IRRIGATED")</f>
        <v>0</v>
      </c>
      <c r="W148" s="59">
        <f>SUMIFS('Data(perSeason,perCrop)'!$A:$A,'Data(perSeason,perCrop)'!$S:$S,Productivity!$A148,'Data(perSeason,perCrop)'!$O:$O,3,'Data(perSeason,perCrop)'!$C:$C,Productivity!W$52,'Data(perSeason,perCrop)'!$R:$R,"IRRIGATED")</f>
        <v>0</v>
      </c>
      <c r="X148" s="59">
        <f>SUMIFS('Data(perSeason,perCrop)'!$A:$A,'Data(perSeason,perCrop)'!$S:$S,Productivity!$A148,'Data(perSeason,perCrop)'!$O:$O,3,'Data(perSeason,perCrop)'!$C:$C,Productivity!X$52,'Data(perSeason,perCrop)'!$R:$R,"IRRIGATED")</f>
        <v>0</v>
      </c>
      <c r="Y148" s="59">
        <f>SUMIFS('Data(perSeason,perCrop)'!$A:$A,'Data(perSeason,perCrop)'!$S:$S,Productivity!$A148,'Data(perSeason,perCrop)'!$O:$O,3,'Data(perSeason,perCrop)'!$C:$C,Productivity!Y$52,'Data(perSeason,perCrop)'!$R:$R,"IRRIGATED")</f>
        <v>0</v>
      </c>
      <c r="Z148" s="59">
        <f>SUMIFS('Data(perSeason,perCrop)'!$A:$A,'Data(perSeason,perCrop)'!$S:$S,Productivity!$A148,'Data(perSeason,perCrop)'!$O:$O,3,'Data(perSeason,perCrop)'!$C:$C,Productivity!Z$52,'Data(perSeason,perCrop)'!$R:$R,"IRRIGATED")</f>
        <v>0</v>
      </c>
      <c r="AA148" s="59">
        <f>SUMIFS('Data(perSeason,perCrop)'!$A:$A,'Data(perSeason,perCrop)'!$S:$S,Productivity!$A148,'Data(perSeason,perCrop)'!$O:$O,3,'Data(perSeason,perCrop)'!$C:$C,Productivity!AA$52,'Data(perSeason,perCrop)'!$R:$R,"IRRIGATED")</f>
        <v>0</v>
      </c>
      <c r="AB148" s="59">
        <f>SUMIFS('Data(perSeason,perCrop)'!$A:$A,'Data(perSeason,perCrop)'!$S:$S,Productivity!$A148,'Data(perSeason,perCrop)'!$O:$O,3,'Data(perSeason,perCrop)'!$C:$C,Productivity!AB$52,'Data(perSeason,perCrop)'!$R:$R,"IRRIGATED")</f>
        <v>0</v>
      </c>
      <c r="AC148" s="59">
        <f>SUMIFS('Data(perSeason,perCrop)'!$A:$A,'Data(perSeason,perCrop)'!$S:$S,Productivity!$A148,'Data(perSeason,perCrop)'!$O:$O,3,'Data(perSeason,perCrop)'!$C:$C,Productivity!AC$52,'Data(perSeason,perCrop)'!$R:$R,"IRRIGATED")</f>
        <v>0</v>
      </c>
      <c r="AD148" s="59">
        <f>SUMIFS('Data(perSeason,perCrop)'!$A:$A,'Data(perSeason,perCrop)'!$S:$S,Productivity!$A148,'Data(perSeason,perCrop)'!$O:$O,3,'Data(perSeason,perCrop)'!$C:$C,Productivity!AD$52,'Data(perSeason,perCrop)'!$R:$R,"IRRIGATED")</f>
        <v>0</v>
      </c>
      <c r="AE148" s="59">
        <f>SUMIFS('Data(perSeason,perCrop)'!$A:$A,'Data(perSeason,perCrop)'!$S:$S,Productivity!$A148,'Data(perSeason,perCrop)'!$O:$O,3,'Data(perSeason,perCrop)'!$C:$C,Productivity!AE$52,'Data(perSeason,perCrop)'!$R:$R,"IRRIGATED")</f>
        <v>0</v>
      </c>
      <c r="AF148" s="59">
        <f>SUMIFS('Data(perSeason,perCrop)'!$A:$A,'Data(perSeason,perCrop)'!$S:$S,Productivity!$A148,'Data(perSeason,perCrop)'!$O:$O,3,'Data(perSeason,perCrop)'!$C:$C,Productivity!AF$52,'Data(perSeason,perCrop)'!$R:$R,"IRRIGATED")</f>
        <v>0</v>
      </c>
    </row>
    <row r="149" spans="1:32" ht="18.75" x14ac:dyDescent="0.3">
      <c r="A149" s="42">
        <v>2022</v>
      </c>
      <c r="B149" s="59">
        <f>SUMIFS('Data(perSeason,perCrop)'!$A:$A,'Data(perSeason,perCrop)'!$S:$S,Productivity!$A149,'Data(perSeason,perCrop)'!$O:$O,3,'Data(perSeason,perCrop)'!$C:$C,Productivity!B$52,'Data(perSeason,perCrop)'!$R:$R,"IRRIGATED")</f>
        <v>0</v>
      </c>
      <c r="C149" s="59">
        <f>SUMIFS('Data(perSeason,perCrop)'!$A:$A,'Data(perSeason,perCrop)'!$S:$S,Productivity!$A149,'Data(perSeason,perCrop)'!$O:$O,3,'Data(perSeason,perCrop)'!$C:$C,Productivity!C$52,'Data(perSeason,perCrop)'!$R:$R,"IRRIGATED")</f>
        <v>0</v>
      </c>
      <c r="D149" s="59">
        <f>SUMIFS('Data(perSeason,perCrop)'!$A:$A,'Data(perSeason,perCrop)'!$S:$S,Productivity!$A149,'Data(perSeason,perCrop)'!$O:$O,3,'Data(perSeason,perCrop)'!$C:$C,Productivity!D$52,'Data(perSeason,perCrop)'!$R:$R,"IRRIGATED")</f>
        <v>0</v>
      </c>
      <c r="E149" s="59">
        <f>SUMIFS('Data(perSeason,perCrop)'!$A:$A,'Data(perSeason,perCrop)'!$S:$S,Productivity!$A149,'Data(perSeason,perCrop)'!$O:$O,3,'Data(perSeason,perCrop)'!$C:$C,Productivity!E$52,'Data(perSeason,perCrop)'!$R:$R,"IRRIGATED")</f>
        <v>0</v>
      </c>
      <c r="F149" s="59">
        <f>SUMIFS('Data(perSeason,perCrop)'!$A:$A,'Data(perSeason,perCrop)'!$S:$S,Productivity!$A149,'Data(perSeason,perCrop)'!$O:$O,3,'Data(perSeason,perCrop)'!$C:$C,Productivity!F$52,'Data(perSeason,perCrop)'!$R:$R,"IRRIGATED")</f>
        <v>0</v>
      </c>
      <c r="G149" s="59">
        <f>SUMIFS('Data(perSeason,perCrop)'!$A:$A,'Data(perSeason,perCrop)'!$S:$S,Productivity!$A149,'Data(perSeason,perCrop)'!$O:$O,3,'Data(perSeason,perCrop)'!$C:$C,Productivity!G$52,'Data(perSeason,perCrop)'!$R:$R,"IRRIGATED")</f>
        <v>0</v>
      </c>
      <c r="H149" s="59">
        <f>SUMIFS('Data(perSeason,perCrop)'!$A:$A,'Data(perSeason,perCrop)'!$S:$S,Productivity!$A149,'Data(perSeason,perCrop)'!$O:$O,3,'Data(perSeason,perCrop)'!$C:$C,Productivity!H$52,'Data(perSeason,perCrop)'!$R:$R,"IRRIGATED")</f>
        <v>0</v>
      </c>
      <c r="I149" s="59">
        <f>SUMIFS('Data(perSeason,perCrop)'!$A:$A,'Data(perSeason,perCrop)'!$S:$S,Productivity!$A149,'Data(perSeason,perCrop)'!$O:$O,3,'Data(perSeason,perCrop)'!$C:$C,Productivity!I$52,'Data(perSeason,perCrop)'!$R:$R,"IRRIGATED")</f>
        <v>0</v>
      </c>
      <c r="J149" s="59">
        <f>SUMIFS('Data(perSeason,perCrop)'!$A:$A,'Data(perSeason,perCrop)'!$S:$S,Productivity!$A149,'Data(perSeason,perCrop)'!$O:$O,3,'Data(perSeason,perCrop)'!$C:$C,Productivity!J$52,'Data(perSeason,perCrop)'!$R:$R,"IRRIGATED")</f>
        <v>0</v>
      </c>
      <c r="K149" s="59">
        <f>SUMIFS('Data(perSeason,perCrop)'!$A:$A,'Data(perSeason,perCrop)'!$S:$S,Productivity!$A149,'Data(perSeason,perCrop)'!$O:$O,3,'Data(perSeason,perCrop)'!$C:$C,Productivity!K$52,'Data(perSeason,perCrop)'!$R:$R,"IRRIGATED")</f>
        <v>0</v>
      </c>
      <c r="L149" s="59">
        <f>SUMIFS('Data(perSeason,perCrop)'!$A:$A,'Data(perSeason,perCrop)'!$S:$S,Productivity!$A149,'Data(perSeason,perCrop)'!$O:$O,3,'Data(perSeason,perCrop)'!$C:$C,Productivity!L$52,'Data(perSeason,perCrop)'!$R:$R,"IRRIGATED")</f>
        <v>0</v>
      </c>
      <c r="M149" s="59">
        <f>SUMIFS('Data(perSeason,perCrop)'!$A:$A,'Data(perSeason,perCrop)'!$S:$S,Productivity!$A149,'Data(perSeason,perCrop)'!$O:$O,3,'Data(perSeason,perCrop)'!$C:$C,Productivity!M$52,'Data(perSeason,perCrop)'!$R:$R,"IRRIGATED")</f>
        <v>0</v>
      </c>
      <c r="N149" s="59">
        <f>SUMIFS('Data(perSeason,perCrop)'!$A:$A,'Data(perSeason,perCrop)'!$S:$S,Productivity!$A149,'Data(perSeason,perCrop)'!$O:$O,3,'Data(perSeason,perCrop)'!$C:$C,Productivity!N$52,'Data(perSeason,perCrop)'!$R:$R,"IRRIGATED")</f>
        <v>0</v>
      </c>
      <c r="O149" s="59">
        <f>SUMIFS('Data(perSeason,perCrop)'!$A:$A,'Data(perSeason,perCrop)'!$S:$S,Productivity!$A149,'Data(perSeason,perCrop)'!$O:$O,3,'Data(perSeason,perCrop)'!$C:$C,Productivity!O$52,'Data(perSeason,perCrop)'!$R:$R,"IRRIGATED")</f>
        <v>2492.1692321389401</v>
      </c>
      <c r="P149" s="59">
        <f>SUMIFS('Data(perSeason,perCrop)'!$A:$A,'Data(perSeason,perCrop)'!$S:$S,Productivity!$A149,'Data(perSeason,perCrop)'!$O:$O,3,'Data(perSeason,perCrop)'!$C:$C,Productivity!P$52,'Data(perSeason,perCrop)'!$R:$R,"IRRIGATED")</f>
        <v>271.34829949310802</v>
      </c>
      <c r="Q149" s="59">
        <f>SUMIFS('Data(perSeason,perCrop)'!$A:$A,'Data(perSeason,perCrop)'!$S:$S,Productivity!$A149,'Data(perSeason,perCrop)'!$O:$O,3,'Data(perSeason,perCrop)'!$C:$C,Productivity!Q$52,'Data(perSeason,perCrop)'!$R:$R,"IRRIGATED")</f>
        <v>0</v>
      </c>
      <c r="R149" s="59">
        <f>SUMIFS('Data(perSeason,perCrop)'!$A:$A,'Data(perSeason,perCrop)'!$S:$S,Productivity!$A149,'Data(perSeason,perCrop)'!$O:$O,3,'Data(perSeason,perCrop)'!$C:$C,Productivity!R$52,'Data(perSeason,perCrop)'!$R:$R,"IRRIGATED")</f>
        <v>150.657449786077</v>
      </c>
      <c r="S149" s="59">
        <f>SUMIFS('Data(perSeason,perCrop)'!$A:$A,'Data(perSeason,perCrop)'!$S:$S,Productivity!$A149,'Data(perSeason,perCrop)'!$O:$O,3,'Data(perSeason,perCrop)'!$C:$C,Productivity!S$52,'Data(perSeason,perCrop)'!$R:$R,"IRRIGATED")</f>
        <v>0</v>
      </c>
      <c r="T149" s="59">
        <f>SUMIFS('Data(perSeason,perCrop)'!$A:$A,'Data(perSeason,perCrop)'!$S:$S,Productivity!$A149,'Data(perSeason,perCrop)'!$O:$O,3,'Data(perSeason,perCrop)'!$C:$C,Productivity!T$52,'Data(perSeason,perCrop)'!$R:$R,"IRRIGATED")</f>
        <v>0</v>
      </c>
      <c r="U149" s="59">
        <f>SUMIFS('Data(perSeason,perCrop)'!$A:$A,'Data(perSeason,perCrop)'!$S:$S,Productivity!$A149,'Data(perSeason,perCrop)'!$O:$O,3,'Data(perSeason,perCrop)'!$C:$C,Productivity!U$52,'Data(perSeason,perCrop)'!$R:$R,"IRRIGATED")</f>
        <v>1341.71668184193</v>
      </c>
      <c r="V149" s="59">
        <f>SUMIFS('Data(perSeason,perCrop)'!$A:$A,'Data(perSeason,perCrop)'!$S:$S,Productivity!$A149,'Data(perSeason,perCrop)'!$O:$O,3,'Data(perSeason,perCrop)'!$C:$C,Productivity!V$52,'Data(perSeason,perCrop)'!$R:$R,"IRRIGATED")</f>
        <v>0</v>
      </c>
      <c r="W149" s="59">
        <f>SUMIFS('Data(perSeason,perCrop)'!$A:$A,'Data(perSeason,perCrop)'!$S:$S,Productivity!$A149,'Data(perSeason,perCrop)'!$O:$O,3,'Data(perSeason,perCrop)'!$C:$C,Productivity!W$52,'Data(perSeason,perCrop)'!$R:$R,"IRRIGATED")</f>
        <v>0</v>
      </c>
      <c r="X149" s="59">
        <f>SUMIFS('Data(perSeason,perCrop)'!$A:$A,'Data(perSeason,perCrop)'!$S:$S,Productivity!$A149,'Data(perSeason,perCrop)'!$O:$O,3,'Data(perSeason,perCrop)'!$C:$C,Productivity!X$52,'Data(perSeason,perCrop)'!$R:$R,"IRRIGATED")</f>
        <v>0</v>
      </c>
      <c r="Y149" s="59">
        <f>SUMIFS('Data(perSeason,perCrop)'!$A:$A,'Data(perSeason,perCrop)'!$S:$S,Productivity!$A149,'Data(perSeason,perCrop)'!$O:$O,3,'Data(perSeason,perCrop)'!$C:$C,Productivity!Y$52,'Data(perSeason,perCrop)'!$R:$R,"IRRIGATED")</f>
        <v>0</v>
      </c>
      <c r="Z149" s="59">
        <f>SUMIFS('Data(perSeason,perCrop)'!$A:$A,'Data(perSeason,perCrop)'!$S:$S,Productivity!$A149,'Data(perSeason,perCrop)'!$O:$O,3,'Data(perSeason,perCrop)'!$C:$C,Productivity!Z$52,'Data(perSeason,perCrop)'!$R:$R,"IRRIGATED")</f>
        <v>0</v>
      </c>
      <c r="AA149" s="59">
        <f>SUMIFS('Data(perSeason,perCrop)'!$A:$A,'Data(perSeason,perCrop)'!$S:$S,Productivity!$A149,'Data(perSeason,perCrop)'!$O:$O,3,'Data(perSeason,perCrop)'!$C:$C,Productivity!AA$52,'Data(perSeason,perCrop)'!$R:$R,"IRRIGATED")</f>
        <v>0</v>
      </c>
      <c r="AB149" s="59">
        <f>SUMIFS('Data(perSeason,perCrop)'!$A:$A,'Data(perSeason,perCrop)'!$S:$S,Productivity!$A149,'Data(perSeason,perCrop)'!$O:$O,3,'Data(perSeason,perCrop)'!$C:$C,Productivity!AB$52,'Data(perSeason,perCrop)'!$R:$R,"IRRIGATED")</f>
        <v>0</v>
      </c>
      <c r="AC149" s="59">
        <f>SUMIFS('Data(perSeason,perCrop)'!$A:$A,'Data(perSeason,perCrop)'!$S:$S,Productivity!$A149,'Data(perSeason,perCrop)'!$O:$O,3,'Data(perSeason,perCrop)'!$C:$C,Productivity!AC$52,'Data(perSeason,perCrop)'!$R:$R,"IRRIGATED")</f>
        <v>0</v>
      </c>
      <c r="AD149" s="59">
        <f>SUMIFS('Data(perSeason,perCrop)'!$A:$A,'Data(perSeason,perCrop)'!$S:$S,Productivity!$A149,'Data(perSeason,perCrop)'!$O:$O,3,'Data(perSeason,perCrop)'!$C:$C,Productivity!AD$52,'Data(perSeason,perCrop)'!$R:$R,"IRRIGATED")</f>
        <v>0</v>
      </c>
      <c r="AE149" s="59">
        <f>SUMIFS('Data(perSeason,perCrop)'!$A:$A,'Data(perSeason,perCrop)'!$S:$S,Productivity!$A149,'Data(perSeason,perCrop)'!$O:$O,3,'Data(perSeason,perCrop)'!$C:$C,Productivity!AE$52,'Data(perSeason,perCrop)'!$R:$R,"IRRIGATED")</f>
        <v>0</v>
      </c>
      <c r="AF149" s="59">
        <f>SUMIFS('Data(perSeason,perCrop)'!$A:$A,'Data(perSeason,perCrop)'!$S:$S,Productivity!$A149,'Data(perSeason,perCrop)'!$O:$O,3,'Data(perSeason,perCrop)'!$C:$C,Productivity!AF$52,'Data(perSeason,perCrop)'!$R:$R,"IRRIGATED")</f>
        <v>0</v>
      </c>
    </row>
    <row r="150" spans="1:32" ht="18.75" x14ac:dyDescent="0.3">
      <c r="A150" s="47" t="s">
        <v>184</v>
      </c>
      <c r="B150" s="48">
        <f>AVERAGE(B145:B149)</f>
        <v>0</v>
      </c>
      <c r="C150" s="48">
        <f t="shared" ref="C150:AF150" si="55">AVERAGE(C145:C149)</f>
        <v>0</v>
      </c>
      <c r="D150" s="48">
        <f t="shared" si="55"/>
        <v>0</v>
      </c>
      <c r="E150" s="48">
        <f t="shared" si="55"/>
        <v>0</v>
      </c>
      <c r="F150" s="48">
        <f t="shared" si="55"/>
        <v>0</v>
      </c>
      <c r="G150" s="48">
        <f t="shared" si="55"/>
        <v>0</v>
      </c>
      <c r="H150" s="48">
        <f t="shared" si="55"/>
        <v>0</v>
      </c>
      <c r="I150" s="48">
        <f t="shared" si="55"/>
        <v>0</v>
      </c>
      <c r="J150" s="48">
        <f t="shared" si="55"/>
        <v>0</v>
      </c>
      <c r="K150" s="48">
        <f t="shared" si="55"/>
        <v>0</v>
      </c>
      <c r="L150" s="48">
        <f t="shared" si="55"/>
        <v>0</v>
      </c>
      <c r="M150" s="48">
        <f t="shared" si="55"/>
        <v>0</v>
      </c>
      <c r="N150" s="48">
        <f t="shared" si="55"/>
        <v>0</v>
      </c>
      <c r="O150" s="48">
        <f t="shared" si="55"/>
        <v>1801.102061071088</v>
      </c>
      <c r="P150" s="48">
        <f t="shared" si="55"/>
        <v>231.59986879907896</v>
      </c>
      <c r="Q150" s="48">
        <f t="shared" si="55"/>
        <v>0</v>
      </c>
      <c r="R150" s="48">
        <f t="shared" si="55"/>
        <v>118.96365501838696</v>
      </c>
      <c r="S150" s="48">
        <f t="shared" si="55"/>
        <v>0</v>
      </c>
      <c r="T150" s="48">
        <f t="shared" si="55"/>
        <v>0</v>
      </c>
      <c r="U150" s="48">
        <f t="shared" si="55"/>
        <v>1588.3938974222849</v>
      </c>
      <c r="V150" s="48">
        <f t="shared" si="55"/>
        <v>0</v>
      </c>
      <c r="W150" s="48">
        <f t="shared" si="55"/>
        <v>0</v>
      </c>
      <c r="X150" s="48">
        <f t="shared" si="55"/>
        <v>0</v>
      </c>
      <c r="Y150" s="48">
        <f t="shared" si="55"/>
        <v>0</v>
      </c>
      <c r="Z150" s="48">
        <f t="shared" si="55"/>
        <v>0</v>
      </c>
      <c r="AA150" s="48">
        <f t="shared" si="55"/>
        <v>0</v>
      </c>
      <c r="AB150" s="48">
        <f t="shared" si="55"/>
        <v>0</v>
      </c>
      <c r="AC150" s="48">
        <f t="shared" si="55"/>
        <v>0</v>
      </c>
      <c r="AD150" s="48">
        <f t="shared" si="55"/>
        <v>0</v>
      </c>
      <c r="AE150" s="48">
        <f t="shared" si="55"/>
        <v>0</v>
      </c>
      <c r="AF150" s="48">
        <f t="shared" si="55"/>
        <v>0</v>
      </c>
    </row>
    <row r="151" spans="1:32" ht="18.75" x14ac:dyDescent="0.3">
      <c r="A151" s="47" t="s">
        <v>185</v>
      </c>
      <c r="B151" s="48">
        <f>B150/SUM($B150:$AF150)</f>
        <v>0</v>
      </c>
      <c r="C151" s="52">
        <f t="shared" ref="C151:AF151" si="56">C150/SUM($B150:$Q150)</f>
        <v>0</v>
      </c>
      <c r="D151" s="48">
        <f t="shared" si="56"/>
        <v>0</v>
      </c>
      <c r="E151" s="48">
        <f t="shared" si="56"/>
        <v>0</v>
      </c>
      <c r="F151" s="48">
        <f t="shared" si="56"/>
        <v>0</v>
      </c>
      <c r="G151" s="48">
        <f t="shared" si="56"/>
        <v>0</v>
      </c>
      <c r="H151" s="48">
        <f t="shared" si="56"/>
        <v>0</v>
      </c>
      <c r="I151" s="48">
        <f t="shared" si="56"/>
        <v>0</v>
      </c>
      <c r="J151" s="48">
        <f t="shared" si="56"/>
        <v>0</v>
      </c>
      <c r="K151" s="48">
        <f t="shared" si="56"/>
        <v>0</v>
      </c>
      <c r="L151" s="48">
        <f t="shared" si="56"/>
        <v>0</v>
      </c>
      <c r="M151" s="48">
        <f t="shared" si="56"/>
        <v>0</v>
      </c>
      <c r="N151" s="48">
        <f t="shared" si="56"/>
        <v>0</v>
      </c>
      <c r="O151" s="52">
        <f t="shared" si="56"/>
        <v>0.88606304476039355</v>
      </c>
      <c r="P151" s="52">
        <f t="shared" si="56"/>
        <v>0.11393695523960651</v>
      </c>
      <c r="Q151" s="48">
        <f t="shared" si="56"/>
        <v>0</v>
      </c>
      <c r="R151" s="61">
        <f t="shared" si="56"/>
        <v>5.8524889099694721E-2</v>
      </c>
      <c r="S151" s="48">
        <f t="shared" si="56"/>
        <v>0</v>
      </c>
      <c r="T151" s="48">
        <f t="shared" si="56"/>
        <v>0</v>
      </c>
      <c r="U151" s="52">
        <f t="shared" si="56"/>
        <v>0.78141997805046559</v>
      </c>
      <c r="V151" s="48">
        <f t="shared" si="56"/>
        <v>0</v>
      </c>
      <c r="W151" s="48">
        <f t="shared" si="56"/>
        <v>0</v>
      </c>
      <c r="X151" s="48">
        <f t="shared" si="56"/>
        <v>0</v>
      </c>
      <c r="Y151" s="48">
        <f t="shared" si="56"/>
        <v>0</v>
      </c>
      <c r="Z151" s="48">
        <f t="shared" si="56"/>
        <v>0</v>
      </c>
      <c r="AA151" s="48">
        <f t="shared" si="56"/>
        <v>0</v>
      </c>
      <c r="AB151" s="48">
        <f t="shared" si="56"/>
        <v>0</v>
      </c>
      <c r="AC151" s="48">
        <f t="shared" si="56"/>
        <v>0</v>
      </c>
      <c r="AD151" s="48">
        <f t="shared" si="56"/>
        <v>0</v>
      </c>
      <c r="AE151" s="48">
        <f t="shared" si="56"/>
        <v>0</v>
      </c>
      <c r="AF151" s="48">
        <f t="shared" si="56"/>
        <v>0</v>
      </c>
    </row>
    <row r="153" spans="1:32" ht="18.75" x14ac:dyDescent="0.3">
      <c r="A153" s="42" t="s">
        <v>23</v>
      </c>
      <c r="B153" s="58" t="s">
        <v>47</v>
      </c>
      <c r="C153" s="58" t="s">
        <v>57</v>
      </c>
      <c r="D153" s="58" t="s">
        <v>110</v>
      </c>
      <c r="E153" s="58" t="s">
        <v>50</v>
      </c>
      <c r="F153" s="58" t="s">
        <v>58</v>
      </c>
      <c r="G153" s="58" t="s">
        <v>51</v>
      </c>
      <c r="H153" s="58" t="s">
        <v>97</v>
      </c>
      <c r="I153" s="58" t="s">
        <v>52</v>
      </c>
      <c r="J153" s="58" t="s">
        <v>59</v>
      </c>
      <c r="K153" s="58" t="s">
        <v>111</v>
      </c>
      <c r="L153" s="58" t="s">
        <v>54</v>
      </c>
      <c r="M153" s="58" t="s">
        <v>112</v>
      </c>
      <c r="N153" s="58" t="s">
        <v>48</v>
      </c>
      <c r="O153" s="58" t="s">
        <v>53</v>
      </c>
      <c r="P153" s="58" t="s">
        <v>49</v>
      </c>
      <c r="Q153" s="58" t="s">
        <v>56</v>
      </c>
      <c r="R153" s="58" t="s">
        <v>102</v>
      </c>
      <c r="S153" s="58" t="s">
        <v>103</v>
      </c>
      <c r="T153" s="58" t="s">
        <v>101</v>
      </c>
      <c r="U153" s="58" t="s">
        <v>106</v>
      </c>
      <c r="V153" s="58" t="s">
        <v>113</v>
      </c>
      <c r="W153" s="58" t="s">
        <v>114</v>
      </c>
      <c r="X153" s="58" t="s">
        <v>115</v>
      </c>
      <c r="Y153" s="58" t="s">
        <v>116</v>
      </c>
      <c r="Z153" s="58" t="s">
        <v>107</v>
      </c>
      <c r="AA153" s="58" t="s">
        <v>104</v>
      </c>
      <c r="AB153" s="58" t="s">
        <v>117</v>
      </c>
      <c r="AC153" s="58" t="s">
        <v>118</v>
      </c>
      <c r="AD153" s="58" t="s">
        <v>119</v>
      </c>
      <c r="AE153" s="58" t="s">
        <v>108</v>
      </c>
      <c r="AF153" s="58" t="s">
        <v>105</v>
      </c>
    </row>
    <row r="154" spans="1:32" ht="18.75" x14ac:dyDescent="0.3">
      <c r="A154" s="42" t="s">
        <v>183</v>
      </c>
      <c r="B154" s="42">
        <v>1</v>
      </c>
      <c r="C154" s="42">
        <v>2</v>
      </c>
      <c r="D154" s="42">
        <v>3</v>
      </c>
      <c r="E154" s="42">
        <v>4</v>
      </c>
      <c r="F154" s="42">
        <v>5</v>
      </c>
      <c r="G154" s="42">
        <v>6</v>
      </c>
      <c r="H154" s="42">
        <v>7</v>
      </c>
      <c r="I154" s="42">
        <v>8</v>
      </c>
      <c r="J154" s="42">
        <v>9</v>
      </c>
      <c r="K154" s="42">
        <v>10</v>
      </c>
      <c r="L154" s="42">
        <v>11</v>
      </c>
      <c r="M154" s="42">
        <v>12</v>
      </c>
      <c r="N154" s="42">
        <v>13</v>
      </c>
      <c r="O154" s="42">
        <v>14</v>
      </c>
      <c r="P154" s="42">
        <v>15</v>
      </c>
      <c r="Q154" s="42">
        <v>16</v>
      </c>
      <c r="R154" s="42">
        <v>17</v>
      </c>
      <c r="S154" s="42">
        <v>18</v>
      </c>
      <c r="T154" s="42">
        <v>19</v>
      </c>
      <c r="U154" s="42">
        <v>20</v>
      </c>
      <c r="V154" s="42">
        <v>21</v>
      </c>
      <c r="W154" s="42">
        <v>22</v>
      </c>
      <c r="X154" s="42">
        <v>23</v>
      </c>
      <c r="Y154" s="42">
        <v>24</v>
      </c>
      <c r="Z154" s="42">
        <v>25</v>
      </c>
      <c r="AA154" s="42">
        <v>40</v>
      </c>
      <c r="AB154" s="42">
        <v>41</v>
      </c>
      <c r="AC154" s="42">
        <v>42</v>
      </c>
      <c r="AD154" s="42">
        <v>43</v>
      </c>
      <c r="AE154" s="42">
        <v>44</v>
      </c>
      <c r="AF154" s="42">
        <v>45</v>
      </c>
    </row>
    <row r="155" spans="1:32" ht="18.75" x14ac:dyDescent="0.3">
      <c r="A155" s="42">
        <v>2018</v>
      </c>
      <c r="B155" s="59" t="str">
        <f>IFERROR(
    AVERAGEIFS('Data(perSeason,perCrop)'!$E:$E,
    'Data(perSeason,perCrop)'!$S:$S,$A155,
    'Data(perSeason,perCrop)'!$O:$O,3,
    'Data(perSeason,perCrop)'!$C:$C,B$52,
    'Data(perSeason,perCrop)'!$R:$R,"IRRIGATED"),
"")</f>
        <v/>
      </c>
      <c r="C155" s="59" t="str">
        <f>IFERROR(
    AVERAGEIFS('Data(perSeason,perCrop)'!$E:$E,
    'Data(perSeason,perCrop)'!$S:$S,$A155,
    'Data(perSeason,perCrop)'!$O:$O,3,
    'Data(perSeason,perCrop)'!$C:$C,C$52,
    'Data(perSeason,perCrop)'!$R:$R,"IRRIGATED"),
"")</f>
        <v/>
      </c>
      <c r="D155" s="59" t="str">
        <f>IFERROR(
    AVERAGEIFS('Data(perSeason,perCrop)'!$E:$E,
    'Data(perSeason,perCrop)'!$S:$S,$A155,
    'Data(perSeason,perCrop)'!$O:$O,3,
    'Data(perSeason,perCrop)'!$C:$C,D$52,
    'Data(perSeason,perCrop)'!$R:$R,"IRRIGATED"),
"")</f>
        <v/>
      </c>
      <c r="E155" s="59" t="str">
        <f>IFERROR(
    AVERAGEIFS('Data(perSeason,perCrop)'!$E:$E,
    'Data(perSeason,perCrop)'!$S:$S,$A155,
    'Data(perSeason,perCrop)'!$O:$O,3,
    'Data(perSeason,perCrop)'!$C:$C,E$52,
    'Data(perSeason,perCrop)'!$R:$R,"IRRIGATED"),
"")</f>
        <v/>
      </c>
      <c r="F155" s="59" t="str">
        <f>IFERROR(
    AVERAGEIFS('Data(perSeason,perCrop)'!$E:$E,
    'Data(perSeason,perCrop)'!$S:$S,$A155,
    'Data(perSeason,perCrop)'!$O:$O,3,
    'Data(perSeason,perCrop)'!$C:$C,F$52,
    'Data(perSeason,perCrop)'!$R:$R,"IRRIGATED"),
"")</f>
        <v/>
      </c>
      <c r="G155" s="59" t="str">
        <f>IFERROR(
    AVERAGEIFS('Data(perSeason,perCrop)'!$E:$E,
    'Data(perSeason,perCrop)'!$S:$S,$A155,
    'Data(perSeason,perCrop)'!$O:$O,3,
    'Data(perSeason,perCrop)'!$C:$C,G$52,
    'Data(perSeason,perCrop)'!$R:$R,"IRRIGATED"),
"")</f>
        <v/>
      </c>
      <c r="H155" s="59" t="str">
        <f>IFERROR(
    AVERAGEIFS('Data(perSeason,perCrop)'!$E:$E,
    'Data(perSeason,perCrop)'!$S:$S,$A155,
    'Data(perSeason,perCrop)'!$O:$O,3,
    'Data(perSeason,perCrop)'!$C:$C,H$52,
    'Data(perSeason,perCrop)'!$R:$R,"IRRIGATED"),
"")</f>
        <v/>
      </c>
      <c r="I155" s="59" t="str">
        <f>IFERROR(
    AVERAGEIFS('Data(perSeason,perCrop)'!$E:$E,
    'Data(perSeason,perCrop)'!$S:$S,$A155,
    'Data(perSeason,perCrop)'!$O:$O,3,
    'Data(perSeason,perCrop)'!$C:$C,I$52,
    'Data(perSeason,perCrop)'!$R:$R,"IRRIGATED"),
"")</f>
        <v/>
      </c>
      <c r="J155" s="59" t="str">
        <f>IFERROR(
    AVERAGEIFS('Data(perSeason,perCrop)'!$E:$E,
    'Data(perSeason,perCrop)'!$S:$S,$A155,
    'Data(perSeason,perCrop)'!$O:$O,3,
    'Data(perSeason,perCrop)'!$C:$C,J$52,
    'Data(perSeason,perCrop)'!$R:$R,"IRRIGATED"),
"")</f>
        <v/>
      </c>
      <c r="K155" s="59" t="str">
        <f>IFERROR(
    AVERAGEIFS('Data(perSeason,perCrop)'!$E:$E,
    'Data(perSeason,perCrop)'!$S:$S,$A155,
    'Data(perSeason,perCrop)'!$O:$O,3,
    'Data(perSeason,perCrop)'!$C:$C,K$52,
    'Data(perSeason,perCrop)'!$R:$R,"IRRIGATED"),
"")</f>
        <v/>
      </c>
      <c r="L155" s="59" t="str">
        <f>IFERROR(
    AVERAGEIFS('Data(perSeason,perCrop)'!$E:$E,
    'Data(perSeason,perCrop)'!$S:$S,$A155,
    'Data(perSeason,perCrop)'!$O:$O,3,
    'Data(perSeason,perCrop)'!$C:$C,L$52,
    'Data(perSeason,perCrop)'!$R:$R,"IRRIGATED"),
"")</f>
        <v/>
      </c>
      <c r="M155" s="59" t="str">
        <f>IFERROR(
    AVERAGEIFS('Data(perSeason,perCrop)'!$E:$E,
    'Data(perSeason,perCrop)'!$S:$S,$A155,
    'Data(perSeason,perCrop)'!$O:$O,3,
    'Data(perSeason,perCrop)'!$C:$C,M$52,
    'Data(perSeason,perCrop)'!$R:$R,"IRRIGATED"),
"")</f>
        <v/>
      </c>
      <c r="N155" s="59" t="str">
        <f>IFERROR(
    AVERAGEIFS('Data(perSeason,perCrop)'!$E:$E,
    'Data(perSeason,perCrop)'!$S:$S,$A155,
    'Data(perSeason,perCrop)'!$O:$O,3,
    'Data(perSeason,perCrop)'!$C:$C,N$52,
    'Data(perSeason,perCrop)'!$R:$R,"IRRIGATED"),
"")</f>
        <v/>
      </c>
      <c r="O155" s="59">
        <f>IFERROR(
    AVERAGEIFS('Data(perSeason,perCrop)'!$E:$E,
    'Data(perSeason,perCrop)'!$S:$S,$A155,
    'Data(perSeason,perCrop)'!$O:$O,3,
    'Data(perSeason,perCrop)'!$C:$C,O$52,
    'Data(perSeason,perCrop)'!$R:$R,"IRRIGATED"),
"")</f>
        <v>493</v>
      </c>
      <c r="P155" s="59">
        <f>IFERROR(
    AVERAGEIFS('Data(perSeason,perCrop)'!$E:$E,
    'Data(perSeason,perCrop)'!$S:$S,$A155,
    'Data(perSeason,perCrop)'!$O:$O,3,
    'Data(perSeason,perCrop)'!$C:$C,P$52,
    'Data(perSeason,perCrop)'!$R:$R,"IRRIGATED"),
"")</f>
        <v>336</v>
      </c>
      <c r="Q155" s="59" t="str">
        <f>IFERROR(
    AVERAGEIFS('Data(perSeason,perCrop)'!$E:$E,
    'Data(perSeason,perCrop)'!$S:$S,$A155,
    'Data(perSeason,perCrop)'!$O:$O,3,
    'Data(perSeason,perCrop)'!$C:$C,Q$52,
    'Data(perSeason,perCrop)'!$R:$R,"IRRIGATED"),
"")</f>
        <v/>
      </c>
      <c r="R155" s="59">
        <f>IFERROR(
    AVERAGEIFS('Data(perSeason,perCrop)'!$E:$E,
    'Data(perSeason,perCrop)'!$S:$S,$A155,
    'Data(perSeason,perCrop)'!$O:$O,3,
    'Data(perSeason,perCrop)'!$C:$C,R$52,
    'Data(perSeason,perCrop)'!$R:$R,"IRRIGATED"),
"")</f>
        <v>389</v>
      </c>
      <c r="S155" s="59" t="str">
        <f>IFERROR(
    AVERAGEIFS('Data(perSeason,perCrop)'!$E:$E,
    'Data(perSeason,perCrop)'!$S:$S,$A155,
    'Data(perSeason,perCrop)'!$O:$O,3,
    'Data(perSeason,perCrop)'!$C:$C,S$52,
    'Data(perSeason,perCrop)'!$R:$R,"IRRIGATED"),
"")</f>
        <v/>
      </c>
      <c r="T155" s="59" t="str">
        <f>IFERROR(
    AVERAGEIFS('Data(perSeason,perCrop)'!$E:$E,
    'Data(perSeason,perCrop)'!$S:$S,$A155,
    'Data(perSeason,perCrop)'!$O:$O,3,
    'Data(perSeason,perCrop)'!$C:$C,T$52,
    'Data(perSeason,perCrop)'!$R:$R,"IRRIGATED"),
"")</f>
        <v/>
      </c>
      <c r="U155" s="59">
        <f>IFERROR(
    AVERAGEIFS('Data(perSeason,perCrop)'!$E:$E,
    'Data(perSeason,perCrop)'!$S:$S,$A155,
    'Data(perSeason,perCrop)'!$O:$O,3,
    'Data(perSeason,perCrop)'!$C:$C,U$52,
    'Data(perSeason,perCrop)'!$R:$R,"IRRIGATED"),
"")</f>
        <v>460</v>
      </c>
      <c r="V155" s="59" t="str">
        <f>IFERROR(
    AVERAGEIFS('Data(perSeason,perCrop)'!$E:$E,
    'Data(perSeason,perCrop)'!$S:$S,$A155,
    'Data(perSeason,perCrop)'!$O:$O,3,
    'Data(perSeason,perCrop)'!$C:$C,V$52,
    'Data(perSeason,perCrop)'!$R:$R,"IRRIGATED"),
"")</f>
        <v/>
      </c>
      <c r="W155" s="59" t="str">
        <f>IFERROR(
    AVERAGEIFS('Data(perSeason,perCrop)'!$E:$E,
    'Data(perSeason,perCrop)'!$S:$S,$A155,
    'Data(perSeason,perCrop)'!$O:$O,3,
    'Data(perSeason,perCrop)'!$C:$C,W$52,
    'Data(perSeason,perCrop)'!$R:$R,"IRRIGATED"),
"")</f>
        <v/>
      </c>
      <c r="X155" s="59" t="str">
        <f>IFERROR(
    AVERAGEIFS('Data(perSeason,perCrop)'!$E:$E,
    'Data(perSeason,perCrop)'!$S:$S,$A155,
    'Data(perSeason,perCrop)'!$O:$O,3,
    'Data(perSeason,perCrop)'!$C:$C,X$52,
    'Data(perSeason,perCrop)'!$R:$R,"IRRIGATED"),
"")</f>
        <v/>
      </c>
      <c r="Y155" s="59" t="str">
        <f>IFERROR(
    AVERAGEIFS('Data(perSeason,perCrop)'!$E:$E,
    'Data(perSeason,perCrop)'!$S:$S,$A155,
    'Data(perSeason,perCrop)'!$O:$O,3,
    'Data(perSeason,perCrop)'!$C:$C,Y$52,
    'Data(perSeason,perCrop)'!$R:$R,"IRRIGATED"),
"")</f>
        <v/>
      </c>
      <c r="Z155" s="59" t="str">
        <f>IFERROR(
    AVERAGEIFS('Data(perSeason,perCrop)'!$E:$E,
    'Data(perSeason,perCrop)'!$S:$S,$A155,
    'Data(perSeason,perCrop)'!$O:$O,3,
    'Data(perSeason,perCrop)'!$C:$C,Z$52,
    'Data(perSeason,perCrop)'!$R:$R,"IRRIGATED"),
"")</f>
        <v/>
      </c>
      <c r="AA155" s="59" t="str">
        <f>IFERROR(
    AVERAGEIFS('Data(perSeason,perCrop)'!$E:$E,
    'Data(perSeason,perCrop)'!$S:$S,$A155,
    'Data(perSeason,perCrop)'!$O:$O,3,
    'Data(perSeason,perCrop)'!$C:$C,AA$52,
    'Data(perSeason,perCrop)'!$R:$R,"IRRIGATED"),
"")</f>
        <v/>
      </c>
      <c r="AB155" s="59" t="str">
        <f>IFERROR(
    AVERAGEIFS('Data(perSeason,perCrop)'!$E:$E,
    'Data(perSeason,perCrop)'!$S:$S,$A155,
    'Data(perSeason,perCrop)'!$O:$O,3,
    'Data(perSeason,perCrop)'!$C:$C,AB$52,
    'Data(perSeason,perCrop)'!$R:$R,"IRRIGATED"),
"")</f>
        <v/>
      </c>
      <c r="AC155" s="59" t="str">
        <f>IFERROR(
    AVERAGEIFS('Data(perSeason,perCrop)'!$E:$E,
    'Data(perSeason,perCrop)'!$S:$S,$A155,
    'Data(perSeason,perCrop)'!$O:$O,3,
    'Data(perSeason,perCrop)'!$C:$C,AC$52,
    'Data(perSeason,perCrop)'!$R:$R,"IRRIGATED"),
"")</f>
        <v/>
      </c>
      <c r="AD155" s="59" t="str">
        <f>IFERROR(
    AVERAGEIFS('Data(perSeason,perCrop)'!$E:$E,
    'Data(perSeason,perCrop)'!$S:$S,$A155,
    'Data(perSeason,perCrop)'!$O:$O,3,
    'Data(perSeason,perCrop)'!$C:$C,AD$52,
    'Data(perSeason,perCrop)'!$R:$R,"IRRIGATED"),
"")</f>
        <v/>
      </c>
      <c r="AE155" s="59" t="str">
        <f>IFERROR(
    AVERAGEIFS('Data(perSeason,perCrop)'!$E:$E,
    'Data(perSeason,perCrop)'!$S:$S,$A155,
    'Data(perSeason,perCrop)'!$O:$O,3,
    'Data(perSeason,perCrop)'!$C:$C,AE$52,
    'Data(perSeason,perCrop)'!$R:$R,"IRRIGATED"),
"")</f>
        <v/>
      </c>
      <c r="AF155" s="59" t="str">
        <f>IFERROR(
    AVERAGEIFS('Data(perSeason,perCrop)'!$E:$E,
    'Data(perSeason,perCrop)'!$S:$S,$A155,
    'Data(perSeason,perCrop)'!$O:$O,3,
    'Data(perSeason,perCrop)'!$C:$C,AF$52,
    'Data(perSeason,perCrop)'!$R:$R,"IRRIGATED"),
"")</f>
        <v/>
      </c>
    </row>
    <row r="156" spans="1:32" ht="18.75" x14ac:dyDescent="0.3">
      <c r="A156" s="42">
        <v>2019</v>
      </c>
      <c r="B156" s="59" t="str">
        <f>IFERROR(
    AVERAGEIFS('Data(perSeason,perCrop)'!$E:$E,
    'Data(perSeason,perCrop)'!$S:$S,$A156,
    'Data(perSeason,perCrop)'!$O:$O,3,
    'Data(perSeason,perCrop)'!$C:$C,B$52,
    'Data(perSeason,perCrop)'!$R:$R,"IRRIGATED"),
"")</f>
        <v/>
      </c>
      <c r="C156" s="59" t="str">
        <f>IFERROR(
    AVERAGEIFS('Data(perSeason,perCrop)'!$E:$E,
    'Data(perSeason,perCrop)'!$S:$S,$A156,
    'Data(perSeason,perCrop)'!$O:$O,3,
    'Data(perSeason,perCrop)'!$C:$C,C$52,
    'Data(perSeason,perCrop)'!$R:$R,"IRRIGATED"),
"")</f>
        <v/>
      </c>
      <c r="D156" s="59" t="str">
        <f>IFERROR(
    AVERAGEIFS('Data(perSeason,perCrop)'!$E:$E,
    'Data(perSeason,perCrop)'!$S:$S,$A156,
    'Data(perSeason,perCrop)'!$O:$O,3,
    'Data(perSeason,perCrop)'!$C:$C,D$52,
    'Data(perSeason,perCrop)'!$R:$R,"IRRIGATED"),
"")</f>
        <v/>
      </c>
      <c r="E156" s="59" t="str">
        <f>IFERROR(
    AVERAGEIFS('Data(perSeason,perCrop)'!$E:$E,
    'Data(perSeason,perCrop)'!$S:$S,$A156,
    'Data(perSeason,perCrop)'!$O:$O,3,
    'Data(perSeason,perCrop)'!$C:$C,E$52,
    'Data(perSeason,perCrop)'!$R:$R,"IRRIGATED"),
"")</f>
        <v/>
      </c>
      <c r="F156" s="59" t="str">
        <f>IFERROR(
    AVERAGEIFS('Data(perSeason,perCrop)'!$E:$E,
    'Data(perSeason,perCrop)'!$S:$S,$A156,
    'Data(perSeason,perCrop)'!$O:$O,3,
    'Data(perSeason,perCrop)'!$C:$C,F$52,
    'Data(perSeason,perCrop)'!$R:$R,"IRRIGATED"),
"")</f>
        <v/>
      </c>
      <c r="G156" s="59" t="str">
        <f>IFERROR(
    AVERAGEIFS('Data(perSeason,perCrop)'!$E:$E,
    'Data(perSeason,perCrop)'!$S:$S,$A156,
    'Data(perSeason,perCrop)'!$O:$O,3,
    'Data(perSeason,perCrop)'!$C:$C,G$52,
    'Data(perSeason,perCrop)'!$R:$R,"IRRIGATED"),
"")</f>
        <v/>
      </c>
      <c r="H156" s="59" t="str">
        <f>IFERROR(
    AVERAGEIFS('Data(perSeason,perCrop)'!$E:$E,
    'Data(perSeason,perCrop)'!$S:$S,$A156,
    'Data(perSeason,perCrop)'!$O:$O,3,
    'Data(perSeason,perCrop)'!$C:$C,H$52,
    'Data(perSeason,perCrop)'!$R:$R,"IRRIGATED"),
"")</f>
        <v/>
      </c>
      <c r="I156" s="59" t="str">
        <f>IFERROR(
    AVERAGEIFS('Data(perSeason,perCrop)'!$E:$E,
    'Data(perSeason,perCrop)'!$S:$S,$A156,
    'Data(perSeason,perCrop)'!$O:$O,3,
    'Data(perSeason,perCrop)'!$C:$C,I$52,
    'Data(perSeason,perCrop)'!$R:$R,"IRRIGATED"),
"")</f>
        <v/>
      </c>
      <c r="J156" s="59" t="str">
        <f>IFERROR(
    AVERAGEIFS('Data(perSeason,perCrop)'!$E:$E,
    'Data(perSeason,perCrop)'!$S:$S,$A156,
    'Data(perSeason,perCrop)'!$O:$O,3,
    'Data(perSeason,perCrop)'!$C:$C,J$52,
    'Data(perSeason,perCrop)'!$R:$R,"IRRIGATED"),
"")</f>
        <v/>
      </c>
      <c r="K156" s="59" t="str">
        <f>IFERROR(
    AVERAGEIFS('Data(perSeason,perCrop)'!$E:$E,
    'Data(perSeason,perCrop)'!$S:$S,$A156,
    'Data(perSeason,perCrop)'!$O:$O,3,
    'Data(perSeason,perCrop)'!$C:$C,K$52,
    'Data(perSeason,perCrop)'!$R:$R,"IRRIGATED"),
"")</f>
        <v/>
      </c>
      <c r="L156" s="59" t="str">
        <f>IFERROR(
    AVERAGEIFS('Data(perSeason,perCrop)'!$E:$E,
    'Data(perSeason,perCrop)'!$S:$S,$A156,
    'Data(perSeason,perCrop)'!$O:$O,3,
    'Data(perSeason,perCrop)'!$C:$C,L$52,
    'Data(perSeason,perCrop)'!$R:$R,"IRRIGATED"),
"")</f>
        <v/>
      </c>
      <c r="M156" s="59" t="str">
        <f>IFERROR(
    AVERAGEIFS('Data(perSeason,perCrop)'!$E:$E,
    'Data(perSeason,perCrop)'!$S:$S,$A156,
    'Data(perSeason,perCrop)'!$O:$O,3,
    'Data(perSeason,perCrop)'!$C:$C,M$52,
    'Data(perSeason,perCrop)'!$R:$R,"IRRIGATED"),
"")</f>
        <v/>
      </c>
      <c r="N156" s="59" t="str">
        <f>IFERROR(
    AVERAGEIFS('Data(perSeason,perCrop)'!$E:$E,
    'Data(perSeason,perCrop)'!$S:$S,$A156,
    'Data(perSeason,perCrop)'!$O:$O,3,
    'Data(perSeason,perCrop)'!$C:$C,N$52,
    'Data(perSeason,perCrop)'!$R:$R,"IRRIGATED"),
"")</f>
        <v/>
      </c>
      <c r="O156" s="59">
        <f>IFERROR(
    AVERAGEIFS('Data(perSeason,perCrop)'!$E:$E,
    'Data(perSeason,perCrop)'!$S:$S,$A156,
    'Data(perSeason,perCrop)'!$O:$O,3,
    'Data(perSeason,perCrop)'!$C:$C,O$52,
    'Data(perSeason,perCrop)'!$R:$R,"IRRIGATED"),
"")</f>
        <v>477</v>
      </c>
      <c r="P156" s="59">
        <f>IFERROR(
    AVERAGEIFS('Data(perSeason,perCrop)'!$E:$E,
    'Data(perSeason,perCrop)'!$S:$S,$A156,
    'Data(perSeason,perCrop)'!$O:$O,3,
    'Data(perSeason,perCrop)'!$C:$C,P$52,
    'Data(perSeason,perCrop)'!$R:$R,"IRRIGATED"),
"")</f>
        <v>331</v>
      </c>
      <c r="Q156" s="59" t="str">
        <f>IFERROR(
    AVERAGEIFS('Data(perSeason,perCrop)'!$E:$E,
    'Data(perSeason,perCrop)'!$S:$S,$A156,
    'Data(perSeason,perCrop)'!$O:$O,3,
    'Data(perSeason,perCrop)'!$C:$C,Q$52,
    'Data(perSeason,perCrop)'!$R:$R,"IRRIGATED"),
"")</f>
        <v/>
      </c>
      <c r="R156" s="59">
        <f>IFERROR(
    AVERAGEIFS('Data(perSeason,perCrop)'!$E:$E,
    'Data(perSeason,perCrop)'!$S:$S,$A156,
    'Data(perSeason,perCrop)'!$O:$O,3,
    'Data(perSeason,perCrop)'!$C:$C,R$52,
    'Data(perSeason,perCrop)'!$R:$R,"IRRIGATED"),
"")</f>
        <v>325</v>
      </c>
      <c r="S156" s="59" t="str">
        <f>IFERROR(
    AVERAGEIFS('Data(perSeason,perCrop)'!$E:$E,
    'Data(perSeason,perCrop)'!$S:$S,$A156,
    'Data(perSeason,perCrop)'!$O:$O,3,
    'Data(perSeason,perCrop)'!$C:$C,S$52,
    'Data(perSeason,perCrop)'!$R:$R,"IRRIGATED"),
"")</f>
        <v/>
      </c>
      <c r="T156" s="59" t="str">
        <f>IFERROR(
    AVERAGEIFS('Data(perSeason,perCrop)'!$E:$E,
    'Data(perSeason,perCrop)'!$S:$S,$A156,
    'Data(perSeason,perCrop)'!$O:$O,3,
    'Data(perSeason,perCrop)'!$C:$C,T$52,
    'Data(perSeason,perCrop)'!$R:$R,"IRRIGATED"),
"")</f>
        <v/>
      </c>
      <c r="U156" s="59">
        <f>IFERROR(
    AVERAGEIFS('Data(perSeason,perCrop)'!$E:$E,
    'Data(perSeason,perCrop)'!$S:$S,$A156,
    'Data(perSeason,perCrop)'!$O:$O,3,
    'Data(perSeason,perCrop)'!$C:$C,U$52,
    'Data(perSeason,perCrop)'!$R:$R,"IRRIGATED"),
"")</f>
        <v>404</v>
      </c>
      <c r="V156" s="59" t="str">
        <f>IFERROR(
    AVERAGEIFS('Data(perSeason,perCrop)'!$E:$E,
    'Data(perSeason,perCrop)'!$S:$S,$A156,
    'Data(perSeason,perCrop)'!$O:$O,3,
    'Data(perSeason,perCrop)'!$C:$C,V$52,
    'Data(perSeason,perCrop)'!$R:$R,"IRRIGATED"),
"")</f>
        <v/>
      </c>
      <c r="W156" s="59" t="str">
        <f>IFERROR(
    AVERAGEIFS('Data(perSeason,perCrop)'!$E:$E,
    'Data(perSeason,perCrop)'!$S:$S,$A156,
    'Data(perSeason,perCrop)'!$O:$O,3,
    'Data(perSeason,perCrop)'!$C:$C,W$52,
    'Data(perSeason,perCrop)'!$R:$R,"IRRIGATED"),
"")</f>
        <v/>
      </c>
      <c r="X156" s="59" t="str">
        <f>IFERROR(
    AVERAGEIFS('Data(perSeason,perCrop)'!$E:$E,
    'Data(perSeason,perCrop)'!$S:$S,$A156,
    'Data(perSeason,perCrop)'!$O:$O,3,
    'Data(perSeason,perCrop)'!$C:$C,X$52,
    'Data(perSeason,perCrop)'!$R:$R,"IRRIGATED"),
"")</f>
        <v/>
      </c>
      <c r="Y156" s="59" t="str">
        <f>IFERROR(
    AVERAGEIFS('Data(perSeason,perCrop)'!$E:$E,
    'Data(perSeason,perCrop)'!$S:$S,$A156,
    'Data(perSeason,perCrop)'!$O:$O,3,
    'Data(perSeason,perCrop)'!$C:$C,Y$52,
    'Data(perSeason,perCrop)'!$R:$R,"IRRIGATED"),
"")</f>
        <v/>
      </c>
      <c r="Z156" s="59" t="str">
        <f>IFERROR(
    AVERAGEIFS('Data(perSeason,perCrop)'!$E:$E,
    'Data(perSeason,perCrop)'!$S:$S,$A156,
    'Data(perSeason,perCrop)'!$O:$O,3,
    'Data(perSeason,perCrop)'!$C:$C,Z$52,
    'Data(perSeason,perCrop)'!$R:$R,"IRRIGATED"),
"")</f>
        <v/>
      </c>
      <c r="AA156" s="59" t="str">
        <f>IFERROR(
    AVERAGEIFS('Data(perSeason,perCrop)'!$E:$E,
    'Data(perSeason,perCrop)'!$S:$S,$A156,
    'Data(perSeason,perCrop)'!$O:$O,3,
    'Data(perSeason,perCrop)'!$C:$C,AA$52,
    'Data(perSeason,perCrop)'!$R:$R,"IRRIGATED"),
"")</f>
        <v/>
      </c>
      <c r="AB156" s="59" t="str">
        <f>IFERROR(
    AVERAGEIFS('Data(perSeason,perCrop)'!$E:$E,
    'Data(perSeason,perCrop)'!$S:$S,$A156,
    'Data(perSeason,perCrop)'!$O:$O,3,
    'Data(perSeason,perCrop)'!$C:$C,AB$52,
    'Data(perSeason,perCrop)'!$R:$R,"IRRIGATED"),
"")</f>
        <v/>
      </c>
      <c r="AC156" s="59" t="str">
        <f>IFERROR(
    AVERAGEIFS('Data(perSeason,perCrop)'!$E:$E,
    'Data(perSeason,perCrop)'!$S:$S,$A156,
    'Data(perSeason,perCrop)'!$O:$O,3,
    'Data(perSeason,perCrop)'!$C:$C,AC$52,
    'Data(perSeason,perCrop)'!$R:$R,"IRRIGATED"),
"")</f>
        <v/>
      </c>
      <c r="AD156" s="59" t="str">
        <f>IFERROR(
    AVERAGEIFS('Data(perSeason,perCrop)'!$E:$E,
    'Data(perSeason,perCrop)'!$S:$S,$A156,
    'Data(perSeason,perCrop)'!$O:$O,3,
    'Data(perSeason,perCrop)'!$C:$C,AD$52,
    'Data(perSeason,perCrop)'!$R:$R,"IRRIGATED"),
"")</f>
        <v/>
      </c>
      <c r="AE156" s="59" t="str">
        <f>IFERROR(
    AVERAGEIFS('Data(perSeason,perCrop)'!$E:$E,
    'Data(perSeason,perCrop)'!$S:$S,$A156,
    'Data(perSeason,perCrop)'!$O:$O,3,
    'Data(perSeason,perCrop)'!$C:$C,AE$52,
    'Data(perSeason,perCrop)'!$R:$R,"IRRIGATED"),
"")</f>
        <v/>
      </c>
      <c r="AF156" s="59" t="str">
        <f>IFERROR(
    AVERAGEIFS('Data(perSeason,perCrop)'!$E:$E,
    'Data(perSeason,perCrop)'!$S:$S,$A156,
    'Data(perSeason,perCrop)'!$O:$O,3,
    'Data(perSeason,perCrop)'!$C:$C,AF$52,
    'Data(perSeason,perCrop)'!$R:$R,"IRRIGATED"),
"")</f>
        <v/>
      </c>
    </row>
    <row r="157" spans="1:32" ht="18.75" x14ac:dyDescent="0.3">
      <c r="A157" s="42">
        <v>2020</v>
      </c>
      <c r="B157" s="59" t="str">
        <f>IFERROR(
    AVERAGEIFS('Data(perSeason,perCrop)'!$E:$E,
    'Data(perSeason,perCrop)'!$S:$S,$A157,
    'Data(perSeason,perCrop)'!$O:$O,3,
    'Data(perSeason,perCrop)'!$C:$C,B$52,
    'Data(perSeason,perCrop)'!$R:$R,"IRRIGATED"),
"")</f>
        <v/>
      </c>
      <c r="C157" s="59" t="str">
        <f>IFERROR(
    AVERAGEIFS('Data(perSeason,perCrop)'!$E:$E,
    'Data(perSeason,perCrop)'!$S:$S,$A157,
    'Data(perSeason,perCrop)'!$O:$O,3,
    'Data(perSeason,perCrop)'!$C:$C,C$52,
    'Data(perSeason,perCrop)'!$R:$R,"IRRIGATED"),
"")</f>
        <v/>
      </c>
      <c r="D157" s="59" t="str">
        <f>IFERROR(
    AVERAGEIFS('Data(perSeason,perCrop)'!$E:$E,
    'Data(perSeason,perCrop)'!$S:$S,$A157,
    'Data(perSeason,perCrop)'!$O:$O,3,
    'Data(perSeason,perCrop)'!$C:$C,D$52,
    'Data(perSeason,perCrop)'!$R:$R,"IRRIGATED"),
"")</f>
        <v/>
      </c>
      <c r="E157" s="59" t="str">
        <f>IFERROR(
    AVERAGEIFS('Data(perSeason,perCrop)'!$E:$E,
    'Data(perSeason,perCrop)'!$S:$S,$A157,
    'Data(perSeason,perCrop)'!$O:$O,3,
    'Data(perSeason,perCrop)'!$C:$C,E$52,
    'Data(perSeason,perCrop)'!$R:$R,"IRRIGATED"),
"")</f>
        <v/>
      </c>
      <c r="F157" s="59" t="str">
        <f>IFERROR(
    AVERAGEIFS('Data(perSeason,perCrop)'!$E:$E,
    'Data(perSeason,perCrop)'!$S:$S,$A157,
    'Data(perSeason,perCrop)'!$O:$O,3,
    'Data(perSeason,perCrop)'!$C:$C,F$52,
    'Data(perSeason,perCrop)'!$R:$R,"IRRIGATED"),
"")</f>
        <v/>
      </c>
      <c r="G157" s="59" t="str">
        <f>IFERROR(
    AVERAGEIFS('Data(perSeason,perCrop)'!$E:$E,
    'Data(perSeason,perCrop)'!$S:$S,$A157,
    'Data(perSeason,perCrop)'!$O:$O,3,
    'Data(perSeason,perCrop)'!$C:$C,G$52,
    'Data(perSeason,perCrop)'!$R:$R,"IRRIGATED"),
"")</f>
        <v/>
      </c>
      <c r="H157" s="59" t="str">
        <f>IFERROR(
    AVERAGEIFS('Data(perSeason,perCrop)'!$E:$E,
    'Data(perSeason,perCrop)'!$S:$S,$A157,
    'Data(perSeason,perCrop)'!$O:$O,3,
    'Data(perSeason,perCrop)'!$C:$C,H$52,
    'Data(perSeason,perCrop)'!$R:$R,"IRRIGATED"),
"")</f>
        <v/>
      </c>
      <c r="I157" s="59" t="str">
        <f>IFERROR(
    AVERAGEIFS('Data(perSeason,perCrop)'!$E:$E,
    'Data(perSeason,perCrop)'!$S:$S,$A157,
    'Data(perSeason,perCrop)'!$O:$O,3,
    'Data(perSeason,perCrop)'!$C:$C,I$52,
    'Data(perSeason,perCrop)'!$R:$R,"IRRIGATED"),
"")</f>
        <v/>
      </c>
      <c r="J157" s="59" t="str">
        <f>IFERROR(
    AVERAGEIFS('Data(perSeason,perCrop)'!$E:$E,
    'Data(perSeason,perCrop)'!$S:$S,$A157,
    'Data(perSeason,perCrop)'!$O:$O,3,
    'Data(perSeason,perCrop)'!$C:$C,J$52,
    'Data(perSeason,perCrop)'!$R:$R,"IRRIGATED"),
"")</f>
        <v/>
      </c>
      <c r="K157" s="59" t="str">
        <f>IFERROR(
    AVERAGEIFS('Data(perSeason,perCrop)'!$E:$E,
    'Data(perSeason,perCrop)'!$S:$S,$A157,
    'Data(perSeason,perCrop)'!$O:$O,3,
    'Data(perSeason,perCrop)'!$C:$C,K$52,
    'Data(perSeason,perCrop)'!$R:$R,"IRRIGATED"),
"")</f>
        <v/>
      </c>
      <c r="L157" s="59" t="str">
        <f>IFERROR(
    AVERAGEIFS('Data(perSeason,perCrop)'!$E:$E,
    'Data(perSeason,perCrop)'!$S:$S,$A157,
    'Data(perSeason,perCrop)'!$O:$O,3,
    'Data(perSeason,perCrop)'!$C:$C,L$52,
    'Data(perSeason,perCrop)'!$R:$R,"IRRIGATED"),
"")</f>
        <v/>
      </c>
      <c r="M157" s="59" t="str">
        <f>IFERROR(
    AVERAGEIFS('Data(perSeason,perCrop)'!$E:$E,
    'Data(perSeason,perCrop)'!$S:$S,$A157,
    'Data(perSeason,perCrop)'!$O:$O,3,
    'Data(perSeason,perCrop)'!$C:$C,M$52,
    'Data(perSeason,perCrop)'!$R:$R,"IRRIGATED"),
"")</f>
        <v/>
      </c>
      <c r="N157" s="59" t="str">
        <f>IFERROR(
    AVERAGEIFS('Data(perSeason,perCrop)'!$E:$E,
    'Data(perSeason,perCrop)'!$S:$S,$A157,
    'Data(perSeason,perCrop)'!$O:$O,3,
    'Data(perSeason,perCrop)'!$C:$C,N$52,
    'Data(perSeason,perCrop)'!$R:$R,"IRRIGATED"),
"")</f>
        <v/>
      </c>
      <c r="O157" s="59">
        <f>IFERROR(
    AVERAGEIFS('Data(perSeason,perCrop)'!$E:$E,
    'Data(perSeason,perCrop)'!$S:$S,$A157,
    'Data(perSeason,perCrop)'!$O:$O,3,
    'Data(perSeason,perCrop)'!$C:$C,O$52,
    'Data(perSeason,perCrop)'!$R:$R,"IRRIGATED"),
"")</f>
        <v>433</v>
      </c>
      <c r="P157" s="59">
        <f>IFERROR(
    AVERAGEIFS('Data(perSeason,perCrop)'!$E:$E,
    'Data(perSeason,perCrop)'!$S:$S,$A157,
    'Data(perSeason,perCrop)'!$O:$O,3,
    'Data(perSeason,perCrop)'!$C:$C,P$52,
    'Data(perSeason,perCrop)'!$R:$R,"IRRIGATED"),
"")</f>
        <v>267</v>
      </c>
      <c r="Q157" s="59" t="str">
        <f>IFERROR(
    AVERAGEIFS('Data(perSeason,perCrop)'!$E:$E,
    'Data(perSeason,perCrop)'!$S:$S,$A157,
    'Data(perSeason,perCrop)'!$O:$O,3,
    'Data(perSeason,perCrop)'!$C:$C,Q$52,
    'Data(perSeason,perCrop)'!$R:$R,"IRRIGATED"),
"")</f>
        <v/>
      </c>
      <c r="R157" s="59">
        <f>IFERROR(
    AVERAGEIFS('Data(perSeason,perCrop)'!$E:$E,
    'Data(perSeason,perCrop)'!$S:$S,$A157,
    'Data(perSeason,perCrop)'!$O:$O,3,
    'Data(perSeason,perCrop)'!$C:$C,R$52,
    'Data(perSeason,perCrop)'!$R:$R,"IRRIGATED"),
"")</f>
        <v>288</v>
      </c>
      <c r="S157" s="59" t="str">
        <f>IFERROR(
    AVERAGEIFS('Data(perSeason,perCrop)'!$E:$E,
    'Data(perSeason,perCrop)'!$S:$S,$A157,
    'Data(perSeason,perCrop)'!$O:$O,3,
    'Data(perSeason,perCrop)'!$C:$C,S$52,
    'Data(perSeason,perCrop)'!$R:$R,"IRRIGATED"),
"")</f>
        <v/>
      </c>
      <c r="T157" s="59" t="str">
        <f>IFERROR(
    AVERAGEIFS('Data(perSeason,perCrop)'!$E:$E,
    'Data(perSeason,perCrop)'!$S:$S,$A157,
    'Data(perSeason,perCrop)'!$O:$O,3,
    'Data(perSeason,perCrop)'!$C:$C,T$52,
    'Data(perSeason,perCrop)'!$R:$R,"IRRIGATED"),
"")</f>
        <v/>
      </c>
      <c r="U157" s="59">
        <f>IFERROR(
    AVERAGEIFS('Data(perSeason,perCrop)'!$E:$E,
    'Data(perSeason,perCrop)'!$S:$S,$A157,
    'Data(perSeason,perCrop)'!$O:$O,3,
    'Data(perSeason,perCrop)'!$C:$C,U$52,
    'Data(perSeason,perCrop)'!$R:$R,"IRRIGATED"),
"")</f>
        <v>383</v>
      </c>
      <c r="V157" s="59" t="str">
        <f>IFERROR(
    AVERAGEIFS('Data(perSeason,perCrop)'!$E:$E,
    'Data(perSeason,perCrop)'!$S:$S,$A157,
    'Data(perSeason,perCrop)'!$O:$O,3,
    'Data(perSeason,perCrop)'!$C:$C,V$52,
    'Data(perSeason,perCrop)'!$R:$R,"IRRIGATED"),
"")</f>
        <v/>
      </c>
      <c r="W157" s="59" t="str">
        <f>IFERROR(
    AVERAGEIFS('Data(perSeason,perCrop)'!$E:$E,
    'Data(perSeason,perCrop)'!$S:$S,$A157,
    'Data(perSeason,perCrop)'!$O:$O,3,
    'Data(perSeason,perCrop)'!$C:$C,W$52,
    'Data(perSeason,perCrop)'!$R:$R,"IRRIGATED"),
"")</f>
        <v/>
      </c>
      <c r="X157" s="59" t="str">
        <f>IFERROR(
    AVERAGEIFS('Data(perSeason,perCrop)'!$E:$E,
    'Data(perSeason,perCrop)'!$S:$S,$A157,
    'Data(perSeason,perCrop)'!$O:$O,3,
    'Data(perSeason,perCrop)'!$C:$C,X$52,
    'Data(perSeason,perCrop)'!$R:$R,"IRRIGATED"),
"")</f>
        <v/>
      </c>
      <c r="Y157" s="59" t="str">
        <f>IFERROR(
    AVERAGEIFS('Data(perSeason,perCrop)'!$E:$E,
    'Data(perSeason,perCrop)'!$S:$S,$A157,
    'Data(perSeason,perCrop)'!$O:$O,3,
    'Data(perSeason,perCrop)'!$C:$C,Y$52,
    'Data(perSeason,perCrop)'!$R:$R,"IRRIGATED"),
"")</f>
        <v/>
      </c>
      <c r="Z157" s="59" t="str">
        <f>IFERROR(
    AVERAGEIFS('Data(perSeason,perCrop)'!$E:$E,
    'Data(perSeason,perCrop)'!$S:$S,$A157,
    'Data(perSeason,perCrop)'!$O:$O,3,
    'Data(perSeason,perCrop)'!$C:$C,Z$52,
    'Data(perSeason,perCrop)'!$R:$R,"IRRIGATED"),
"")</f>
        <v/>
      </c>
      <c r="AA157" s="59" t="str">
        <f>IFERROR(
    AVERAGEIFS('Data(perSeason,perCrop)'!$E:$E,
    'Data(perSeason,perCrop)'!$S:$S,$A157,
    'Data(perSeason,perCrop)'!$O:$O,3,
    'Data(perSeason,perCrop)'!$C:$C,AA$52,
    'Data(perSeason,perCrop)'!$R:$R,"IRRIGATED"),
"")</f>
        <v/>
      </c>
      <c r="AB157" s="59" t="str">
        <f>IFERROR(
    AVERAGEIFS('Data(perSeason,perCrop)'!$E:$E,
    'Data(perSeason,perCrop)'!$S:$S,$A157,
    'Data(perSeason,perCrop)'!$O:$O,3,
    'Data(perSeason,perCrop)'!$C:$C,AB$52,
    'Data(perSeason,perCrop)'!$R:$R,"IRRIGATED"),
"")</f>
        <v/>
      </c>
      <c r="AC157" s="59" t="str">
        <f>IFERROR(
    AVERAGEIFS('Data(perSeason,perCrop)'!$E:$E,
    'Data(perSeason,perCrop)'!$S:$S,$A157,
    'Data(perSeason,perCrop)'!$O:$O,3,
    'Data(perSeason,perCrop)'!$C:$C,AC$52,
    'Data(perSeason,perCrop)'!$R:$R,"IRRIGATED"),
"")</f>
        <v/>
      </c>
      <c r="AD157" s="59" t="str">
        <f>IFERROR(
    AVERAGEIFS('Data(perSeason,perCrop)'!$E:$E,
    'Data(perSeason,perCrop)'!$S:$S,$A157,
    'Data(perSeason,perCrop)'!$O:$O,3,
    'Data(perSeason,perCrop)'!$C:$C,AD$52,
    'Data(perSeason,perCrop)'!$R:$R,"IRRIGATED"),
"")</f>
        <v/>
      </c>
      <c r="AE157" s="59" t="str">
        <f>IFERROR(
    AVERAGEIFS('Data(perSeason,perCrop)'!$E:$E,
    'Data(perSeason,perCrop)'!$S:$S,$A157,
    'Data(perSeason,perCrop)'!$O:$O,3,
    'Data(perSeason,perCrop)'!$C:$C,AE$52,
    'Data(perSeason,perCrop)'!$R:$R,"IRRIGATED"),
"")</f>
        <v/>
      </c>
      <c r="AF157" s="59" t="str">
        <f>IFERROR(
    AVERAGEIFS('Data(perSeason,perCrop)'!$E:$E,
    'Data(perSeason,perCrop)'!$S:$S,$A157,
    'Data(perSeason,perCrop)'!$O:$O,3,
    'Data(perSeason,perCrop)'!$C:$C,AF$52,
    'Data(perSeason,perCrop)'!$R:$R,"IRRIGATED"),
"")</f>
        <v/>
      </c>
    </row>
    <row r="158" spans="1:32" ht="18.75" x14ac:dyDescent="0.3">
      <c r="A158" s="42">
        <v>2021</v>
      </c>
      <c r="B158" s="59" t="str">
        <f>IFERROR(
    AVERAGEIFS('Data(perSeason,perCrop)'!$E:$E,
    'Data(perSeason,perCrop)'!$S:$S,$A158,
    'Data(perSeason,perCrop)'!$O:$O,3,
    'Data(perSeason,perCrop)'!$C:$C,B$52,
    'Data(perSeason,perCrop)'!$R:$R,"IRRIGATED"),
"")</f>
        <v/>
      </c>
      <c r="C158" s="59" t="str">
        <f>IFERROR(
    AVERAGEIFS('Data(perSeason,perCrop)'!$E:$E,
    'Data(perSeason,perCrop)'!$S:$S,$A158,
    'Data(perSeason,perCrop)'!$O:$O,3,
    'Data(perSeason,perCrop)'!$C:$C,C$52,
    'Data(perSeason,perCrop)'!$R:$R,"IRRIGATED"),
"")</f>
        <v/>
      </c>
      <c r="D158" s="59" t="str">
        <f>IFERROR(
    AVERAGEIFS('Data(perSeason,perCrop)'!$E:$E,
    'Data(perSeason,perCrop)'!$S:$S,$A158,
    'Data(perSeason,perCrop)'!$O:$O,3,
    'Data(perSeason,perCrop)'!$C:$C,D$52,
    'Data(perSeason,perCrop)'!$R:$R,"IRRIGATED"),
"")</f>
        <v/>
      </c>
      <c r="E158" s="59" t="str">
        <f>IFERROR(
    AVERAGEIFS('Data(perSeason,perCrop)'!$E:$E,
    'Data(perSeason,perCrop)'!$S:$S,$A158,
    'Data(perSeason,perCrop)'!$O:$O,3,
    'Data(perSeason,perCrop)'!$C:$C,E$52,
    'Data(perSeason,perCrop)'!$R:$R,"IRRIGATED"),
"")</f>
        <v/>
      </c>
      <c r="F158" s="59" t="str">
        <f>IFERROR(
    AVERAGEIFS('Data(perSeason,perCrop)'!$E:$E,
    'Data(perSeason,perCrop)'!$S:$S,$A158,
    'Data(perSeason,perCrop)'!$O:$O,3,
    'Data(perSeason,perCrop)'!$C:$C,F$52,
    'Data(perSeason,perCrop)'!$R:$R,"IRRIGATED"),
"")</f>
        <v/>
      </c>
      <c r="G158" s="59" t="str">
        <f>IFERROR(
    AVERAGEIFS('Data(perSeason,perCrop)'!$E:$E,
    'Data(perSeason,perCrop)'!$S:$S,$A158,
    'Data(perSeason,perCrop)'!$O:$O,3,
    'Data(perSeason,perCrop)'!$C:$C,G$52,
    'Data(perSeason,perCrop)'!$R:$R,"IRRIGATED"),
"")</f>
        <v/>
      </c>
      <c r="H158" s="59" t="str">
        <f>IFERROR(
    AVERAGEIFS('Data(perSeason,perCrop)'!$E:$E,
    'Data(perSeason,perCrop)'!$S:$S,$A158,
    'Data(perSeason,perCrop)'!$O:$O,3,
    'Data(perSeason,perCrop)'!$C:$C,H$52,
    'Data(perSeason,perCrop)'!$R:$R,"IRRIGATED"),
"")</f>
        <v/>
      </c>
      <c r="I158" s="59" t="str">
        <f>IFERROR(
    AVERAGEIFS('Data(perSeason,perCrop)'!$E:$E,
    'Data(perSeason,perCrop)'!$S:$S,$A158,
    'Data(perSeason,perCrop)'!$O:$O,3,
    'Data(perSeason,perCrop)'!$C:$C,I$52,
    'Data(perSeason,perCrop)'!$R:$R,"IRRIGATED"),
"")</f>
        <v/>
      </c>
      <c r="J158" s="59" t="str">
        <f>IFERROR(
    AVERAGEIFS('Data(perSeason,perCrop)'!$E:$E,
    'Data(perSeason,perCrop)'!$S:$S,$A158,
    'Data(perSeason,perCrop)'!$O:$O,3,
    'Data(perSeason,perCrop)'!$C:$C,J$52,
    'Data(perSeason,perCrop)'!$R:$R,"IRRIGATED"),
"")</f>
        <v/>
      </c>
      <c r="K158" s="59" t="str">
        <f>IFERROR(
    AVERAGEIFS('Data(perSeason,perCrop)'!$E:$E,
    'Data(perSeason,perCrop)'!$S:$S,$A158,
    'Data(perSeason,perCrop)'!$O:$O,3,
    'Data(perSeason,perCrop)'!$C:$C,K$52,
    'Data(perSeason,perCrop)'!$R:$R,"IRRIGATED"),
"")</f>
        <v/>
      </c>
      <c r="L158" s="59" t="str">
        <f>IFERROR(
    AVERAGEIFS('Data(perSeason,perCrop)'!$E:$E,
    'Data(perSeason,perCrop)'!$S:$S,$A158,
    'Data(perSeason,perCrop)'!$O:$O,3,
    'Data(perSeason,perCrop)'!$C:$C,L$52,
    'Data(perSeason,perCrop)'!$R:$R,"IRRIGATED"),
"")</f>
        <v/>
      </c>
      <c r="M158" s="59" t="str">
        <f>IFERROR(
    AVERAGEIFS('Data(perSeason,perCrop)'!$E:$E,
    'Data(perSeason,perCrop)'!$S:$S,$A158,
    'Data(perSeason,perCrop)'!$O:$O,3,
    'Data(perSeason,perCrop)'!$C:$C,M$52,
    'Data(perSeason,perCrop)'!$R:$R,"IRRIGATED"),
"")</f>
        <v/>
      </c>
      <c r="N158" s="59" t="str">
        <f>IFERROR(
    AVERAGEIFS('Data(perSeason,perCrop)'!$E:$E,
    'Data(perSeason,perCrop)'!$S:$S,$A158,
    'Data(perSeason,perCrop)'!$O:$O,3,
    'Data(perSeason,perCrop)'!$C:$C,N$52,
    'Data(perSeason,perCrop)'!$R:$R,"IRRIGATED"),
"")</f>
        <v/>
      </c>
      <c r="O158" s="59">
        <f>IFERROR(
    AVERAGEIFS('Data(perSeason,perCrop)'!$E:$E,
    'Data(perSeason,perCrop)'!$S:$S,$A158,
    'Data(perSeason,perCrop)'!$O:$O,3,
    'Data(perSeason,perCrop)'!$C:$C,O$52,
    'Data(perSeason,perCrop)'!$R:$R,"IRRIGATED"),
"")</f>
        <v>474</v>
      </c>
      <c r="P158" s="59">
        <f>IFERROR(
    AVERAGEIFS('Data(perSeason,perCrop)'!$E:$E,
    'Data(perSeason,perCrop)'!$S:$S,$A158,
    'Data(perSeason,perCrop)'!$O:$O,3,
    'Data(perSeason,perCrop)'!$C:$C,P$52,
    'Data(perSeason,perCrop)'!$R:$R,"IRRIGATED"),
"")</f>
        <v>267</v>
      </c>
      <c r="Q158" s="59" t="str">
        <f>IFERROR(
    AVERAGEIFS('Data(perSeason,perCrop)'!$E:$E,
    'Data(perSeason,perCrop)'!$S:$S,$A158,
    'Data(perSeason,perCrop)'!$O:$O,3,
    'Data(perSeason,perCrop)'!$C:$C,Q$52,
    'Data(perSeason,perCrop)'!$R:$R,"IRRIGATED"),
"")</f>
        <v/>
      </c>
      <c r="R158" s="59">
        <f>IFERROR(
    AVERAGEIFS('Data(perSeason,perCrop)'!$E:$E,
    'Data(perSeason,perCrop)'!$S:$S,$A158,
    'Data(perSeason,perCrop)'!$O:$O,3,
    'Data(perSeason,perCrop)'!$C:$C,R$52,
    'Data(perSeason,perCrop)'!$R:$R,"IRRIGATED"),
"")</f>
        <v>318</v>
      </c>
      <c r="S158" s="59" t="str">
        <f>IFERROR(
    AVERAGEIFS('Data(perSeason,perCrop)'!$E:$E,
    'Data(perSeason,perCrop)'!$S:$S,$A158,
    'Data(perSeason,perCrop)'!$O:$O,3,
    'Data(perSeason,perCrop)'!$C:$C,S$52,
    'Data(perSeason,perCrop)'!$R:$R,"IRRIGATED"),
"")</f>
        <v/>
      </c>
      <c r="T158" s="59" t="str">
        <f>IFERROR(
    AVERAGEIFS('Data(perSeason,perCrop)'!$E:$E,
    'Data(perSeason,perCrop)'!$S:$S,$A158,
    'Data(perSeason,perCrop)'!$O:$O,3,
    'Data(perSeason,perCrop)'!$C:$C,T$52,
    'Data(perSeason,perCrop)'!$R:$R,"IRRIGATED"),
"")</f>
        <v/>
      </c>
      <c r="U158" s="59">
        <f>IFERROR(
    AVERAGEIFS('Data(perSeason,perCrop)'!$E:$E,
    'Data(perSeason,perCrop)'!$S:$S,$A158,
    'Data(perSeason,perCrop)'!$O:$O,3,
    'Data(perSeason,perCrop)'!$C:$C,U$52,
    'Data(perSeason,perCrop)'!$R:$R,"IRRIGATED"),
"")</f>
        <v>443</v>
      </c>
      <c r="V158" s="59" t="str">
        <f>IFERROR(
    AVERAGEIFS('Data(perSeason,perCrop)'!$E:$E,
    'Data(perSeason,perCrop)'!$S:$S,$A158,
    'Data(perSeason,perCrop)'!$O:$O,3,
    'Data(perSeason,perCrop)'!$C:$C,V$52,
    'Data(perSeason,perCrop)'!$R:$R,"IRRIGATED"),
"")</f>
        <v/>
      </c>
      <c r="W158" s="59" t="str">
        <f>IFERROR(
    AVERAGEIFS('Data(perSeason,perCrop)'!$E:$E,
    'Data(perSeason,perCrop)'!$S:$S,$A158,
    'Data(perSeason,perCrop)'!$O:$O,3,
    'Data(perSeason,perCrop)'!$C:$C,W$52,
    'Data(perSeason,perCrop)'!$R:$R,"IRRIGATED"),
"")</f>
        <v/>
      </c>
      <c r="X158" s="59" t="str">
        <f>IFERROR(
    AVERAGEIFS('Data(perSeason,perCrop)'!$E:$E,
    'Data(perSeason,perCrop)'!$S:$S,$A158,
    'Data(perSeason,perCrop)'!$O:$O,3,
    'Data(perSeason,perCrop)'!$C:$C,X$52,
    'Data(perSeason,perCrop)'!$R:$R,"IRRIGATED"),
"")</f>
        <v/>
      </c>
      <c r="Y158" s="59" t="str">
        <f>IFERROR(
    AVERAGEIFS('Data(perSeason,perCrop)'!$E:$E,
    'Data(perSeason,perCrop)'!$S:$S,$A158,
    'Data(perSeason,perCrop)'!$O:$O,3,
    'Data(perSeason,perCrop)'!$C:$C,Y$52,
    'Data(perSeason,perCrop)'!$R:$R,"IRRIGATED"),
"")</f>
        <v/>
      </c>
      <c r="Z158" s="59" t="str">
        <f>IFERROR(
    AVERAGEIFS('Data(perSeason,perCrop)'!$E:$E,
    'Data(perSeason,perCrop)'!$S:$S,$A158,
    'Data(perSeason,perCrop)'!$O:$O,3,
    'Data(perSeason,perCrop)'!$C:$C,Z$52,
    'Data(perSeason,perCrop)'!$R:$R,"IRRIGATED"),
"")</f>
        <v/>
      </c>
      <c r="AA158" s="59" t="str">
        <f>IFERROR(
    AVERAGEIFS('Data(perSeason,perCrop)'!$E:$E,
    'Data(perSeason,perCrop)'!$S:$S,$A158,
    'Data(perSeason,perCrop)'!$O:$O,3,
    'Data(perSeason,perCrop)'!$C:$C,AA$52,
    'Data(perSeason,perCrop)'!$R:$R,"IRRIGATED"),
"")</f>
        <v/>
      </c>
      <c r="AB158" s="59" t="str">
        <f>IFERROR(
    AVERAGEIFS('Data(perSeason,perCrop)'!$E:$E,
    'Data(perSeason,perCrop)'!$S:$S,$A158,
    'Data(perSeason,perCrop)'!$O:$O,3,
    'Data(perSeason,perCrop)'!$C:$C,AB$52,
    'Data(perSeason,perCrop)'!$R:$R,"IRRIGATED"),
"")</f>
        <v/>
      </c>
      <c r="AC158" s="59" t="str">
        <f>IFERROR(
    AVERAGEIFS('Data(perSeason,perCrop)'!$E:$E,
    'Data(perSeason,perCrop)'!$S:$S,$A158,
    'Data(perSeason,perCrop)'!$O:$O,3,
    'Data(perSeason,perCrop)'!$C:$C,AC$52,
    'Data(perSeason,perCrop)'!$R:$R,"IRRIGATED"),
"")</f>
        <v/>
      </c>
      <c r="AD158" s="59" t="str">
        <f>IFERROR(
    AVERAGEIFS('Data(perSeason,perCrop)'!$E:$E,
    'Data(perSeason,perCrop)'!$S:$S,$A158,
    'Data(perSeason,perCrop)'!$O:$O,3,
    'Data(perSeason,perCrop)'!$C:$C,AD$52,
    'Data(perSeason,perCrop)'!$R:$R,"IRRIGATED"),
"")</f>
        <v/>
      </c>
      <c r="AE158" s="59" t="str">
        <f>IFERROR(
    AVERAGEIFS('Data(perSeason,perCrop)'!$E:$E,
    'Data(perSeason,perCrop)'!$S:$S,$A158,
    'Data(perSeason,perCrop)'!$O:$O,3,
    'Data(perSeason,perCrop)'!$C:$C,AE$52,
    'Data(perSeason,perCrop)'!$R:$R,"IRRIGATED"),
"")</f>
        <v/>
      </c>
      <c r="AF158" s="59" t="str">
        <f>IFERROR(
    AVERAGEIFS('Data(perSeason,perCrop)'!$E:$E,
    'Data(perSeason,perCrop)'!$S:$S,$A158,
    'Data(perSeason,perCrop)'!$O:$O,3,
    'Data(perSeason,perCrop)'!$C:$C,AF$52,
    'Data(perSeason,perCrop)'!$R:$R,"IRRIGATED"),
"")</f>
        <v/>
      </c>
    </row>
    <row r="159" spans="1:32" ht="18.75" x14ac:dyDescent="0.3">
      <c r="A159" s="42">
        <v>2022</v>
      </c>
      <c r="B159" s="59" t="str">
        <f>IFERROR(
    AVERAGEIFS('Data(perSeason,perCrop)'!$E:$E,
    'Data(perSeason,perCrop)'!$S:$S,$A159,
    'Data(perSeason,perCrop)'!$O:$O,3,
    'Data(perSeason,perCrop)'!$C:$C,B$52,
    'Data(perSeason,perCrop)'!$R:$R,"IRRIGATED"),
"")</f>
        <v/>
      </c>
      <c r="C159" s="59" t="str">
        <f>IFERROR(
    AVERAGEIFS('Data(perSeason,perCrop)'!$E:$E,
    'Data(perSeason,perCrop)'!$S:$S,$A159,
    'Data(perSeason,perCrop)'!$O:$O,3,
    'Data(perSeason,perCrop)'!$C:$C,C$52,
    'Data(perSeason,perCrop)'!$R:$R,"IRRIGATED"),
"")</f>
        <v/>
      </c>
      <c r="D159" s="59" t="str">
        <f>IFERROR(
    AVERAGEIFS('Data(perSeason,perCrop)'!$E:$E,
    'Data(perSeason,perCrop)'!$S:$S,$A159,
    'Data(perSeason,perCrop)'!$O:$O,3,
    'Data(perSeason,perCrop)'!$C:$C,D$52,
    'Data(perSeason,perCrop)'!$R:$R,"IRRIGATED"),
"")</f>
        <v/>
      </c>
      <c r="E159" s="59" t="str">
        <f>IFERROR(
    AVERAGEIFS('Data(perSeason,perCrop)'!$E:$E,
    'Data(perSeason,perCrop)'!$S:$S,$A159,
    'Data(perSeason,perCrop)'!$O:$O,3,
    'Data(perSeason,perCrop)'!$C:$C,E$52,
    'Data(perSeason,perCrop)'!$R:$R,"IRRIGATED"),
"")</f>
        <v/>
      </c>
      <c r="F159" s="59" t="str">
        <f>IFERROR(
    AVERAGEIFS('Data(perSeason,perCrop)'!$E:$E,
    'Data(perSeason,perCrop)'!$S:$S,$A159,
    'Data(perSeason,perCrop)'!$O:$O,3,
    'Data(perSeason,perCrop)'!$C:$C,F$52,
    'Data(perSeason,perCrop)'!$R:$R,"IRRIGATED"),
"")</f>
        <v/>
      </c>
      <c r="G159" s="59" t="str">
        <f>IFERROR(
    AVERAGEIFS('Data(perSeason,perCrop)'!$E:$E,
    'Data(perSeason,perCrop)'!$S:$S,$A159,
    'Data(perSeason,perCrop)'!$O:$O,3,
    'Data(perSeason,perCrop)'!$C:$C,G$52,
    'Data(perSeason,perCrop)'!$R:$R,"IRRIGATED"),
"")</f>
        <v/>
      </c>
      <c r="H159" s="59" t="str">
        <f>IFERROR(
    AVERAGEIFS('Data(perSeason,perCrop)'!$E:$E,
    'Data(perSeason,perCrop)'!$S:$S,$A159,
    'Data(perSeason,perCrop)'!$O:$O,3,
    'Data(perSeason,perCrop)'!$C:$C,H$52,
    'Data(perSeason,perCrop)'!$R:$R,"IRRIGATED"),
"")</f>
        <v/>
      </c>
      <c r="I159" s="59" t="str">
        <f>IFERROR(
    AVERAGEIFS('Data(perSeason,perCrop)'!$E:$E,
    'Data(perSeason,perCrop)'!$S:$S,$A159,
    'Data(perSeason,perCrop)'!$O:$O,3,
    'Data(perSeason,perCrop)'!$C:$C,I$52,
    'Data(perSeason,perCrop)'!$R:$R,"IRRIGATED"),
"")</f>
        <v/>
      </c>
      <c r="J159" s="59" t="str">
        <f>IFERROR(
    AVERAGEIFS('Data(perSeason,perCrop)'!$E:$E,
    'Data(perSeason,perCrop)'!$S:$S,$A159,
    'Data(perSeason,perCrop)'!$O:$O,3,
    'Data(perSeason,perCrop)'!$C:$C,J$52,
    'Data(perSeason,perCrop)'!$R:$R,"IRRIGATED"),
"")</f>
        <v/>
      </c>
      <c r="K159" s="59" t="str">
        <f>IFERROR(
    AVERAGEIFS('Data(perSeason,perCrop)'!$E:$E,
    'Data(perSeason,perCrop)'!$S:$S,$A159,
    'Data(perSeason,perCrop)'!$O:$O,3,
    'Data(perSeason,perCrop)'!$C:$C,K$52,
    'Data(perSeason,perCrop)'!$R:$R,"IRRIGATED"),
"")</f>
        <v/>
      </c>
      <c r="L159" s="59" t="str">
        <f>IFERROR(
    AVERAGEIFS('Data(perSeason,perCrop)'!$E:$E,
    'Data(perSeason,perCrop)'!$S:$S,$A159,
    'Data(perSeason,perCrop)'!$O:$O,3,
    'Data(perSeason,perCrop)'!$C:$C,L$52,
    'Data(perSeason,perCrop)'!$R:$R,"IRRIGATED"),
"")</f>
        <v/>
      </c>
      <c r="M159" s="59" t="str">
        <f>IFERROR(
    AVERAGEIFS('Data(perSeason,perCrop)'!$E:$E,
    'Data(perSeason,perCrop)'!$S:$S,$A159,
    'Data(perSeason,perCrop)'!$O:$O,3,
    'Data(perSeason,perCrop)'!$C:$C,M$52,
    'Data(perSeason,perCrop)'!$R:$R,"IRRIGATED"),
"")</f>
        <v/>
      </c>
      <c r="N159" s="59" t="str">
        <f>IFERROR(
    AVERAGEIFS('Data(perSeason,perCrop)'!$E:$E,
    'Data(perSeason,perCrop)'!$S:$S,$A159,
    'Data(perSeason,perCrop)'!$O:$O,3,
    'Data(perSeason,perCrop)'!$C:$C,N$52,
    'Data(perSeason,perCrop)'!$R:$R,"IRRIGATED"),
"")</f>
        <v/>
      </c>
      <c r="O159" s="59">
        <f>IFERROR(
    AVERAGEIFS('Data(perSeason,perCrop)'!$E:$E,
    'Data(perSeason,perCrop)'!$S:$S,$A159,
    'Data(perSeason,perCrop)'!$O:$O,3,
    'Data(perSeason,perCrop)'!$C:$C,O$52,
    'Data(perSeason,perCrop)'!$R:$R,"IRRIGATED"),
"")</f>
        <v>450</v>
      </c>
      <c r="P159" s="59">
        <f>IFERROR(
    AVERAGEIFS('Data(perSeason,perCrop)'!$E:$E,
    'Data(perSeason,perCrop)'!$S:$S,$A159,
    'Data(perSeason,perCrop)'!$O:$O,3,
    'Data(perSeason,perCrop)'!$C:$C,P$52,
    'Data(perSeason,perCrop)'!$R:$R,"IRRIGATED"),
"")</f>
        <v>284</v>
      </c>
      <c r="Q159" s="59" t="str">
        <f>IFERROR(
    AVERAGEIFS('Data(perSeason,perCrop)'!$E:$E,
    'Data(perSeason,perCrop)'!$S:$S,$A159,
    'Data(perSeason,perCrop)'!$O:$O,3,
    'Data(perSeason,perCrop)'!$C:$C,Q$52,
    'Data(perSeason,perCrop)'!$R:$R,"IRRIGATED"),
"")</f>
        <v/>
      </c>
      <c r="R159" s="59">
        <f>IFERROR(
    AVERAGEIFS('Data(perSeason,perCrop)'!$E:$E,
    'Data(perSeason,perCrop)'!$S:$S,$A159,
    'Data(perSeason,perCrop)'!$O:$O,3,
    'Data(perSeason,perCrop)'!$C:$C,R$52,
    'Data(perSeason,perCrop)'!$R:$R,"IRRIGATED"),
"")</f>
        <v>318</v>
      </c>
      <c r="S159" s="59" t="str">
        <f>IFERROR(
    AVERAGEIFS('Data(perSeason,perCrop)'!$E:$E,
    'Data(perSeason,perCrop)'!$S:$S,$A159,
    'Data(perSeason,perCrop)'!$O:$O,3,
    'Data(perSeason,perCrop)'!$C:$C,S$52,
    'Data(perSeason,perCrop)'!$R:$R,"IRRIGATED"),
"")</f>
        <v/>
      </c>
      <c r="T159" s="59" t="str">
        <f>IFERROR(
    AVERAGEIFS('Data(perSeason,perCrop)'!$E:$E,
    'Data(perSeason,perCrop)'!$S:$S,$A159,
    'Data(perSeason,perCrop)'!$O:$O,3,
    'Data(perSeason,perCrop)'!$C:$C,T$52,
    'Data(perSeason,perCrop)'!$R:$R,"IRRIGATED"),
"")</f>
        <v/>
      </c>
      <c r="U159" s="59">
        <f>IFERROR(
    AVERAGEIFS('Data(perSeason,perCrop)'!$E:$E,
    'Data(perSeason,perCrop)'!$S:$S,$A159,
    'Data(perSeason,perCrop)'!$O:$O,3,
    'Data(perSeason,perCrop)'!$C:$C,U$52,
    'Data(perSeason,perCrop)'!$R:$R,"IRRIGATED"),
"")</f>
        <v>393</v>
      </c>
      <c r="V159" s="59" t="str">
        <f>IFERROR(
    AVERAGEIFS('Data(perSeason,perCrop)'!$E:$E,
    'Data(perSeason,perCrop)'!$S:$S,$A159,
    'Data(perSeason,perCrop)'!$O:$O,3,
    'Data(perSeason,perCrop)'!$C:$C,V$52,
    'Data(perSeason,perCrop)'!$R:$R,"IRRIGATED"),
"")</f>
        <v/>
      </c>
      <c r="W159" s="59" t="str">
        <f>IFERROR(
    AVERAGEIFS('Data(perSeason,perCrop)'!$E:$E,
    'Data(perSeason,perCrop)'!$S:$S,$A159,
    'Data(perSeason,perCrop)'!$O:$O,3,
    'Data(perSeason,perCrop)'!$C:$C,W$52,
    'Data(perSeason,perCrop)'!$R:$R,"IRRIGATED"),
"")</f>
        <v/>
      </c>
      <c r="X159" s="59" t="str">
        <f>IFERROR(
    AVERAGEIFS('Data(perSeason,perCrop)'!$E:$E,
    'Data(perSeason,perCrop)'!$S:$S,$A159,
    'Data(perSeason,perCrop)'!$O:$O,3,
    'Data(perSeason,perCrop)'!$C:$C,X$52,
    'Data(perSeason,perCrop)'!$R:$R,"IRRIGATED"),
"")</f>
        <v/>
      </c>
      <c r="Y159" s="59" t="str">
        <f>IFERROR(
    AVERAGEIFS('Data(perSeason,perCrop)'!$E:$E,
    'Data(perSeason,perCrop)'!$S:$S,$A159,
    'Data(perSeason,perCrop)'!$O:$O,3,
    'Data(perSeason,perCrop)'!$C:$C,Y$52,
    'Data(perSeason,perCrop)'!$R:$R,"IRRIGATED"),
"")</f>
        <v/>
      </c>
      <c r="Z159" s="59" t="str">
        <f>IFERROR(
    AVERAGEIFS('Data(perSeason,perCrop)'!$E:$E,
    'Data(perSeason,perCrop)'!$S:$S,$A159,
    'Data(perSeason,perCrop)'!$O:$O,3,
    'Data(perSeason,perCrop)'!$C:$C,Z$52,
    'Data(perSeason,perCrop)'!$R:$R,"IRRIGATED"),
"")</f>
        <v/>
      </c>
      <c r="AA159" s="59" t="str">
        <f>IFERROR(
    AVERAGEIFS('Data(perSeason,perCrop)'!$E:$E,
    'Data(perSeason,perCrop)'!$S:$S,$A159,
    'Data(perSeason,perCrop)'!$O:$O,3,
    'Data(perSeason,perCrop)'!$C:$C,AA$52,
    'Data(perSeason,perCrop)'!$R:$R,"IRRIGATED"),
"")</f>
        <v/>
      </c>
      <c r="AB159" s="59" t="str">
        <f>IFERROR(
    AVERAGEIFS('Data(perSeason,perCrop)'!$E:$E,
    'Data(perSeason,perCrop)'!$S:$S,$A159,
    'Data(perSeason,perCrop)'!$O:$O,3,
    'Data(perSeason,perCrop)'!$C:$C,AB$52,
    'Data(perSeason,perCrop)'!$R:$R,"IRRIGATED"),
"")</f>
        <v/>
      </c>
      <c r="AC159" s="59" t="str">
        <f>IFERROR(
    AVERAGEIFS('Data(perSeason,perCrop)'!$E:$E,
    'Data(perSeason,perCrop)'!$S:$S,$A159,
    'Data(perSeason,perCrop)'!$O:$O,3,
    'Data(perSeason,perCrop)'!$C:$C,AC$52,
    'Data(perSeason,perCrop)'!$R:$R,"IRRIGATED"),
"")</f>
        <v/>
      </c>
      <c r="AD159" s="59" t="str">
        <f>IFERROR(
    AVERAGEIFS('Data(perSeason,perCrop)'!$E:$E,
    'Data(perSeason,perCrop)'!$S:$S,$A159,
    'Data(perSeason,perCrop)'!$O:$O,3,
    'Data(perSeason,perCrop)'!$C:$C,AD$52,
    'Data(perSeason,perCrop)'!$R:$R,"IRRIGATED"),
"")</f>
        <v/>
      </c>
      <c r="AE159" s="59" t="str">
        <f>IFERROR(
    AVERAGEIFS('Data(perSeason,perCrop)'!$E:$E,
    'Data(perSeason,perCrop)'!$S:$S,$A159,
    'Data(perSeason,perCrop)'!$O:$O,3,
    'Data(perSeason,perCrop)'!$C:$C,AE$52,
    'Data(perSeason,perCrop)'!$R:$R,"IRRIGATED"),
"")</f>
        <v/>
      </c>
      <c r="AF159" s="59" t="str">
        <f>IFERROR(
    AVERAGEIFS('Data(perSeason,perCrop)'!$E:$E,
    'Data(perSeason,perCrop)'!$S:$S,$A159,
    'Data(perSeason,perCrop)'!$O:$O,3,
    'Data(perSeason,perCrop)'!$C:$C,AF$52,
    'Data(perSeason,perCrop)'!$R:$R,"IRRIGATED"),
"")</f>
        <v/>
      </c>
    </row>
    <row r="160" spans="1:32" ht="18.75" x14ac:dyDescent="0.3">
      <c r="A160" s="47" t="s">
        <v>184</v>
      </c>
      <c r="B160" s="48" t="str">
        <f>IFERROR(AVERAGE(B155:B159),"")</f>
        <v/>
      </c>
      <c r="C160" s="48" t="str">
        <f t="shared" ref="C160:AF160" si="57">IFERROR(AVERAGE(C155:C159),"")</f>
        <v/>
      </c>
      <c r="D160" s="48" t="str">
        <f t="shared" si="57"/>
        <v/>
      </c>
      <c r="E160" s="48" t="str">
        <f t="shared" si="57"/>
        <v/>
      </c>
      <c r="F160" s="48" t="str">
        <f t="shared" si="57"/>
        <v/>
      </c>
      <c r="G160" s="48" t="str">
        <f t="shared" si="57"/>
        <v/>
      </c>
      <c r="H160" s="48" t="str">
        <f t="shared" si="57"/>
        <v/>
      </c>
      <c r="I160" s="48" t="str">
        <f t="shared" si="57"/>
        <v/>
      </c>
      <c r="J160" s="48" t="str">
        <f t="shared" si="57"/>
        <v/>
      </c>
      <c r="K160" s="48" t="str">
        <f t="shared" si="57"/>
        <v/>
      </c>
      <c r="L160" s="48" t="str">
        <f t="shared" si="57"/>
        <v/>
      </c>
      <c r="M160" s="48" t="str">
        <f t="shared" si="57"/>
        <v/>
      </c>
      <c r="N160" s="48" t="str">
        <f t="shared" si="57"/>
        <v/>
      </c>
      <c r="O160" s="48">
        <f t="shared" si="57"/>
        <v>465.4</v>
      </c>
      <c r="P160" s="48">
        <f t="shared" si="57"/>
        <v>297</v>
      </c>
      <c r="Q160" s="48" t="str">
        <f t="shared" si="57"/>
        <v/>
      </c>
      <c r="R160" s="48">
        <f t="shared" si="57"/>
        <v>327.60000000000002</v>
      </c>
      <c r="S160" s="48" t="str">
        <f t="shared" si="57"/>
        <v/>
      </c>
      <c r="T160" s="48" t="str">
        <f t="shared" si="57"/>
        <v/>
      </c>
      <c r="U160" s="48">
        <f t="shared" si="57"/>
        <v>416.6</v>
      </c>
      <c r="V160" s="48" t="str">
        <f t="shared" si="57"/>
        <v/>
      </c>
      <c r="W160" s="48" t="str">
        <f t="shared" si="57"/>
        <v/>
      </c>
      <c r="X160" s="48" t="str">
        <f t="shared" si="57"/>
        <v/>
      </c>
      <c r="Y160" s="48" t="str">
        <f t="shared" si="57"/>
        <v/>
      </c>
      <c r="Z160" s="48" t="str">
        <f t="shared" si="57"/>
        <v/>
      </c>
      <c r="AA160" s="48" t="str">
        <f t="shared" si="57"/>
        <v/>
      </c>
      <c r="AB160" s="48" t="str">
        <f t="shared" si="57"/>
        <v/>
      </c>
      <c r="AC160" s="48" t="str">
        <f t="shared" si="57"/>
        <v/>
      </c>
      <c r="AD160" s="48" t="str">
        <f t="shared" si="57"/>
        <v/>
      </c>
      <c r="AE160" s="48" t="str">
        <f t="shared" si="57"/>
        <v/>
      </c>
      <c r="AF160" s="48" t="str">
        <f t="shared" si="57"/>
        <v/>
      </c>
    </row>
    <row r="162" spans="1:32" ht="18.75" x14ac:dyDescent="0.3">
      <c r="A162" s="42" t="s">
        <v>34</v>
      </c>
      <c r="B162" s="58" t="s">
        <v>47</v>
      </c>
      <c r="C162" s="58" t="s">
        <v>57</v>
      </c>
      <c r="D162" s="58" t="s">
        <v>110</v>
      </c>
      <c r="E162" s="58" t="s">
        <v>50</v>
      </c>
      <c r="F162" s="58" t="s">
        <v>58</v>
      </c>
      <c r="G162" s="58" t="s">
        <v>51</v>
      </c>
      <c r="H162" s="58" t="s">
        <v>97</v>
      </c>
      <c r="I162" s="58" t="s">
        <v>52</v>
      </c>
      <c r="J162" s="58" t="s">
        <v>59</v>
      </c>
      <c r="K162" s="58" t="s">
        <v>111</v>
      </c>
      <c r="L162" s="58" t="s">
        <v>54</v>
      </c>
      <c r="M162" s="58" t="s">
        <v>112</v>
      </c>
      <c r="N162" s="58" t="s">
        <v>48</v>
      </c>
      <c r="O162" s="58" t="s">
        <v>53</v>
      </c>
      <c r="P162" s="58" t="s">
        <v>49</v>
      </c>
      <c r="Q162" s="58" t="s">
        <v>56</v>
      </c>
      <c r="R162" s="58" t="s">
        <v>102</v>
      </c>
      <c r="S162" s="58" t="s">
        <v>103</v>
      </c>
      <c r="T162" s="58" t="s">
        <v>101</v>
      </c>
      <c r="U162" s="58" t="s">
        <v>106</v>
      </c>
      <c r="V162" s="58" t="s">
        <v>113</v>
      </c>
      <c r="W162" s="58" t="s">
        <v>114</v>
      </c>
      <c r="X162" s="58" t="s">
        <v>115</v>
      </c>
      <c r="Y162" s="58" t="s">
        <v>116</v>
      </c>
      <c r="Z162" s="58" t="s">
        <v>107</v>
      </c>
      <c r="AA162" s="58" t="s">
        <v>104</v>
      </c>
      <c r="AB162" s="58" t="s">
        <v>117</v>
      </c>
      <c r="AC162" s="58" t="s">
        <v>118</v>
      </c>
      <c r="AD162" s="58" t="s">
        <v>119</v>
      </c>
      <c r="AE162" s="58" t="s">
        <v>108</v>
      </c>
      <c r="AF162" s="58" t="s">
        <v>105</v>
      </c>
    </row>
    <row r="163" spans="1:32" ht="18.75" x14ac:dyDescent="0.3">
      <c r="A163" s="42" t="s">
        <v>183</v>
      </c>
      <c r="B163" s="42">
        <v>1</v>
      </c>
      <c r="C163" s="42">
        <v>2</v>
      </c>
      <c r="D163" s="42">
        <v>3</v>
      </c>
      <c r="E163" s="42">
        <v>4</v>
      </c>
      <c r="F163" s="42">
        <v>5</v>
      </c>
      <c r="G163" s="42">
        <v>6</v>
      </c>
      <c r="H163" s="42">
        <v>7</v>
      </c>
      <c r="I163" s="42">
        <v>8</v>
      </c>
      <c r="J163" s="42">
        <v>9</v>
      </c>
      <c r="K163" s="42">
        <v>10</v>
      </c>
      <c r="L163" s="42">
        <v>11</v>
      </c>
      <c r="M163" s="42">
        <v>12</v>
      </c>
      <c r="N163" s="42">
        <v>13</v>
      </c>
      <c r="O163" s="42">
        <v>14</v>
      </c>
      <c r="P163" s="42">
        <v>15</v>
      </c>
      <c r="Q163" s="42">
        <v>16</v>
      </c>
      <c r="R163" s="42">
        <v>17</v>
      </c>
      <c r="S163" s="42">
        <v>18</v>
      </c>
      <c r="T163" s="42">
        <v>19</v>
      </c>
      <c r="U163" s="42">
        <v>20</v>
      </c>
      <c r="V163" s="42">
        <v>21</v>
      </c>
      <c r="W163" s="42">
        <v>22</v>
      </c>
      <c r="X163" s="42">
        <v>23</v>
      </c>
      <c r="Y163" s="42">
        <v>24</v>
      </c>
      <c r="Z163" s="42">
        <v>25</v>
      </c>
      <c r="AA163" s="42">
        <v>40</v>
      </c>
      <c r="AB163" s="42">
        <v>41</v>
      </c>
      <c r="AC163" s="42">
        <v>42</v>
      </c>
      <c r="AD163" s="42">
        <v>43</v>
      </c>
      <c r="AE163" s="42">
        <v>44</v>
      </c>
      <c r="AF163" s="42">
        <v>45</v>
      </c>
    </row>
    <row r="164" spans="1:32" ht="18.75" x14ac:dyDescent="0.3">
      <c r="A164" s="42">
        <v>2018</v>
      </c>
      <c r="B164" s="59" t="str">
        <f>IFERROR(AVERAGEIFS('Data(perSeason,perCrop)'!$P:$P,'Data(perSeason,perCrop)'!$S:$S,$A164,'Data(perSeason,perCrop)'!$O:$O,3,'Data(perSeason,perCrop)'!$C:$C,B$52,'Data(perSeason,perCrop)'!$R:$R,"IRRIGATED"),"")</f>
        <v/>
      </c>
      <c r="C164" s="59" t="str">
        <f>IFERROR(AVERAGEIFS('Data(perSeason,perCrop)'!$P:$P,'Data(perSeason,perCrop)'!$S:$S,$A164,'Data(perSeason,perCrop)'!$O:$O,3,'Data(perSeason,perCrop)'!$C:$C,C$52,'Data(perSeason,perCrop)'!$R:$R,"IRRIGATED"),"")</f>
        <v/>
      </c>
      <c r="D164" s="59" t="str">
        <f>IFERROR(AVERAGEIFS('Data(perSeason,perCrop)'!$P:$P,'Data(perSeason,perCrop)'!$S:$S,$A164,'Data(perSeason,perCrop)'!$O:$O,3,'Data(perSeason,perCrop)'!$C:$C,D$52,'Data(perSeason,perCrop)'!$R:$R,"IRRIGATED"),"")</f>
        <v/>
      </c>
      <c r="E164" s="59" t="str">
        <f>IFERROR(AVERAGEIFS('Data(perSeason,perCrop)'!$P:$P,'Data(perSeason,perCrop)'!$S:$S,$A164,'Data(perSeason,perCrop)'!$O:$O,3,'Data(perSeason,perCrop)'!$C:$C,E$52,'Data(perSeason,perCrop)'!$R:$R,"IRRIGATED"),"")</f>
        <v/>
      </c>
      <c r="F164" s="59" t="str">
        <f>IFERROR(AVERAGEIFS('Data(perSeason,perCrop)'!$P:$P,'Data(perSeason,perCrop)'!$S:$S,$A164,'Data(perSeason,perCrop)'!$O:$O,3,'Data(perSeason,perCrop)'!$C:$C,F$52,'Data(perSeason,perCrop)'!$R:$R,"IRRIGATED"),"")</f>
        <v/>
      </c>
      <c r="G164" s="59" t="str">
        <f>IFERROR(AVERAGEIFS('Data(perSeason,perCrop)'!$P:$P,'Data(perSeason,perCrop)'!$S:$S,$A164,'Data(perSeason,perCrop)'!$O:$O,3,'Data(perSeason,perCrop)'!$C:$C,G$52,'Data(perSeason,perCrop)'!$R:$R,"IRRIGATED"),"")</f>
        <v/>
      </c>
      <c r="H164" s="59" t="str">
        <f>IFERROR(AVERAGEIFS('Data(perSeason,perCrop)'!$P:$P,'Data(perSeason,perCrop)'!$S:$S,$A164,'Data(perSeason,perCrop)'!$O:$O,3,'Data(perSeason,perCrop)'!$C:$C,H$52,'Data(perSeason,perCrop)'!$R:$R,"IRRIGATED"),"")</f>
        <v/>
      </c>
      <c r="I164" s="59" t="str">
        <f>IFERROR(AVERAGEIFS('Data(perSeason,perCrop)'!$P:$P,'Data(perSeason,perCrop)'!$S:$S,$A164,'Data(perSeason,perCrop)'!$O:$O,3,'Data(perSeason,perCrop)'!$C:$C,I$52,'Data(perSeason,perCrop)'!$R:$R,"IRRIGATED"),"")</f>
        <v/>
      </c>
      <c r="J164" s="59" t="str">
        <f>IFERROR(AVERAGEIFS('Data(perSeason,perCrop)'!$P:$P,'Data(perSeason,perCrop)'!$S:$S,$A164,'Data(perSeason,perCrop)'!$O:$O,3,'Data(perSeason,perCrop)'!$C:$C,J$52,'Data(perSeason,perCrop)'!$R:$R,"IRRIGATED"),"")</f>
        <v/>
      </c>
      <c r="K164" s="59" t="str">
        <f>IFERROR(AVERAGEIFS('Data(perSeason,perCrop)'!$P:$P,'Data(perSeason,perCrop)'!$S:$S,$A164,'Data(perSeason,perCrop)'!$O:$O,3,'Data(perSeason,perCrop)'!$C:$C,K$52,'Data(perSeason,perCrop)'!$R:$R,"IRRIGATED"),"")</f>
        <v/>
      </c>
      <c r="L164" s="59" t="str">
        <f>IFERROR(AVERAGEIFS('Data(perSeason,perCrop)'!$P:$P,'Data(perSeason,perCrop)'!$S:$S,$A164,'Data(perSeason,perCrop)'!$O:$O,3,'Data(perSeason,perCrop)'!$C:$C,L$52,'Data(perSeason,perCrop)'!$R:$R,"IRRIGATED"),"")</f>
        <v/>
      </c>
      <c r="M164" s="59" t="str">
        <f>IFERROR(AVERAGEIFS('Data(perSeason,perCrop)'!$P:$P,'Data(perSeason,perCrop)'!$S:$S,$A164,'Data(perSeason,perCrop)'!$O:$O,3,'Data(perSeason,perCrop)'!$C:$C,M$52,'Data(perSeason,perCrop)'!$R:$R,"IRRIGATED"),"")</f>
        <v/>
      </c>
      <c r="N164" s="59" t="str">
        <f>IFERROR(AVERAGEIFS('Data(perSeason,perCrop)'!$P:$P,'Data(perSeason,perCrop)'!$S:$S,$A164,'Data(perSeason,perCrop)'!$O:$O,3,'Data(perSeason,perCrop)'!$C:$C,N$52,'Data(perSeason,perCrop)'!$R:$R,"IRRIGATED"),"")</f>
        <v/>
      </c>
      <c r="O164" s="59">
        <f>IFERROR(AVERAGEIFS('Data(perSeason,perCrop)'!$P:$P,'Data(perSeason,perCrop)'!$S:$S,$A164,'Data(perSeason,perCrop)'!$O:$O,3,'Data(perSeason,perCrop)'!$C:$C,O$52,'Data(perSeason,perCrop)'!$R:$R,"IRRIGATED"),"")</f>
        <v>3385</v>
      </c>
      <c r="P164" s="59">
        <f>IFERROR(AVERAGEIFS('Data(perSeason,perCrop)'!$P:$P,'Data(perSeason,perCrop)'!$S:$S,$A164,'Data(perSeason,perCrop)'!$O:$O,3,'Data(perSeason,perCrop)'!$C:$C,P$52,'Data(perSeason,perCrop)'!$R:$R,"IRRIGATED"),"")</f>
        <v>2729</v>
      </c>
      <c r="Q164" s="59" t="str">
        <f>IFERROR(AVERAGEIFS('Data(perSeason,perCrop)'!$P:$P,'Data(perSeason,perCrop)'!$S:$S,$A164,'Data(perSeason,perCrop)'!$O:$O,3,'Data(perSeason,perCrop)'!$C:$C,Q$52,'Data(perSeason,perCrop)'!$R:$R,"IRRIGATED"),"")</f>
        <v/>
      </c>
      <c r="R164" s="59">
        <f>IFERROR(AVERAGEIFS('Data(perSeason,perCrop)'!$P:$P,'Data(perSeason,perCrop)'!$S:$S,$A164,'Data(perSeason,perCrop)'!$O:$O,3,'Data(perSeason,perCrop)'!$C:$C,R$52,'Data(perSeason,perCrop)'!$R:$R,"IRRIGATED"),"")</f>
        <v>2846</v>
      </c>
      <c r="S164" s="59" t="str">
        <f>IFERROR(AVERAGEIFS('Data(perSeason,perCrop)'!$P:$P,'Data(perSeason,perCrop)'!$S:$S,$A164,'Data(perSeason,perCrop)'!$O:$O,3,'Data(perSeason,perCrop)'!$C:$C,S$52,'Data(perSeason,perCrop)'!$R:$R,"IRRIGATED"),"")</f>
        <v/>
      </c>
      <c r="T164" s="59" t="str">
        <f>IFERROR(AVERAGEIFS('Data(perSeason,perCrop)'!$P:$P,'Data(perSeason,perCrop)'!$S:$S,$A164,'Data(perSeason,perCrop)'!$O:$O,3,'Data(perSeason,perCrop)'!$C:$C,T$52,'Data(perSeason,perCrop)'!$R:$R,"IRRIGATED"),"")</f>
        <v/>
      </c>
      <c r="U164" s="59">
        <f>IFERROR(AVERAGEIFS('Data(perSeason,perCrop)'!$P:$P,'Data(perSeason,perCrop)'!$S:$S,$A164,'Data(perSeason,perCrop)'!$O:$O,3,'Data(perSeason,perCrop)'!$C:$C,U$52,'Data(perSeason,perCrop)'!$R:$R,"IRRIGATED"),"")</f>
        <v>3435</v>
      </c>
      <c r="V164" s="59" t="str">
        <f>IFERROR(AVERAGEIFS('Data(perSeason,perCrop)'!$P:$P,'Data(perSeason,perCrop)'!$S:$S,$A164,'Data(perSeason,perCrop)'!$O:$O,3,'Data(perSeason,perCrop)'!$C:$C,V$52,'Data(perSeason,perCrop)'!$R:$R,"IRRIGATED"),"")</f>
        <v/>
      </c>
      <c r="W164" s="59" t="str">
        <f>IFERROR(AVERAGEIFS('Data(perSeason,perCrop)'!$P:$P,'Data(perSeason,perCrop)'!$S:$S,$A164,'Data(perSeason,perCrop)'!$O:$O,3,'Data(perSeason,perCrop)'!$C:$C,W$52,'Data(perSeason,perCrop)'!$R:$R,"IRRIGATED"),"")</f>
        <v/>
      </c>
      <c r="X164" s="59" t="str">
        <f>IFERROR(AVERAGEIFS('Data(perSeason,perCrop)'!$P:$P,'Data(perSeason,perCrop)'!$S:$S,$A164,'Data(perSeason,perCrop)'!$O:$O,3,'Data(perSeason,perCrop)'!$C:$C,X$52,'Data(perSeason,perCrop)'!$R:$R,"IRRIGATED"),"")</f>
        <v/>
      </c>
      <c r="Y164" s="59" t="str">
        <f>IFERROR(AVERAGEIFS('Data(perSeason,perCrop)'!$P:$P,'Data(perSeason,perCrop)'!$S:$S,$A164,'Data(perSeason,perCrop)'!$O:$O,3,'Data(perSeason,perCrop)'!$C:$C,Y$52,'Data(perSeason,perCrop)'!$R:$R,"IRRIGATED"),"")</f>
        <v/>
      </c>
      <c r="Z164" s="59" t="str">
        <f>IFERROR(AVERAGEIFS('Data(perSeason,perCrop)'!$P:$P,'Data(perSeason,perCrop)'!$S:$S,$A164,'Data(perSeason,perCrop)'!$O:$O,3,'Data(perSeason,perCrop)'!$C:$C,Z$52,'Data(perSeason,perCrop)'!$R:$R,"IRRIGATED"),"")</f>
        <v/>
      </c>
      <c r="AA164" s="59" t="str">
        <f>IFERROR(AVERAGEIFS('Data(perSeason,perCrop)'!$P:$P,'Data(perSeason,perCrop)'!$S:$S,$A164,'Data(perSeason,perCrop)'!$O:$O,3,'Data(perSeason,perCrop)'!$C:$C,AA$52,'Data(perSeason,perCrop)'!$R:$R,"IRRIGATED"),"")</f>
        <v/>
      </c>
      <c r="AB164" s="59" t="str">
        <f>IFERROR(AVERAGEIFS('Data(perSeason,perCrop)'!$P:$P,'Data(perSeason,perCrop)'!$S:$S,$A164,'Data(perSeason,perCrop)'!$O:$O,3,'Data(perSeason,perCrop)'!$C:$C,AB$52,'Data(perSeason,perCrop)'!$R:$R,"IRRIGATED"),"")</f>
        <v/>
      </c>
      <c r="AC164" s="59" t="str">
        <f>IFERROR(AVERAGEIFS('Data(perSeason,perCrop)'!$P:$P,'Data(perSeason,perCrop)'!$S:$S,$A164,'Data(perSeason,perCrop)'!$O:$O,3,'Data(perSeason,perCrop)'!$C:$C,AC$52,'Data(perSeason,perCrop)'!$R:$R,"IRRIGATED"),"")</f>
        <v/>
      </c>
      <c r="AD164" s="59" t="str">
        <f>IFERROR(AVERAGEIFS('Data(perSeason,perCrop)'!$P:$P,'Data(perSeason,perCrop)'!$S:$S,$A164,'Data(perSeason,perCrop)'!$O:$O,3,'Data(perSeason,perCrop)'!$C:$C,AD$52,'Data(perSeason,perCrop)'!$R:$R,"IRRIGATED"),"")</f>
        <v/>
      </c>
      <c r="AE164" s="59" t="str">
        <f>IFERROR(AVERAGEIFS('Data(perSeason,perCrop)'!$P:$P,'Data(perSeason,perCrop)'!$S:$S,$A164,'Data(perSeason,perCrop)'!$O:$O,3,'Data(perSeason,perCrop)'!$C:$C,AE$52,'Data(perSeason,perCrop)'!$R:$R,"IRRIGATED"),"")</f>
        <v/>
      </c>
      <c r="AF164" s="59" t="str">
        <f>IFERROR(AVERAGEIFS('Data(perSeason,perCrop)'!$P:$P,'Data(perSeason,perCrop)'!$S:$S,$A164,'Data(perSeason,perCrop)'!$O:$O,3,'Data(perSeason,perCrop)'!$C:$C,AF$52,'Data(perSeason,perCrop)'!$R:$R,"IRRIGATED"),"")</f>
        <v/>
      </c>
    </row>
    <row r="165" spans="1:32" ht="18.75" x14ac:dyDescent="0.3">
      <c r="A165" s="42">
        <v>2019</v>
      </c>
      <c r="B165" s="59" t="str">
        <f>IFERROR(AVERAGEIFS('Data(perSeason,perCrop)'!$P:$P,'Data(perSeason,perCrop)'!$S:$S,$A165,'Data(perSeason,perCrop)'!$O:$O,3,'Data(perSeason,perCrop)'!$C:$C,B$52,'Data(perSeason,perCrop)'!$R:$R,"IRRIGATED"),"")</f>
        <v/>
      </c>
      <c r="C165" s="59" t="str">
        <f>IFERROR(AVERAGEIFS('Data(perSeason,perCrop)'!$P:$P,'Data(perSeason,perCrop)'!$S:$S,$A165,'Data(perSeason,perCrop)'!$O:$O,3,'Data(perSeason,perCrop)'!$C:$C,C$52,'Data(perSeason,perCrop)'!$R:$R,"IRRIGATED"),"")</f>
        <v/>
      </c>
      <c r="D165" s="59" t="str">
        <f>IFERROR(AVERAGEIFS('Data(perSeason,perCrop)'!$P:$P,'Data(perSeason,perCrop)'!$S:$S,$A165,'Data(perSeason,perCrop)'!$O:$O,3,'Data(perSeason,perCrop)'!$C:$C,D$52,'Data(perSeason,perCrop)'!$R:$R,"IRRIGATED"),"")</f>
        <v/>
      </c>
      <c r="E165" s="59" t="str">
        <f>IFERROR(AVERAGEIFS('Data(perSeason,perCrop)'!$P:$P,'Data(perSeason,perCrop)'!$S:$S,$A165,'Data(perSeason,perCrop)'!$O:$O,3,'Data(perSeason,perCrop)'!$C:$C,E$52,'Data(perSeason,perCrop)'!$R:$R,"IRRIGATED"),"")</f>
        <v/>
      </c>
      <c r="F165" s="59" t="str">
        <f>IFERROR(AVERAGEIFS('Data(perSeason,perCrop)'!$P:$P,'Data(perSeason,perCrop)'!$S:$S,$A165,'Data(perSeason,perCrop)'!$O:$O,3,'Data(perSeason,perCrop)'!$C:$C,F$52,'Data(perSeason,perCrop)'!$R:$R,"IRRIGATED"),"")</f>
        <v/>
      </c>
      <c r="G165" s="59" t="str">
        <f>IFERROR(AVERAGEIFS('Data(perSeason,perCrop)'!$P:$P,'Data(perSeason,perCrop)'!$S:$S,$A165,'Data(perSeason,perCrop)'!$O:$O,3,'Data(perSeason,perCrop)'!$C:$C,G$52,'Data(perSeason,perCrop)'!$R:$R,"IRRIGATED"),"")</f>
        <v/>
      </c>
      <c r="H165" s="59" t="str">
        <f>IFERROR(AVERAGEIFS('Data(perSeason,perCrop)'!$P:$P,'Data(perSeason,perCrop)'!$S:$S,$A165,'Data(perSeason,perCrop)'!$O:$O,3,'Data(perSeason,perCrop)'!$C:$C,H$52,'Data(perSeason,perCrop)'!$R:$R,"IRRIGATED"),"")</f>
        <v/>
      </c>
      <c r="I165" s="59" t="str">
        <f>IFERROR(AVERAGEIFS('Data(perSeason,perCrop)'!$P:$P,'Data(perSeason,perCrop)'!$S:$S,$A165,'Data(perSeason,perCrop)'!$O:$O,3,'Data(perSeason,perCrop)'!$C:$C,I$52,'Data(perSeason,perCrop)'!$R:$R,"IRRIGATED"),"")</f>
        <v/>
      </c>
      <c r="J165" s="59" t="str">
        <f>IFERROR(AVERAGEIFS('Data(perSeason,perCrop)'!$P:$P,'Data(perSeason,perCrop)'!$S:$S,$A165,'Data(perSeason,perCrop)'!$O:$O,3,'Data(perSeason,perCrop)'!$C:$C,J$52,'Data(perSeason,perCrop)'!$R:$R,"IRRIGATED"),"")</f>
        <v/>
      </c>
      <c r="K165" s="59" t="str">
        <f>IFERROR(AVERAGEIFS('Data(perSeason,perCrop)'!$P:$P,'Data(perSeason,perCrop)'!$S:$S,$A165,'Data(perSeason,perCrop)'!$O:$O,3,'Data(perSeason,perCrop)'!$C:$C,K$52,'Data(perSeason,perCrop)'!$R:$R,"IRRIGATED"),"")</f>
        <v/>
      </c>
      <c r="L165" s="59" t="str">
        <f>IFERROR(AVERAGEIFS('Data(perSeason,perCrop)'!$P:$P,'Data(perSeason,perCrop)'!$S:$S,$A165,'Data(perSeason,perCrop)'!$O:$O,3,'Data(perSeason,perCrop)'!$C:$C,L$52,'Data(perSeason,perCrop)'!$R:$R,"IRRIGATED"),"")</f>
        <v/>
      </c>
      <c r="M165" s="59" t="str">
        <f>IFERROR(AVERAGEIFS('Data(perSeason,perCrop)'!$P:$P,'Data(perSeason,perCrop)'!$S:$S,$A165,'Data(perSeason,perCrop)'!$O:$O,3,'Data(perSeason,perCrop)'!$C:$C,M$52,'Data(perSeason,perCrop)'!$R:$R,"IRRIGATED"),"")</f>
        <v/>
      </c>
      <c r="N165" s="59" t="str">
        <f>IFERROR(AVERAGEIFS('Data(perSeason,perCrop)'!$P:$P,'Data(perSeason,perCrop)'!$S:$S,$A165,'Data(perSeason,perCrop)'!$O:$O,3,'Data(perSeason,perCrop)'!$C:$C,N$52,'Data(perSeason,perCrop)'!$R:$R,"IRRIGATED"),"")</f>
        <v/>
      </c>
      <c r="O165" s="59">
        <f>IFERROR(AVERAGEIFS('Data(perSeason,perCrop)'!$P:$P,'Data(perSeason,perCrop)'!$S:$S,$A165,'Data(perSeason,perCrop)'!$O:$O,3,'Data(perSeason,perCrop)'!$C:$C,O$52,'Data(perSeason,perCrop)'!$R:$R,"IRRIGATED"),"")</f>
        <v>5503</v>
      </c>
      <c r="P165" s="59">
        <f>IFERROR(AVERAGEIFS('Data(perSeason,perCrop)'!$P:$P,'Data(perSeason,perCrop)'!$S:$S,$A165,'Data(perSeason,perCrop)'!$O:$O,3,'Data(perSeason,perCrop)'!$C:$C,P$52,'Data(perSeason,perCrop)'!$R:$R,"IRRIGATED"),"")</f>
        <v>4107</v>
      </c>
      <c r="Q165" s="59" t="str">
        <f>IFERROR(AVERAGEIFS('Data(perSeason,perCrop)'!$P:$P,'Data(perSeason,perCrop)'!$S:$S,$A165,'Data(perSeason,perCrop)'!$O:$O,3,'Data(perSeason,perCrop)'!$C:$C,Q$52,'Data(perSeason,perCrop)'!$R:$R,"IRRIGATED"),"")</f>
        <v/>
      </c>
      <c r="R165" s="59">
        <f>IFERROR(AVERAGEIFS('Data(perSeason,perCrop)'!$P:$P,'Data(perSeason,perCrop)'!$S:$S,$A165,'Data(perSeason,perCrop)'!$O:$O,3,'Data(perSeason,perCrop)'!$C:$C,R$52,'Data(perSeason,perCrop)'!$R:$R,"IRRIGATED"),"")</f>
        <v>4055</v>
      </c>
      <c r="S165" s="59" t="str">
        <f>IFERROR(AVERAGEIFS('Data(perSeason,perCrop)'!$P:$P,'Data(perSeason,perCrop)'!$S:$S,$A165,'Data(perSeason,perCrop)'!$O:$O,3,'Data(perSeason,perCrop)'!$C:$C,S$52,'Data(perSeason,perCrop)'!$R:$R,"IRRIGATED"),"")</f>
        <v/>
      </c>
      <c r="T165" s="59" t="str">
        <f>IFERROR(AVERAGEIFS('Data(perSeason,perCrop)'!$P:$P,'Data(perSeason,perCrop)'!$S:$S,$A165,'Data(perSeason,perCrop)'!$O:$O,3,'Data(perSeason,perCrop)'!$C:$C,T$52,'Data(perSeason,perCrop)'!$R:$R,"IRRIGATED"),"")</f>
        <v/>
      </c>
      <c r="U165" s="59">
        <f>IFERROR(AVERAGEIFS('Data(perSeason,perCrop)'!$P:$P,'Data(perSeason,perCrop)'!$S:$S,$A165,'Data(perSeason,perCrop)'!$O:$O,3,'Data(perSeason,perCrop)'!$C:$C,U$52,'Data(perSeason,perCrop)'!$R:$R,"IRRIGATED"),"")</f>
        <v>5210</v>
      </c>
      <c r="V165" s="59" t="str">
        <f>IFERROR(AVERAGEIFS('Data(perSeason,perCrop)'!$P:$P,'Data(perSeason,perCrop)'!$S:$S,$A165,'Data(perSeason,perCrop)'!$O:$O,3,'Data(perSeason,perCrop)'!$C:$C,V$52,'Data(perSeason,perCrop)'!$R:$R,"IRRIGATED"),"")</f>
        <v/>
      </c>
      <c r="W165" s="59" t="str">
        <f>IFERROR(AVERAGEIFS('Data(perSeason,perCrop)'!$P:$P,'Data(perSeason,perCrop)'!$S:$S,$A165,'Data(perSeason,perCrop)'!$O:$O,3,'Data(perSeason,perCrop)'!$C:$C,W$52,'Data(perSeason,perCrop)'!$R:$R,"IRRIGATED"),"")</f>
        <v/>
      </c>
      <c r="X165" s="59" t="str">
        <f>IFERROR(AVERAGEIFS('Data(perSeason,perCrop)'!$P:$P,'Data(perSeason,perCrop)'!$S:$S,$A165,'Data(perSeason,perCrop)'!$O:$O,3,'Data(perSeason,perCrop)'!$C:$C,X$52,'Data(perSeason,perCrop)'!$R:$R,"IRRIGATED"),"")</f>
        <v/>
      </c>
      <c r="Y165" s="59" t="str">
        <f>IFERROR(AVERAGEIFS('Data(perSeason,perCrop)'!$P:$P,'Data(perSeason,perCrop)'!$S:$S,$A165,'Data(perSeason,perCrop)'!$O:$O,3,'Data(perSeason,perCrop)'!$C:$C,Y$52,'Data(perSeason,perCrop)'!$R:$R,"IRRIGATED"),"")</f>
        <v/>
      </c>
      <c r="Z165" s="59" t="str">
        <f>IFERROR(AVERAGEIFS('Data(perSeason,perCrop)'!$P:$P,'Data(perSeason,perCrop)'!$S:$S,$A165,'Data(perSeason,perCrop)'!$O:$O,3,'Data(perSeason,perCrop)'!$C:$C,Z$52,'Data(perSeason,perCrop)'!$R:$R,"IRRIGATED"),"")</f>
        <v/>
      </c>
      <c r="AA165" s="59" t="str">
        <f>IFERROR(AVERAGEIFS('Data(perSeason,perCrop)'!$P:$P,'Data(perSeason,perCrop)'!$S:$S,$A165,'Data(perSeason,perCrop)'!$O:$O,3,'Data(perSeason,perCrop)'!$C:$C,AA$52,'Data(perSeason,perCrop)'!$R:$R,"IRRIGATED"),"")</f>
        <v/>
      </c>
      <c r="AB165" s="59" t="str">
        <f>IFERROR(AVERAGEIFS('Data(perSeason,perCrop)'!$P:$P,'Data(perSeason,perCrop)'!$S:$S,$A165,'Data(perSeason,perCrop)'!$O:$O,3,'Data(perSeason,perCrop)'!$C:$C,AB$52,'Data(perSeason,perCrop)'!$R:$R,"IRRIGATED"),"")</f>
        <v/>
      </c>
      <c r="AC165" s="59" t="str">
        <f>IFERROR(AVERAGEIFS('Data(perSeason,perCrop)'!$P:$P,'Data(perSeason,perCrop)'!$S:$S,$A165,'Data(perSeason,perCrop)'!$O:$O,3,'Data(perSeason,perCrop)'!$C:$C,AC$52,'Data(perSeason,perCrop)'!$R:$R,"IRRIGATED"),"")</f>
        <v/>
      </c>
      <c r="AD165" s="59" t="str">
        <f>IFERROR(AVERAGEIFS('Data(perSeason,perCrop)'!$P:$P,'Data(perSeason,perCrop)'!$S:$S,$A165,'Data(perSeason,perCrop)'!$O:$O,3,'Data(perSeason,perCrop)'!$C:$C,AD$52,'Data(perSeason,perCrop)'!$R:$R,"IRRIGATED"),"")</f>
        <v/>
      </c>
      <c r="AE165" s="59" t="str">
        <f>IFERROR(AVERAGEIFS('Data(perSeason,perCrop)'!$P:$P,'Data(perSeason,perCrop)'!$S:$S,$A165,'Data(perSeason,perCrop)'!$O:$O,3,'Data(perSeason,perCrop)'!$C:$C,AE$52,'Data(perSeason,perCrop)'!$R:$R,"IRRIGATED"),"")</f>
        <v/>
      </c>
      <c r="AF165" s="59" t="str">
        <f>IFERROR(AVERAGEIFS('Data(perSeason,perCrop)'!$P:$P,'Data(perSeason,perCrop)'!$S:$S,$A165,'Data(perSeason,perCrop)'!$O:$O,3,'Data(perSeason,perCrop)'!$C:$C,AF$52,'Data(perSeason,perCrop)'!$R:$R,"IRRIGATED"),"")</f>
        <v/>
      </c>
    </row>
    <row r="166" spans="1:32" ht="18.75" x14ac:dyDescent="0.3">
      <c r="A166" s="42">
        <v>2020</v>
      </c>
      <c r="B166" s="59" t="str">
        <f>IFERROR(AVERAGEIFS('Data(perSeason,perCrop)'!$P:$P,'Data(perSeason,perCrop)'!$S:$S,$A166,'Data(perSeason,perCrop)'!$O:$O,3,'Data(perSeason,perCrop)'!$C:$C,B$52,'Data(perSeason,perCrop)'!$R:$R,"IRRIGATED"),"")</f>
        <v/>
      </c>
      <c r="C166" s="59" t="str">
        <f>IFERROR(AVERAGEIFS('Data(perSeason,perCrop)'!$P:$P,'Data(perSeason,perCrop)'!$S:$S,$A166,'Data(perSeason,perCrop)'!$O:$O,3,'Data(perSeason,perCrop)'!$C:$C,C$52,'Data(perSeason,perCrop)'!$R:$R,"IRRIGATED"),"")</f>
        <v/>
      </c>
      <c r="D166" s="59" t="str">
        <f>IFERROR(AVERAGEIFS('Data(perSeason,perCrop)'!$P:$P,'Data(perSeason,perCrop)'!$S:$S,$A166,'Data(perSeason,perCrop)'!$O:$O,3,'Data(perSeason,perCrop)'!$C:$C,D$52,'Data(perSeason,perCrop)'!$R:$R,"IRRIGATED"),"")</f>
        <v/>
      </c>
      <c r="E166" s="59" t="str">
        <f>IFERROR(AVERAGEIFS('Data(perSeason,perCrop)'!$P:$P,'Data(perSeason,perCrop)'!$S:$S,$A166,'Data(perSeason,perCrop)'!$O:$O,3,'Data(perSeason,perCrop)'!$C:$C,E$52,'Data(perSeason,perCrop)'!$R:$R,"IRRIGATED"),"")</f>
        <v/>
      </c>
      <c r="F166" s="59" t="str">
        <f>IFERROR(AVERAGEIFS('Data(perSeason,perCrop)'!$P:$P,'Data(perSeason,perCrop)'!$S:$S,$A166,'Data(perSeason,perCrop)'!$O:$O,3,'Data(perSeason,perCrop)'!$C:$C,F$52,'Data(perSeason,perCrop)'!$R:$R,"IRRIGATED"),"")</f>
        <v/>
      </c>
      <c r="G166" s="59" t="str">
        <f>IFERROR(AVERAGEIFS('Data(perSeason,perCrop)'!$P:$P,'Data(perSeason,perCrop)'!$S:$S,$A166,'Data(perSeason,perCrop)'!$O:$O,3,'Data(perSeason,perCrop)'!$C:$C,G$52,'Data(perSeason,perCrop)'!$R:$R,"IRRIGATED"),"")</f>
        <v/>
      </c>
      <c r="H166" s="59" t="str">
        <f>IFERROR(AVERAGEIFS('Data(perSeason,perCrop)'!$P:$P,'Data(perSeason,perCrop)'!$S:$S,$A166,'Data(perSeason,perCrop)'!$O:$O,3,'Data(perSeason,perCrop)'!$C:$C,H$52,'Data(perSeason,perCrop)'!$R:$R,"IRRIGATED"),"")</f>
        <v/>
      </c>
      <c r="I166" s="59" t="str">
        <f>IFERROR(AVERAGEIFS('Data(perSeason,perCrop)'!$P:$P,'Data(perSeason,perCrop)'!$S:$S,$A166,'Data(perSeason,perCrop)'!$O:$O,3,'Data(perSeason,perCrop)'!$C:$C,I$52,'Data(perSeason,perCrop)'!$R:$R,"IRRIGATED"),"")</f>
        <v/>
      </c>
      <c r="J166" s="59" t="str">
        <f>IFERROR(AVERAGEIFS('Data(perSeason,perCrop)'!$P:$P,'Data(perSeason,perCrop)'!$S:$S,$A166,'Data(perSeason,perCrop)'!$O:$O,3,'Data(perSeason,perCrop)'!$C:$C,J$52,'Data(perSeason,perCrop)'!$R:$R,"IRRIGATED"),"")</f>
        <v/>
      </c>
      <c r="K166" s="59" t="str">
        <f>IFERROR(AVERAGEIFS('Data(perSeason,perCrop)'!$P:$P,'Data(perSeason,perCrop)'!$S:$S,$A166,'Data(perSeason,perCrop)'!$O:$O,3,'Data(perSeason,perCrop)'!$C:$C,K$52,'Data(perSeason,perCrop)'!$R:$R,"IRRIGATED"),"")</f>
        <v/>
      </c>
      <c r="L166" s="59" t="str">
        <f>IFERROR(AVERAGEIFS('Data(perSeason,perCrop)'!$P:$P,'Data(perSeason,perCrop)'!$S:$S,$A166,'Data(perSeason,perCrop)'!$O:$O,3,'Data(perSeason,perCrop)'!$C:$C,L$52,'Data(perSeason,perCrop)'!$R:$R,"IRRIGATED"),"")</f>
        <v/>
      </c>
      <c r="M166" s="59" t="str">
        <f>IFERROR(AVERAGEIFS('Data(perSeason,perCrop)'!$P:$P,'Data(perSeason,perCrop)'!$S:$S,$A166,'Data(perSeason,perCrop)'!$O:$O,3,'Data(perSeason,perCrop)'!$C:$C,M$52,'Data(perSeason,perCrop)'!$R:$R,"IRRIGATED"),"")</f>
        <v/>
      </c>
      <c r="N166" s="59" t="str">
        <f>IFERROR(AVERAGEIFS('Data(perSeason,perCrop)'!$P:$P,'Data(perSeason,perCrop)'!$S:$S,$A166,'Data(perSeason,perCrop)'!$O:$O,3,'Data(perSeason,perCrop)'!$C:$C,N$52,'Data(perSeason,perCrop)'!$R:$R,"IRRIGATED"),"")</f>
        <v/>
      </c>
      <c r="O166" s="59">
        <f>IFERROR(AVERAGEIFS('Data(perSeason,perCrop)'!$P:$P,'Data(perSeason,perCrop)'!$S:$S,$A166,'Data(perSeason,perCrop)'!$O:$O,3,'Data(perSeason,perCrop)'!$C:$C,O$52,'Data(perSeason,perCrop)'!$R:$R,"IRRIGATED"),"")</f>
        <v>3714</v>
      </c>
      <c r="P166" s="59">
        <f>IFERROR(AVERAGEIFS('Data(perSeason,perCrop)'!$P:$P,'Data(perSeason,perCrop)'!$S:$S,$A166,'Data(perSeason,perCrop)'!$O:$O,3,'Data(perSeason,perCrop)'!$C:$C,P$52,'Data(perSeason,perCrop)'!$R:$R,"IRRIGATED"),"")</f>
        <v>2581</v>
      </c>
      <c r="Q166" s="59" t="str">
        <f>IFERROR(AVERAGEIFS('Data(perSeason,perCrop)'!$P:$P,'Data(perSeason,perCrop)'!$S:$S,$A166,'Data(perSeason,perCrop)'!$O:$O,3,'Data(perSeason,perCrop)'!$C:$C,Q$52,'Data(perSeason,perCrop)'!$R:$R,"IRRIGATED"),"")</f>
        <v/>
      </c>
      <c r="R166" s="59">
        <f>IFERROR(AVERAGEIFS('Data(perSeason,perCrop)'!$P:$P,'Data(perSeason,perCrop)'!$S:$S,$A166,'Data(perSeason,perCrop)'!$O:$O,3,'Data(perSeason,perCrop)'!$C:$C,R$52,'Data(perSeason,perCrop)'!$R:$R,"IRRIGATED"),"")</f>
        <v>2354</v>
      </c>
      <c r="S166" s="59" t="str">
        <f>IFERROR(AVERAGEIFS('Data(perSeason,perCrop)'!$P:$P,'Data(perSeason,perCrop)'!$S:$S,$A166,'Data(perSeason,perCrop)'!$O:$O,3,'Data(perSeason,perCrop)'!$C:$C,S$52,'Data(perSeason,perCrop)'!$R:$R,"IRRIGATED"),"")</f>
        <v/>
      </c>
      <c r="T166" s="59" t="str">
        <f>IFERROR(AVERAGEIFS('Data(perSeason,perCrop)'!$P:$P,'Data(perSeason,perCrop)'!$S:$S,$A166,'Data(perSeason,perCrop)'!$O:$O,3,'Data(perSeason,perCrop)'!$C:$C,T$52,'Data(perSeason,perCrop)'!$R:$R,"IRRIGATED"),"")</f>
        <v/>
      </c>
      <c r="U166" s="59">
        <f>IFERROR(AVERAGEIFS('Data(perSeason,perCrop)'!$P:$P,'Data(perSeason,perCrop)'!$S:$S,$A166,'Data(perSeason,perCrop)'!$O:$O,3,'Data(perSeason,perCrop)'!$C:$C,U$52,'Data(perSeason,perCrop)'!$R:$R,"IRRIGATED"),"")</f>
        <v>3337</v>
      </c>
      <c r="V166" s="59" t="str">
        <f>IFERROR(AVERAGEIFS('Data(perSeason,perCrop)'!$P:$P,'Data(perSeason,perCrop)'!$S:$S,$A166,'Data(perSeason,perCrop)'!$O:$O,3,'Data(perSeason,perCrop)'!$C:$C,V$52,'Data(perSeason,perCrop)'!$R:$R,"IRRIGATED"),"")</f>
        <v/>
      </c>
      <c r="W166" s="59" t="str">
        <f>IFERROR(AVERAGEIFS('Data(perSeason,perCrop)'!$P:$P,'Data(perSeason,perCrop)'!$S:$S,$A166,'Data(perSeason,perCrop)'!$O:$O,3,'Data(perSeason,perCrop)'!$C:$C,W$52,'Data(perSeason,perCrop)'!$R:$R,"IRRIGATED"),"")</f>
        <v/>
      </c>
      <c r="X166" s="59" t="str">
        <f>IFERROR(AVERAGEIFS('Data(perSeason,perCrop)'!$P:$P,'Data(perSeason,perCrop)'!$S:$S,$A166,'Data(perSeason,perCrop)'!$O:$O,3,'Data(perSeason,perCrop)'!$C:$C,X$52,'Data(perSeason,perCrop)'!$R:$R,"IRRIGATED"),"")</f>
        <v/>
      </c>
      <c r="Y166" s="59" t="str">
        <f>IFERROR(AVERAGEIFS('Data(perSeason,perCrop)'!$P:$P,'Data(perSeason,perCrop)'!$S:$S,$A166,'Data(perSeason,perCrop)'!$O:$O,3,'Data(perSeason,perCrop)'!$C:$C,Y$52,'Data(perSeason,perCrop)'!$R:$R,"IRRIGATED"),"")</f>
        <v/>
      </c>
      <c r="Z166" s="59" t="str">
        <f>IFERROR(AVERAGEIFS('Data(perSeason,perCrop)'!$P:$P,'Data(perSeason,perCrop)'!$S:$S,$A166,'Data(perSeason,perCrop)'!$O:$O,3,'Data(perSeason,perCrop)'!$C:$C,Z$52,'Data(perSeason,perCrop)'!$R:$R,"IRRIGATED"),"")</f>
        <v/>
      </c>
      <c r="AA166" s="59" t="str">
        <f>IFERROR(AVERAGEIFS('Data(perSeason,perCrop)'!$P:$P,'Data(perSeason,perCrop)'!$S:$S,$A166,'Data(perSeason,perCrop)'!$O:$O,3,'Data(perSeason,perCrop)'!$C:$C,AA$52,'Data(perSeason,perCrop)'!$R:$R,"IRRIGATED"),"")</f>
        <v/>
      </c>
      <c r="AB166" s="59" t="str">
        <f>IFERROR(AVERAGEIFS('Data(perSeason,perCrop)'!$P:$P,'Data(perSeason,perCrop)'!$S:$S,$A166,'Data(perSeason,perCrop)'!$O:$O,3,'Data(perSeason,perCrop)'!$C:$C,AB$52,'Data(perSeason,perCrop)'!$R:$R,"IRRIGATED"),"")</f>
        <v/>
      </c>
      <c r="AC166" s="59" t="str">
        <f>IFERROR(AVERAGEIFS('Data(perSeason,perCrop)'!$P:$P,'Data(perSeason,perCrop)'!$S:$S,$A166,'Data(perSeason,perCrop)'!$O:$O,3,'Data(perSeason,perCrop)'!$C:$C,AC$52,'Data(perSeason,perCrop)'!$R:$R,"IRRIGATED"),"")</f>
        <v/>
      </c>
      <c r="AD166" s="59" t="str">
        <f>IFERROR(AVERAGEIFS('Data(perSeason,perCrop)'!$P:$P,'Data(perSeason,perCrop)'!$S:$S,$A166,'Data(perSeason,perCrop)'!$O:$O,3,'Data(perSeason,perCrop)'!$C:$C,AD$52,'Data(perSeason,perCrop)'!$R:$R,"IRRIGATED"),"")</f>
        <v/>
      </c>
      <c r="AE166" s="59" t="str">
        <f>IFERROR(AVERAGEIFS('Data(perSeason,perCrop)'!$P:$P,'Data(perSeason,perCrop)'!$S:$S,$A166,'Data(perSeason,perCrop)'!$O:$O,3,'Data(perSeason,perCrop)'!$C:$C,AE$52,'Data(perSeason,perCrop)'!$R:$R,"IRRIGATED"),"")</f>
        <v/>
      </c>
      <c r="AF166" s="59" t="str">
        <f>IFERROR(AVERAGEIFS('Data(perSeason,perCrop)'!$P:$P,'Data(perSeason,perCrop)'!$S:$S,$A166,'Data(perSeason,perCrop)'!$O:$O,3,'Data(perSeason,perCrop)'!$C:$C,AF$52,'Data(perSeason,perCrop)'!$R:$R,"IRRIGATED"),"")</f>
        <v/>
      </c>
    </row>
    <row r="167" spans="1:32" ht="18.75" x14ac:dyDescent="0.3">
      <c r="A167" s="42">
        <v>2021</v>
      </c>
      <c r="B167" s="59" t="str">
        <f>IFERROR(AVERAGEIFS('Data(perSeason,perCrop)'!$P:$P,'Data(perSeason,perCrop)'!$S:$S,$A167,'Data(perSeason,perCrop)'!$O:$O,3,'Data(perSeason,perCrop)'!$C:$C,B$52,'Data(perSeason,perCrop)'!$R:$R,"IRRIGATED"),"")</f>
        <v/>
      </c>
      <c r="C167" s="59" t="str">
        <f>IFERROR(AVERAGEIFS('Data(perSeason,perCrop)'!$P:$P,'Data(perSeason,perCrop)'!$S:$S,$A167,'Data(perSeason,perCrop)'!$O:$O,3,'Data(perSeason,perCrop)'!$C:$C,C$52,'Data(perSeason,perCrop)'!$R:$R,"IRRIGATED"),"")</f>
        <v/>
      </c>
      <c r="D167" s="59" t="str">
        <f>IFERROR(AVERAGEIFS('Data(perSeason,perCrop)'!$P:$P,'Data(perSeason,perCrop)'!$S:$S,$A167,'Data(perSeason,perCrop)'!$O:$O,3,'Data(perSeason,perCrop)'!$C:$C,D$52,'Data(perSeason,perCrop)'!$R:$R,"IRRIGATED"),"")</f>
        <v/>
      </c>
      <c r="E167" s="59" t="str">
        <f>IFERROR(AVERAGEIFS('Data(perSeason,perCrop)'!$P:$P,'Data(perSeason,perCrop)'!$S:$S,$A167,'Data(perSeason,perCrop)'!$O:$O,3,'Data(perSeason,perCrop)'!$C:$C,E$52,'Data(perSeason,perCrop)'!$R:$R,"IRRIGATED"),"")</f>
        <v/>
      </c>
      <c r="F167" s="59" t="str">
        <f>IFERROR(AVERAGEIFS('Data(perSeason,perCrop)'!$P:$P,'Data(perSeason,perCrop)'!$S:$S,$A167,'Data(perSeason,perCrop)'!$O:$O,3,'Data(perSeason,perCrop)'!$C:$C,F$52,'Data(perSeason,perCrop)'!$R:$R,"IRRIGATED"),"")</f>
        <v/>
      </c>
      <c r="G167" s="59" t="str">
        <f>IFERROR(AVERAGEIFS('Data(perSeason,perCrop)'!$P:$P,'Data(perSeason,perCrop)'!$S:$S,$A167,'Data(perSeason,perCrop)'!$O:$O,3,'Data(perSeason,perCrop)'!$C:$C,G$52,'Data(perSeason,perCrop)'!$R:$R,"IRRIGATED"),"")</f>
        <v/>
      </c>
      <c r="H167" s="59" t="str">
        <f>IFERROR(AVERAGEIFS('Data(perSeason,perCrop)'!$P:$P,'Data(perSeason,perCrop)'!$S:$S,$A167,'Data(perSeason,perCrop)'!$O:$O,3,'Data(perSeason,perCrop)'!$C:$C,H$52,'Data(perSeason,perCrop)'!$R:$R,"IRRIGATED"),"")</f>
        <v/>
      </c>
      <c r="I167" s="59" t="str">
        <f>IFERROR(AVERAGEIFS('Data(perSeason,perCrop)'!$P:$P,'Data(perSeason,perCrop)'!$S:$S,$A167,'Data(perSeason,perCrop)'!$O:$O,3,'Data(perSeason,perCrop)'!$C:$C,I$52,'Data(perSeason,perCrop)'!$R:$R,"IRRIGATED"),"")</f>
        <v/>
      </c>
      <c r="J167" s="59" t="str">
        <f>IFERROR(AVERAGEIFS('Data(perSeason,perCrop)'!$P:$P,'Data(perSeason,perCrop)'!$S:$S,$A167,'Data(perSeason,perCrop)'!$O:$O,3,'Data(perSeason,perCrop)'!$C:$C,J$52,'Data(perSeason,perCrop)'!$R:$R,"IRRIGATED"),"")</f>
        <v/>
      </c>
      <c r="K167" s="59" t="str">
        <f>IFERROR(AVERAGEIFS('Data(perSeason,perCrop)'!$P:$P,'Data(perSeason,perCrop)'!$S:$S,$A167,'Data(perSeason,perCrop)'!$O:$O,3,'Data(perSeason,perCrop)'!$C:$C,K$52,'Data(perSeason,perCrop)'!$R:$R,"IRRIGATED"),"")</f>
        <v/>
      </c>
      <c r="L167" s="59" t="str">
        <f>IFERROR(AVERAGEIFS('Data(perSeason,perCrop)'!$P:$P,'Data(perSeason,perCrop)'!$S:$S,$A167,'Data(perSeason,perCrop)'!$O:$O,3,'Data(perSeason,perCrop)'!$C:$C,L$52,'Data(perSeason,perCrop)'!$R:$R,"IRRIGATED"),"")</f>
        <v/>
      </c>
      <c r="M167" s="59" t="str">
        <f>IFERROR(AVERAGEIFS('Data(perSeason,perCrop)'!$P:$P,'Data(perSeason,perCrop)'!$S:$S,$A167,'Data(perSeason,perCrop)'!$O:$O,3,'Data(perSeason,perCrop)'!$C:$C,M$52,'Data(perSeason,perCrop)'!$R:$R,"IRRIGATED"),"")</f>
        <v/>
      </c>
      <c r="N167" s="59" t="str">
        <f>IFERROR(AVERAGEIFS('Data(perSeason,perCrop)'!$P:$P,'Data(perSeason,perCrop)'!$S:$S,$A167,'Data(perSeason,perCrop)'!$O:$O,3,'Data(perSeason,perCrop)'!$C:$C,N$52,'Data(perSeason,perCrop)'!$R:$R,"IRRIGATED"),"")</f>
        <v/>
      </c>
      <c r="O167" s="59">
        <f>IFERROR(AVERAGEIFS('Data(perSeason,perCrop)'!$P:$P,'Data(perSeason,perCrop)'!$S:$S,$A167,'Data(perSeason,perCrop)'!$O:$O,3,'Data(perSeason,perCrop)'!$C:$C,O$52,'Data(perSeason,perCrop)'!$R:$R,"IRRIGATED"),"")</f>
        <v>2889</v>
      </c>
      <c r="P167" s="59">
        <f>IFERROR(AVERAGEIFS('Data(perSeason,perCrop)'!$P:$P,'Data(perSeason,perCrop)'!$S:$S,$A167,'Data(perSeason,perCrop)'!$O:$O,3,'Data(perSeason,perCrop)'!$C:$C,P$52,'Data(perSeason,perCrop)'!$R:$R,"IRRIGATED"),"")</f>
        <v>2949</v>
      </c>
      <c r="Q167" s="59" t="str">
        <f>IFERROR(AVERAGEIFS('Data(perSeason,perCrop)'!$P:$P,'Data(perSeason,perCrop)'!$S:$S,$A167,'Data(perSeason,perCrop)'!$O:$O,3,'Data(perSeason,perCrop)'!$C:$C,Q$52,'Data(perSeason,perCrop)'!$R:$R,"IRRIGATED"),"")</f>
        <v/>
      </c>
      <c r="R167" s="59">
        <f>IFERROR(AVERAGEIFS('Data(perSeason,perCrop)'!$P:$P,'Data(perSeason,perCrop)'!$S:$S,$A167,'Data(perSeason,perCrop)'!$O:$O,3,'Data(perSeason,perCrop)'!$C:$C,R$52,'Data(perSeason,perCrop)'!$R:$R,"IRRIGATED"),"")</f>
        <v>2778</v>
      </c>
      <c r="S167" s="59" t="str">
        <f>IFERROR(AVERAGEIFS('Data(perSeason,perCrop)'!$P:$P,'Data(perSeason,perCrop)'!$S:$S,$A167,'Data(perSeason,perCrop)'!$O:$O,3,'Data(perSeason,perCrop)'!$C:$C,S$52,'Data(perSeason,perCrop)'!$R:$R,"IRRIGATED"),"")</f>
        <v/>
      </c>
      <c r="T167" s="59" t="str">
        <f>IFERROR(AVERAGEIFS('Data(perSeason,perCrop)'!$P:$P,'Data(perSeason,perCrop)'!$S:$S,$A167,'Data(perSeason,perCrop)'!$O:$O,3,'Data(perSeason,perCrop)'!$C:$C,T$52,'Data(perSeason,perCrop)'!$R:$R,"IRRIGATED"),"")</f>
        <v/>
      </c>
      <c r="U167" s="59">
        <f>IFERROR(AVERAGEIFS('Data(perSeason,perCrop)'!$P:$P,'Data(perSeason,perCrop)'!$S:$S,$A167,'Data(perSeason,perCrop)'!$O:$O,3,'Data(perSeason,perCrop)'!$C:$C,U$52,'Data(perSeason,perCrop)'!$R:$R,"IRRIGATED"),"")</f>
        <v>2884</v>
      </c>
      <c r="V167" s="59" t="str">
        <f>IFERROR(AVERAGEIFS('Data(perSeason,perCrop)'!$P:$P,'Data(perSeason,perCrop)'!$S:$S,$A167,'Data(perSeason,perCrop)'!$O:$O,3,'Data(perSeason,perCrop)'!$C:$C,V$52,'Data(perSeason,perCrop)'!$R:$R,"IRRIGATED"),"")</f>
        <v/>
      </c>
      <c r="W167" s="59" t="str">
        <f>IFERROR(AVERAGEIFS('Data(perSeason,perCrop)'!$P:$P,'Data(perSeason,perCrop)'!$S:$S,$A167,'Data(perSeason,perCrop)'!$O:$O,3,'Data(perSeason,perCrop)'!$C:$C,W$52,'Data(perSeason,perCrop)'!$R:$R,"IRRIGATED"),"")</f>
        <v/>
      </c>
      <c r="X167" s="59" t="str">
        <f>IFERROR(AVERAGEIFS('Data(perSeason,perCrop)'!$P:$P,'Data(perSeason,perCrop)'!$S:$S,$A167,'Data(perSeason,perCrop)'!$O:$O,3,'Data(perSeason,perCrop)'!$C:$C,X$52,'Data(perSeason,perCrop)'!$R:$R,"IRRIGATED"),"")</f>
        <v/>
      </c>
      <c r="Y167" s="59" t="str">
        <f>IFERROR(AVERAGEIFS('Data(perSeason,perCrop)'!$P:$P,'Data(perSeason,perCrop)'!$S:$S,$A167,'Data(perSeason,perCrop)'!$O:$O,3,'Data(perSeason,perCrop)'!$C:$C,Y$52,'Data(perSeason,perCrop)'!$R:$R,"IRRIGATED"),"")</f>
        <v/>
      </c>
      <c r="Z167" s="59" t="str">
        <f>IFERROR(AVERAGEIFS('Data(perSeason,perCrop)'!$P:$P,'Data(perSeason,perCrop)'!$S:$S,$A167,'Data(perSeason,perCrop)'!$O:$O,3,'Data(perSeason,perCrop)'!$C:$C,Z$52,'Data(perSeason,perCrop)'!$R:$R,"IRRIGATED"),"")</f>
        <v/>
      </c>
      <c r="AA167" s="59" t="str">
        <f>IFERROR(AVERAGEIFS('Data(perSeason,perCrop)'!$P:$P,'Data(perSeason,perCrop)'!$S:$S,$A167,'Data(perSeason,perCrop)'!$O:$O,3,'Data(perSeason,perCrop)'!$C:$C,AA$52,'Data(perSeason,perCrop)'!$R:$R,"IRRIGATED"),"")</f>
        <v/>
      </c>
      <c r="AB167" s="59" t="str">
        <f>IFERROR(AVERAGEIFS('Data(perSeason,perCrop)'!$P:$P,'Data(perSeason,perCrop)'!$S:$S,$A167,'Data(perSeason,perCrop)'!$O:$O,3,'Data(perSeason,perCrop)'!$C:$C,AB$52,'Data(perSeason,perCrop)'!$R:$R,"IRRIGATED"),"")</f>
        <v/>
      </c>
      <c r="AC167" s="59" t="str">
        <f>IFERROR(AVERAGEIFS('Data(perSeason,perCrop)'!$P:$P,'Data(perSeason,perCrop)'!$S:$S,$A167,'Data(perSeason,perCrop)'!$O:$O,3,'Data(perSeason,perCrop)'!$C:$C,AC$52,'Data(perSeason,perCrop)'!$R:$R,"IRRIGATED"),"")</f>
        <v/>
      </c>
      <c r="AD167" s="59" t="str">
        <f>IFERROR(AVERAGEIFS('Data(perSeason,perCrop)'!$P:$P,'Data(perSeason,perCrop)'!$S:$S,$A167,'Data(perSeason,perCrop)'!$O:$O,3,'Data(perSeason,perCrop)'!$C:$C,AD$52,'Data(perSeason,perCrop)'!$R:$R,"IRRIGATED"),"")</f>
        <v/>
      </c>
      <c r="AE167" s="59" t="str">
        <f>IFERROR(AVERAGEIFS('Data(perSeason,perCrop)'!$P:$P,'Data(perSeason,perCrop)'!$S:$S,$A167,'Data(perSeason,perCrop)'!$O:$O,3,'Data(perSeason,perCrop)'!$C:$C,AE$52,'Data(perSeason,perCrop)'!$R:$R,"IRRIGATED"),"")</f>
        <v/>
      </c>
      <c r="AF167" s="59" t="str">
        <f>IFERROR(AVERAGEIFS('Data(perSeason,perCrop)'!$P:$P,'Data(perSeason,perCrop)'!$S:$S,$A167,'Data(perSeason,perCrop)'!$O:$O,3,'Data(perSeason,perCrop)'!$C:$C,AF$52,'Data(perSeason,perCrop)'!$R:$R,"IRRIGATED"),"")</f>
        <v/>
      </c>
    </row>
    <row r="168" spans="1:32" ht="18.75" x14ac:dyDescent="0.3">
      <c r="A168" s="42">
        <v>2022</v>
      </c>
      <c r="B168" s="59" t="str">
        <f>IFERROR(AVERAGEIFS('Data(perSeason,perCrop)'!$P:$P,'Data(perSeason,perCrop)'!$S:$S,$A168,'Data(perSeason,perCrop)'!$O:$O,3,'Data(perSeason,perCrop)'!$C:$C,B$52,'Data(perSeason,perCrop)'!$R:$R,"IRRIGATED"),"")</f>
        <v/>
      </c>
      <c r="C168" s="59" t="str">
        <f>IFERROR(AVERAGEIFS('Data(perSeason,perCrop)'!$P:$P,'Data(perSeason,perCrop)'!$S:$S,$A168,'Data(perSeason,perCrop)'!$O:$O,3,'Data(perSeason,perCrop)'!$C:$C,C$52,'Data(perSeason,perCrop)'!$R:$R,"IRRIGATED"),"")</f>
        <v/>
      </c>
      <c r="D168" s="59" t="str">
        <f>IFERROR(AVERAGEIFS('Data(perSeason,perCrop)'!$P:$P,'Data(perSeason,perCrop)'!$S:$S,$A168,'Data(perSeason,perCrop)'!$O:$O,3,'Data(perSeason,perCrop)'!$C:$C,D$52,'Data(perSeason,perCrop)'!$R:$R,"IRRIGATED"),"")</f>
        <v/>
      </c>
      <c r="E168" s="59" t="str">
        <f>IFERROR(AVERAGEIFS('Data(perSeason,perCrop)'!$P:$P,'Data(perSeason,perCrop)'!$S:$S,$A168,'Data(perSeason,perCrop)'!$O:$O,3,'Data(perSeason,perCrop)'!$C:$C,E$52,'Data(perSeason,perCrop)'!$R:$R,"IRRIGATED"),"")</f>
        <v/>
      </c>
      <c r="F168" s="59" t="str">
        <f>IFERROR(AVERAGEIFS('Data(perSeason,perCrop)'!$P:$P,'Data(perSeason,perCrop)'!$S:$S,$A168,'Data(perSeason,perCrop)'!$O:$O,3,'Data(perSeason,perCrop)'!$C:$C,F$52,'Data(perSeason,perCrop)'!$R:$R,"IRRIGATED"),"")</f>
        <v/>
      </c>
      <c r="G168" s="59" t="str">
        <f>IFERROR(AVERAGEIFS('Data(perSeason,perCrop)'!$P:$P,'Data(perSeason,perCrop)'!$S:$S,$A168,'Data(perSeason,perCrop)'!$O:$O,3,'Data(perSeason,perCrop)'!$C:$C,G$52,'Data(perSeason,perCrop)'!$R:$R,"IRRIGATED"),"")</f>
        <v/>
      </c>
      <c r="H168" s="59" t="str">
        <f>IFERROR(AVERAGEIFS('Data(perSeason,perCrop)'!$P:$P,'Data(perSeason,perCrop)'!$S:$S,$A168,'Data(perSeason,perCrop)'!$O:$O,3,'Data(perSeason,perCrop)'!$C:$C,H$52,'Data(perSeason,perCrop)'!$R:$R,"IRRIGATED"),"")</f>
        <v/>
      </c>
      <c r="I168" s="59" t="str">
        <f>IFERROR(AVERAGEIFS('Data(perSeason,perCrop)'!$P:$P,'Data(perSeason,perCrop)'!$S:$S,$A168,'Data(perSeason,perCrop)'!$O:$O,3,'Data(perSeason,perCrop)'!$C:$C,I$52,'Data(perSeason,perCrop)'!$R:$R,"IRRIGATED"),"")</f>
        <v/>
      </c>
      <c r="J168" s="59" t="str">
        <f>IFERROR(AVERAGEIFS('Data(perSeason,perCrop)'!$P:$P,'Data(perSeason,perCrop)'!$S:$S,$A168,'Data(perSeason,perCrop)'!$O:$O,3,'Data(perSeason,perCrop)'!$C:$C,J$52,'Data(perSeason,perCrop)'!$R:$R,"IRRIGATED"),"")</f>
        <v/>
      </c>
      <c r="K168" s="59" t="str">
        <f>IFERROR(AVERAGEIFS('Data(perSeason,perCrop)'!$P:$P,'Data(perSeason,perCrop)'!$S:$S,$A168,'Data(perSeason,perCrop)'!$O:$O,3,'Data(perSeason,perCrop)'!$C:$C,K$52,'Data(perSeason,perCrop)'!$R:$R,"IRRIGATED"),"")</f>
        <v/>
      </c>
      <c r="L168" s="59" t="str">
        <f>IFERROR(AVERAGEIFS('Data(perSeason,perCrop)'!$P:$P,'Data(perSeason,perCrop)'!$S:$S,$A168,'Data(perSeason,perCrop)'!$O:$O,3,'Data(perSeason,perCrop)'!$C:$C,L$52,'Data(perSeason,perCrop)'!$R:$R,"IRRIGATED"),"")</f>
        <v/>
      </c>
      <c r="M168" s="59" t="str">
        <f>IFERROR(AVERAGEIFS('Data(perSeason,perCrop)'!$P:$P,'Data(perSeason,perCrop)'!$S:$S,$A168,'Data(perSeason,perCrop)'!$O:$O,3,'Data(perSeason,perCrop)'!$C:$C,M$52,'Data(perSeason,perCrop)'!$R:$R,"IRRIGATED"),"")</f>
        <v/>
      </c>
      <c r="N168" s="59" t="str">
        <f>IFERROR(AVERAGEIFS('Data(perSeason,perCrop)'!$P:$P,'Data(perSeason,perCrop)'!$S:$S,$A168,'Data(perSeason,perCrop)'!$O:$O,3,'Data(perSeason,perCrop)'!$C:$C,N$52,'Data(perSeason,perCrop)'!$R:$R,"IRRIGATED"),"")</f>
        <v/>
      </c>
      <c r="O168" s="59">
        <f>IFERROR(AVERAGEIFS('Data(perSeason,perCrop)'!$P:$P,'Data(perSeason,perCrop)'!$S:$S,$A168,'Data(perSeason,perCrop)'!$O:$O,3,'Data(perSeason,perCrop)'!$C:$C,O$52,'Data(perSeason,perCrop)'!$R:$R,"IRRIGATED"),"")</f>
        <v>3842</v>
      </c>
      <c r="P168" s="59">
        <f>IFERROR(AVERAGEIFS('Data(perSeason,perCrop)'!$P:$P,'Data(perSeason,perCrop)'!$S:$S,$A168,'Data(perSeason,perCrop)'!$O:$O,3,'Data(perSeason,perCrop)'!$C:$C,P$52,'Data(perSeason,perCrop)'!$R:$R,"IRRIGATED"),"")</f>
        <v>2455</v>
      </c>
      <c r="Q168" s="59" t="str">
        <f>IFERROR(AVERAGEIFS('Data(perSeason,perCrop)'!$P:$P,'Data(perSeason,perCrop)'!$S:$S,$A168,'Data(perSeason,perCrop)'!$O:$O,3,'Data(perSeason,perCrop)'!$C:$C,Q$52,'Data(perSeason,perCrop)'!$R:$R,"IRRIGATED"),"")</f>
        <v/>
      </c>
      <c r="R168" s="59">
        <f>IFERROR(AVERAGEIFS('Data(perSeason,perCrop)'!$P:$P,'Data(perSeason,perCrop)'!$S:$S,$A168,'Data(perSeason,perCrop)'!$O:$O,3,'Data(perSeason,perCrop)'!$C:$C,R$52,'Data(perSeason,perCrop)'!$R:$R,"IRRIGATED"),"")</f>
        <v>2562</v>
      </c>
      <c r="S168" s="59" t="str">
        <f>IFERROR(AVERAGEIFS('Data(perSeason,perCrop)'!$P:$P,'Data(perSeason,perCrop)'!$S:$S,$A168,'Data(perSeason,perCrop)'!$O:$O,3,'Data(perSeason,perCrop)'!$C:$C,S$52,'Data(perSeason,perCrop)'!$R:$R,"IRRIGATED"),"")</f>
        <v/>
      </c>
      <c r="T168" s="59" t="str">
        <f>IFERROR(AVERAGEIFS('Data(perSeason,perCrop)'!$P:$P,'Data(perSeason,perCrop)'!$S:$S,$A168,'Data(perSeason,perCrop)'!$O:$O,3,'Data(perSeason,perCrop)'!$C:$C,T$52,'Data(perSeason,perCrop)'!$R:$R,"IRRIGATED"),"")</f>
        <v/>
      </c>
      <c r="U168" s="59">
        <f>IFERROR(AVERAGEIFS('Data(perSeason,perCrop)'!$P:$P,'Data(perSeason,perCrop)'!$S:$S,$A168,'Data(perSeason,perCrop)'!$O:$O,3,'Data(perSeason,perCrop)'!$C:$C,U$52,'Data(perSeason,perCrop)'!$R:$R,"IRRIGATED"),"")</f>
        <v>3447</v>
      </c>
      <c r="V168" s="59" t="str">
        <f>IFERROR(AVERAGEIFS('Data(perSeason,perCrop)'!$P:$P,'Data(perSeason,perCrop)'!$S:$S,$A168,'Data(perSeason,perCrop)'!$O:$O,3,'Data(perSeason,perCrop)'!$C:$C,V$52,'Data(perSeason,perCrop)'!$R:$R,"IRRIGATED"),"")</f>
        <v/>
      </c>
      <c r="W168" s="59" t="str">
        <f>IFERROR(AVERAGEIFS('Data(perSeason,perCrop)'!$P:$P,'Data(perSeason,perCrop)'!$S:$S,$A168,'Data(perSeason,perCrop)'!$O:$O,3,'Data(perSeason,perCrop)'!$C:$C,W$52,'Data(perSeason,perCrop)'!$R:$R,"IRRIGATED"),"")</f>
        <v/>
      </c>
      <c r="X168" s="59" t="str">
        <f>IFERROR(AVERAGEIFS('Data(perSeason,perCrop)'!$P:$P,'Data(perSeason,perCrop)'!$S:$S,$A168,'Data(perSeason,perCrop)'!$O:$O,3,'Data(perSeason,perCrop)'!$C:$C,X$52,'Data(perSeason,perCrop)'!$R:$R,"IRRIGATED"),"")</f>
        <v/>
      </c>
      <c r="Y168" s="59" t="str">
        <f>IFERROR(AVERAGEIFS('Data(perSeason,perCrop)'!$P:$P,'Data(perSeason,perCrop)'!$S:$S,$A168,'Data(perSeason,perCrop)'!$O:$O,3,'Data(perSeason,perCrop)'!$C:$C,Y$52,'Data(perSeason,perCrop)'!$R:$R,"IRRIGATED"),"")</f>
        <v/>
      </c>
      <c r="Z168" s="59" t="str">
        <f>IFERROR(AVERAGEIFS('Data(perSeason,perCrop)'!$P:$P,'Data(perSeason,perCrop)'!$S:$S,$A168,'Data(perSeason,perCrop)'!$O:$O,3,'Data(perSeason,perCrop)'!$C:$C,Z$52,'Data(perSeason,perCrop)'!$R:$R,"IRRIGATED"),"")</f>
        <v/>
      </c>
      <c r="AA168" s="59" t="str">
        <f>IFERROR(AVERAGEIFS('Data(perSeason,perCrop)'!$P:$P,'Data(perSeason,perCrop)'!$S:$S,$A168,'Data(perSeason,perCrop)'!$O:$O,3,'Data(perSeason,perCrop)'!$C:$C,AA$52,'Data(perSeason,perCrop)'!$R:$R,"IRRIGATED"),"")</f>
        <v/>
      </c>
      <c r="AB168" s="59" t="str">
        <f>IFERROR(AVERAGEIFS('Data(perSeason,perCrop)'!$P:$P,'Data(perSeason,perCrop)'!$S:$S,$A168,'Data(perSeason,perCrop)'!$O:$O,3,'Data(perSeason,perCrop)'!$C:$C,AB$52,'Data(perSeason,perCrop)'!$R:$R,"IRRIGATED"),"")</f>
        <v/>
      </c>
      <c r="AC168" s="59" t="str">
        <f>IFERROR(AVERAGEIFS('Data(perSeason,perCrop)'!$P:$P,'Data(perSeason,perCrop)'!$S:$S,$A168,'Data(perSeason,perCrop)'!$O:$O,3,'Data(perSeason,perCrop)'!$C:$C,AC$52,'Data(perSeason,perCrop)'!$R:$R,"IRRIGATED"),"")</f>
        <v/>
      </c>
      <c r="AD168" s="59" t="str">
        <f>IFERROR(AVERAGEIFS('Data(perSeason,perCrop)'!$P:$P,'Data(perSeason,perCrop)'!$S:$S,$A168,'Data(perSeason,perCrop)'!$O:$O,3,'Data(perSeason,perCrop)'!$C:$C,AD$52,'Data(perSeason,perCrop)'!$R:$R,"IRRIGATED"),"")</f>
        <v/>
      </c>
      <c r="AE168" s="59" t="str">
        <f>IFERROR(AVERAGEIFS('Data(perSeason,perCrop)'!$P:$P,'Data(perSeason,perCrop)'!$S:$S,$A168,'Data(perSeason,perCrop)'!$O:$O,3,'Data(perSeason,perCrop)'!$C:$C,AE$52,'Data(perSeason,perCrop)'!$R:$R,"IRRIGATED"),"")</f>
        <v/>
      </c>
      <c r="AF168" s="59" t="str">
        <f>IFERROR(AVERAGEIFS('Data(perSeason,perCrop)'!$P:$P,'Data(perSeason,perCrop)'!$S:$S,$A168,'Data(perSeason,perCrop)'!$O:$O,3,'Data(perSeason,perCrop)'!$C:$C,AF$52,'Data(perSeason,perCrop)'!$R:$R,"IRRIGATED"),"")</f>
        <v/>
      </c>
    </row>
    <row r="169" spans="1:32" ht="18.75" x14ac:dyDescent="0.3">
      <c r="A169" s="47" t="s">
        <v>184</v>
      </c>
      <c r="B169" s="48" t="str">
        <f>IFERROR(AVERAGE(B164:B168),"")</f>
        <v/>
      </c>
      <c r="C169" s="48" t="str">
        <f t="shared" ref="C169:AF169" si="58">IFERROR(AVERAGE(C164:C168),"")</f>
        <v/>
      </c>
      <c r="D169" s="48" t="str">
        <f t="shared" si="58"/>
        <v/>
      </c>
      <c r="E169" s="48" t="str">
        <f t="shared" si="58"/>
        <v/>
      </c>
      <c r="F169" s="48" t="str">
        <f t="shared" si="58"/>
        <v/>
      </c>
      <c r="G169" s="48" t="str">
        <f t="shared" si="58"/>
        <v/>
      </c>
      <c r="H169" s="48" t="str">
        <f t="shared" si="58"/>
        <v/>
      </c>
      <c r="I169" s="48" t="str">
        <f t="shared" si="58"/>
        <v/>
      </c>
      <c r="J169" s="48" t="str">
        <f t="shared" si="58"/>
        <v/>
      </c>
      <c r="K169" s="48" t="str">
        <f t="shared" si="58"/>
        <v/>
      </c>
      <c r="L169" s="48" t="str">
        <f t="shared" si="58"/>
        <v/>
      </c>
      <c r="M169" s="48" t="str">
        <f t="shared" si="58"/>
        <v/>
      </c>
      <c r="N169" s="48" t="str">
        <f t="shared" si="58"/>
        <v/>
      </c>
      <c r="O169" s="48">
        <f t="shared" si="58"/>
        <v>3866.6</v>
      </c>
      <c r="P169" s="48">
        <f t="shared" si="58"/>
        <v>2964.2</v>
      </c>
      <c r="Q169" s="48" t="str">
        <f t="shared" si="58"/>
        <v/>
      </c>
      <c r="R169" s="48">
        <f t="shared" si="58"/>
        <v>2919</v>
      </c>
      <c r="S169" s="48" t="str">
        <f t="shared" si="58"/>
        <v/>
      </c>
      <c r="T169" s="48" t="str">
        <f t="shared" si="58"/>
        <v/>
      </c>
      <c r="U169" s="48">
        <f t="shared" si="58"/>
        <v>3662.6</v>
      </c>
      <c r="V169" s="48" t="str">
        <f t="shared" si="58"/>
        <v/>
      </c>
      <c r="W169" s="48" t="str">
        <f t="shared" si="58"/>
        <v/>
      </c>
      <c r="X169" s="48" t="str">
        <f t="shared" si="58"/>
        <v/>
      </c>
      <c r="Y169" s="48" t="str">
        <f t="shared" si="58"/>
        <v/>
      </c>
      <c r="Z169" s="48" t="str">
        <f t="shared" si="58"/>
        <v/>
      </c>
      <c r="AA169" s="48" t="str">
        <f t="shared" si="58"/>
        <v/>
      </c>
      <c r="AB169" s="48" t="str">
        <f t="shared" si="58"/>
        <v/>
      </c>
      <c r="AC169" s="48" t="str">
        <f t="shared" si="58"/>
        <v/>
      </c>
      <c r="AD169" s="48" t="str">
        <f t="shared" si="58"/>
        <v/>
      </c>
      <c r="AE169" s="48" t="str">
        <f t="shared" si="58"/>
        <v/>
      </c>
      <c r="AF169" s="48" t="str">
        <f t="shared" si="58"/>
        <v/>
      </c>
    </row>
    <row r="171" spans="1:32" ht="18.75" x14ac:dyDescent="0.3">
      <c r="A171" s="42" t="s">
        <v>3</v>
      </c>
      <c r="B171" s="58" t="s">
        <v>47</v>
      </c>
      <c r="C171" s="58" t="s">
        <v>57</v>
      </c>
      <c r="D171" s="58" t="s">
        <v>110</v>
      </c>
      <c r="E171" s="58" t="s">
        <v>50</v>
      </c>
      <c r="F171" s="58" t="s">
        <v>58</v>
      </c>
      <c r="G171" s="58" t="s">
        <v>51</v>
      </c>
      <c r="H171" s="58" t="s">
        <v>97</v>
      </c>
      <c r="I171" s="58" t="s">
        <v>52</v>
      </c>
      <c r="J171" s="58" t="s">
        <v>59</v>
      </c>
      <c r="K171" s="58" t="s">
        <v>111</v>
      </c>
      <c r="L171" s="58" t="s">
        <v>54</v>
      </c>
      <c r="M171" s="58" t="s">
        <v>112</v>
      </c>
      <c r="N171" s="58" t="s">
        <v>48</v>
      </c>
      <c r="O171" s="58" t="s">
        <v>53</v>
      </c>
      <c r="P171" s="58" t="s">
        <v>49</v>
      </c>
      <c r="Q171" s="58" t="s">
        <v>56</v>
      </c>
      <c r="R171" s="58" t="s">
        <v>102</v>
      </c>
      <c r="S171" s="58" t="s">
        <v>103</v>
      </c>
      <c r="T171" s="58" t="s">
        <v>101</v>
      </c>
      <c r="U171" s="58" t="s">
        <v>106</v>
      </c>
      <c r="V171" s="58" t="s">
        <v>113</v>
      </c>
      <c r="W171" s="58" t="s">
        <v>114</v>
      </c>
      <c r="X171" s="58" t="s">
        <v>115</v>
      </c>
      <c r="Y171" s="58" t="s">
        <v>116</v>
      </c>
      <c r="Z171" s="58" t="s">
        <v>107</v>
      </c>
      <c r="AA171" s="58" t="s">
        <v>104</v>
      </c>
      <c r="AB171" s="58" t="s">
        <v>117</v>
      </c>
      <c r="AC171" s="58" t="s">
        <v>118</v>
      </c>
      <c r="AD171" s="58" t="s">
        <v>119</v>
      </c>
      <c r="AE171" s="58" t="s">
        <v>108</v>
      </c>
      <c r="AF171" s="58" t="s">
        <v>105</v>
      </c>
    </row>
    <row r="172" spans="1:32" ht="18.75" x14ac:dyDescent="0.3">
      <c r="A172" s="42" t="s">
        <v>183</v>
      </c>
      <c r="B172" s="42">
        <v>1</v>
      </c>
      <c r="C172" s="42">
        <v>2</v>
      </c>
      <c r="D172" s="42">
        <v>3</v>
      </c>
      <c r="E172" s="42">
        <v>4</v>
      </c>
      <c r="F172" s="42">
        <v>5</v>
      </c>
      <c r="G172" s="42">
        <v>6</v>
      </c>
      <c r="H172" s="42">
        <v>7</v>
      </c>
      <c r="I172" s="42">
        <v>8</v>
      </c>
      <c r="J172" s="42">
        <v>9</v>
      </c>
      <c r="K172" s="42">
        <v>10</v>
      </c>
      <c r="L172" s="42">
        <v>11</v>
      </c>
      <c r="M172" s="42">
        <v>12</v>
      </c>
      <c r="N172" s="42">
        <v>13</v>
      </c>
      <c r="O172" s="42">
        <v>14</v>
      </c>
      <c r="P172" s="42">
        <v>15</v>
      </c>
      <c r="Q172" s="42">
        <v>16</v>
      </c>
      <c r="R172" s="42">
        <v>17</v>
      </c>
      <c r="S172" s="42">
        <v>18</v>
      </c>
      <c r="T172" s="42">
        <v>19</v>
      </c>
      <c r="U172" s="42">
        <v>20</v>
      </c>
      <c r="V172" s="42">
        <v>21</v>
      </c>
      <c r="W172" s="42">
        <v>22</v>
      </c>
      <c r="X172" s="42">
        <v>23</v>
      </c>
      <c r="Y172" s="42">
        <v>24</v>
      </c>
      <c r="Z172" s="42">
        <v>25</v>
      </c>
      <c r="AA172" s="42">
        <v>40</v>
      </c>
      <c r="AB172" s="42">
        <v>41</v>
      </c>
      <c r="AC172" s="42">
        <v>42</v>
      </c>
      <c r="AD172" s="42">
        <v>43</v>
      </c>
      <c r="AE172" s="42">
        <v>44</v>
      </c>
      <c r="AF172" s="42">
        <v>45</v>
      </c>
    </row>
    <row r="173" spans="1:32" ht="18.75" x14ac:dyDescent="0.3">
      <c r="A173" s="42">
        <v>2018</v>
      </c>
      <c r="B173" s="68" t="str">
        <f t="shared" ref="B173:AF173" si="59">IF(ISNUMBER(B155)=TRUE,B164/(B155*(1/1000*10000)),"")</f>
        <v/>
      </c>
      <c r="C173" s="68" t="str">
        <f t="shared" si="59"/>
        <v/>
      </c>
      <c r="D173" s="68" t="str">
        <f t="shared" si="59"/>
        <v/>
      </c>
      <c r="E173" s="68" t="str">
        <f t="shared" si="59"/>
        <v/>
      </c>
      <c r="F173" s="68" t="str">
        <f t="shared" si="59"/>
        <v/>
      </c>
      <c r="G173" s="68" t="str">
        <f t="shared" si="59"/>
        <v/>
      </c>
      <c r="H173" s="68" t="str">
        <f t="shared" si="59"/>
        <v/>
      </c>
      <c r="I173" s="68" t="str">
        <f t="shared" si="59"/>
        <v/>
      </c>
      <c r="J173" s="68" t="str">
        <f t="shared" si="59"/>
        <v/>
      </c>
      <c r="K173" s="68" t="str">
        <f t="shared" si="59"/>
        <v/>
      </c>
      <c r="L173" s="68" t="str">
        <f t="shared" si="59"/>
        <v/>
      </c>
      <c r="M173" s="68" t="str">
        <f t="shared" si="59"/>
        <v/>
      </c>
      <c r="N173" s="68" t="str">
        <f t="shared" si="59"/>
        <v/>
      </c>
      <c r="O173" s="68">
        <f t="shared" si="59"/>
        <v>0.68661257606490878</v>
      </c>
      <c r="P173" s="68">
        <f t="shared" si="59"/>
        <v>0.81220238095238095</v>
      </c>
      <c r="Q173" s="68" t="str">
        <f t="shared" si="59"/>
        <v/>
      </c>
      <c r="R173" s="68">
        <f t="shared" si="59"/>
        <v>0.73161953727506424</v>
      </c>
      <c r="S173" s="68" t="str">
        <f t="shared" si="59"/>
        <v/>
      </c>
      <c r="T173" s="68" t="str">
        <f t="shared" si="59"/>
        <v/>
      </c>
      <c r="U173" s="68">
        <f t="shared" si="59"/>
        <v>0.74673913043478257</v>
      </c>
      <c r="V173" s="68" t="str">
        <f t="shared" si="59"/>
        <v/>
      </c>
      <c r="W173" s="68" t="str">
        <f t="shared" si="59"/>
        <v/>
      </c>
      <c r="X173" s="68" t="str">
        <f t="shared" si="59"/>
        <v/>
      </c>
      <c r="Y173" s="68" t="str">
        <f t="shared" si="59"/>
        <v/>
      </c>
      <c r="Z173" s="68" t="str">
        <f t="shared" si="59"/>
        <v/>
      </c>
      <c r="AA173" s="68" t="str">
        <f t="shared" si="59"/>
        <v/>
      </c>
      <c r="AB173" s="68" t="str">
        <f t="shared" si="59"/>
        <v/>
      </c>
      <c r="AC173" s="68" t="str">
        <f t="shared" si="59"/>
        <v/>
      </c>
      <c r="AD173" s="68" t="str">
        <f t="shared" si="59"/>
        <v/>
      </c>
      <c r="AE173" s="68" t="str">
        <f t="shared" si="59"/>
        <v/>
      </c>
      <c r="AF173" s="68" t="str">
        <f t="shared" si="59"/>
        <v/>
      </c>
    </row>
    <row r="174" spans="1:32" ht="18.75" x14ac:dyDescent="0.3">
      <c r="A174" s="42">
        <v>2019</v>
      </c>
      <c r="B174" s="68" t="str">
        <f t="shared" ref="B174:AF174" si="60">IF(ISNUMBER(B156)=TRUE,B165/(B156*(1/1000*10000)),"")</f>
        <v/>
      </c>
      <c r="C174" s="68" t="str">
        <f t="shared" si="60"/>
        <v/>
      </c>
      <c r="D174" s="68" t="str">
        <f t="shared" si="60"/>
        <v/>
      </c>
      <c r="E174" s="68" t="str">
        <f t="shared" si="60"/>
        <v/>
      </c>
      <c r="F174" s="68" t="str">
        <f t="shared" si="60"/>
        <v/>
      </c>
      <c r="G174" s="68" t="str">
        <f t="shared" si="60"/>
        <v/>
      </c>
      <c r="H174" s="68" t="str">
        <f t="shared" si="60"/>
        <v/>
      </c>
      <c r="I174" s="68" t="str">
        <f t="shared" si="60"/>
        <v/>
      </c>
      <c r="J174" s="68" t="str">
        <f t="shared" si="60"/>
        <v/>
      </c>
      <c r="K174" s="68" t="str">
        <f t="shared" si="60"/>
        <v/>
      </c>
      <c r="L174" s="68" t="str">
        <f t="shared" si="60"/>
        <v/>
      </c>
      <c r="M174" s="68" t="str">
        <f t="shared" si="60"/>
        <v/>
      </c>
      <c r="N174" s="68" t="str">
        <f t="shared" si="60"/>
        <v/>
      </c>
      <c r="O174" s="68">
        <f t="shared" si="60"/>
        <v>1.1536687631027254</v>
      </c>
      <c r="P174" s="68">
        <f t="shared" si="60"/>
        <v>1.240785498489426</v>
      </c>
      <c r="Q174" s="68" t="str">
        <f t="shared" si="60"/>
        <v/>
      </c>
      <c r="R174" s="68">
        <f t="shared" si="60"/>
        <v>1.2476923076923077</v>
      </c>
      <c r="S174" s="68" t="str">
        <f t="shared" si="60"/>
        <v/>
      </c>
      <c r="T174" s="68" t="str">
        <f t="shared" si="60"/>
        <v/>
      </c>
      <c r="U174" s="68">
        <f t="shared" si="60"/>
        <v>1.2896039603960396</v>
      </c>
      <c r="V174" s="68" t="str">
        <f t="shared" si="60"/>
        <v/>
      </c>
      <c r="W174" s="68" t="str">
        <f t="shared" si="60"/>
        <v/>
      </c>
      <c r="X174" s="68" t="str">
        <f t="shared" si="60"/>
        <v/>
      </c>
      <c r="Y174" s="68" t="str">
        <f t="shared" si="60"/>
        <v/>
      </c>
      <c r="Z174" s="68" t="str">
        <f t="shared" si="60"/>
        <v/>
      </c>
      <c r="AA174" s="68" t="str">
        <f t="shared" si="60"/>
        <v/>
      </c>
      <c r="AB174" s="68" t="str">
        <f t="shared" si="60"/>
        <v/>
      </c>
      <c r="AC174" s="68" t="str">
        <f t="shared" si="60"/>
        <v/>
      </c>
      <c r="AD174" s="68" t="str">
        <f t="shared" si="60"/>
        <v/>
      </c>
      <c r="AE174" s="68" t="str">
        <f t="shared" si="60"/>
        <v/>
      </c>
      <c r="AF174" s="68" t="str">
        <f t="shared" si="60"/>
        <v/>
      </c>
    </row>
    <row r="175" spans="1:32" ht="18.75" x14ac:dyDescent="0.3">
      <c r="A175" s="42">
        <v>2020</v>
      </c>
      <c r="B175" s="68" t="str">
        <f t="shared" ref="B175:AF175" si="61">IF(ISNUMBER(B157)=TRUE,B166/(B157*(1/1000*10000)),"")</f>
        <v/>
      </c>
      <c r="C175" s="68" t="str">
        <f t="shared" si="61"/>
        <v/>
      </c>
      <c r="D175" s="68" t="str">
        <f t="shared" si="61"/>
        <v/>
      </c>
      <c r="E175" s="68" t="str">
        <f t="shared" si="61"/>
        <v/>
      </c>
      <c r="F175" s="68" t="str">
        <f t="shared" si="61"/>
        <v/>
      </c>
      <c r="G175" s="68" t="str">
        <f t="shared" si="61"/>
        <v/>
      </c>
      <c r="H175" s="68" t="str">
        <f t="shared" si="61"/>
        <v/>
      </c>
      <c r="I175" s="68" t="str">
        <f t="shared" si="61"/>
        <v/>
      </c>
      <c r="J175" s="68" t="str">
        <f t="shared" si="61"/>
        <v/>
      </c>
      <c r="K175" s="68" t="str">
        <f t="shared" si="61"/>
        <v/>
      </c>
      <c r="L175" s="68" t="str">
        <f t="shared" si="61"/>
        <v/>
      </c>
      <c r="M175" s="68" t="str">
        <f t="shared" si="61"/>
        <v/>
      </c>
      <c r="N175" s="68" t="str">
        <f t="shared" si="61"/>
        <v/>
      </c>
      <c r="O175" s="68">
        <f t="shared" si="61"/>
        <v>0.85773672055427252</v>
      </c>
      <c r="P175" s="68">
        <f t="shared" si="61"/>
        <v>0.96666666666666667</v>
      </c>
      <c r="Q175" s="68" t="str">
        <f t="shared" si="61"/>
        <v/>
      </c>
      <c r="R175" s="68">
        <f t="shared" si="61"/>
        <v>0.81736111111111109</v>
      </c>
      <c r="S175" s="68" t="str">
        <f t="shared" si="61"/>
        <v/>
      </c>
      <c r="T175" s="68" t="str">
        <f t="shared" si="61"/>
        <v/>
      </c>
      <c r="U175" s="68">
        <f t="shared" si="61"/>
        <v>0.8712793733681462</v>
      </c>
      <c r="V175" s="68" t="str">
        <f t="shared" si="61"/>
        <v/>
      </c>
      <c r="W175" s="68" t="str">
        <f t="shared" si="61"/>
        <v/>
      </c>
      <c r="X175" s="68" t="str">
        <f t="shared" si="61"/>
        <v/>
      </c>
      <c r="Y175" s="68" t="str">
        <f t="shared" si="61"/>
        <v/>
      </c>
      <c r="Z175" s="68" t="str">
        <f t="shared" si="61"/>
        <v/>
      </c>
      <c r="AA175" s="68" t="str">
        <f t="shared" si="61"/>
        <v/>
      </c>
      <c r="AB175" s="68" t="str">
        <f t="shared" si="61"/>
        <v/>
      </c>
      <c r="AC175" s="68" t="str">
        <f t="shared" si="61"/>
        <v/>
      </c>
      <c r="AD175" s="68" t="str">
        <f t="shared" si="61"/>
        <v/>
      </c>
      <c r="AE175" s="68" t="str">
        <f t="shared" si="61"/>
        <v/>
      </c>
      <c r="AF175" s="68" t="str">
        <f t="shared" si="61"/>
        <v/>
      </c>
    </row>
    <row r="176" spans="1:32" ht="18.75" x14ac:dyDescent="0.3">
      <c r="A176" s="42">
        <v>2021</v>
      </c>
      <c r="B176" s="68" t="str">
        <f t="shared" ref="B176:AF176" si="62">IF(ISNUMBER(B158)=TRUE,B167/(B158*(1/1000*10000)),"")</f>
        <v/>
      </c>
      <c r="C176" s="68" t="str">
        <f t="shared" si="62"/>
        <v/>
      </c>
      <c r="D176" s="68" t="str">
        <f t="shared" si="62"/>
        <v/>
      </c>
      <c r="E176" s="68" t="str">
        <f t="shared" si="62"/>
        <v/>
      </c>
      <c r="F176" s="68" t="str">
        <f t="shared" si="62"/>
        <v/>
      </c>
      <c r="G176" s="68" t="str">
        <f t="shared" si="62"/>
        <v/>
      </c>
      <c r="H176" s="68" t="str">
        <f t="shared" si="62"/>
        <v/>
      </c>
      <c r="I176" s="68" t="str">
        <f t="shared" si="62"/>
        <v/>
      </c>
      <c r="J176" s="68" t="str">
        <f t="shared" si="62"/>
        <v/>
      </c>
      <c r="K176" s="68" t="str">
        <f t="shared" si="62"/>
        <v/>
      </c>
      <c r="L176" s="68" t="str">
        <f t="shared" si="62"/>
        <v/>
      </c>
      <c r="M176" s="68" t="str">
        <f t="shared" si="62"/>
        <v/>
      </c>
      <c r="N176" s="68" t="str">
        <f t="shared" si="62"/>
        <v/>
      </c>
      <c r="O176" s="68">
        <f t="shared" si="62"/>
        <v>0.60949367088607598</v>
      </c>
      <c r="P176" s="68">
        <f t="shared" si="62"/>
        <v>1.104494382022472</v>
      </c>
      <c r="Q176" s="68" t="str">
        <f t="shared" si="62"/>
        <v/>
      </c>
      <c r="R176" s="68">
        <f t="shared" si="62"/>
        <v>0.87358490566037739</v>
      </c>
      <c r="S176" s="68" t="str">
        <f t="shared" si="62"/>
        <v/>
      </c>
      <c r="T176" s="68" t="str">
        <f t="shared" si="62"/>
        <v/>
      </c>
      <c r="U176" s="68">
        <f t="shared" si="62"/>
        <v>0.65101580135440185</v>
      </c>
      <c r="V176" s="68" t="str">
        <f t="shared" si="62"/>
        <v/>
      </c>
      <c r="W176" s="68" t="str">
        <f t="shared" si="62"/>
        <v/>
      </c>
      <c r="X176" s="68" t="str">
        <f t="shared" si="62"/>
        <v/>
      </c>
      <c r="Y176" s="68" t="str">
        <f t="shared" si="62"/>
        <v/>
      </c>
      <c r="Z176" s="68" t="str">
        <f t="shared" si="62"/>
        <v/>
      </c>
      <c r="AA176" s="68" t="str">
        <f t="shared" si="62"/>
        <v/>
      </c>
      <c r="AB176" s="68" t="str">
        <f t="shared" si="62"/>
        <v/>
      </c>
      <c r="AC176" s="68" t="str">
        <f t="shared" si="62"/>
        <v/>
      </c>
      <c r="AD176" s="68" t="str">
        <f t="shared" si="62"/>
        <v/>
      </c>
      <c r="AE176" s="68" t="str">
        <f t="shared" si="62"/>
        <v/>
      </c>
      <c r="AF176" s="68" t="str">
        <f t="shared" si="62"/>
        <v/>
      </c>
    </row>
    <row r="177" spans="1:32" ht="18.75" x14ac:dyDescent="0.3">
      <c r="A177" s="42">
        <v>2022</v>
      </c>
      <c r="B177" s="68" t="str">
        <f t="shared" ref="B177:AF177" si="63">IF(ISNUMBER(B159)=TRUE,B168/(B159*(1/1000*10000)),"")</f>
        <v/>
      </c>
      <c r="C177" s="68" t="str">
        <f t="shared" si="63"/>
        <v/>
      </c>
      <c r="D177" s="68" t="str">
        <f t="shared" si="63"/>
        <v/>
      </c>
      <c r="E177" s="68" t="str">
        <f t="shared" si="63"/>
        <v/>
      </c>
      <c r="F177" s="68" t="str">
        <f t="shared" si="63"/>
        <v/>
      </c>
      <c r="G177" s="68" t="str">
        <f t="shared" si="63"/>
        <v/>
      </c>
      <c r="H177" s="68" t="str">
        <f t="shared" si="63"/>
        <v/>
      </c>
      <c r="I177" s="68" t="str">
        <f t="shared" si="63"/>
        <v/>
      </c>
      <c r="J177" s="68" t="str">
        <f t="shared" si="63"/>
        <v/>
      </c>
      <c r="K177" s="68" t="str">
        <f t="shared" si="63"/>
        <v/>
      </c>
      <c r="L177" s="68" t="str">
        <f t="shared" si="63"/>
        <v/>
      </c>
      <c r="M177" s="68" t="str">
        <f t="shared" si="63"/>
        <v/>
      </c>
      <c r="N177" s="68" t="str">
        <f t="shared" si="63"/>
        <v/>
      </c>
      <c r="O177" s="68">
        <f t="shared" si="63"/>
        <v>0.85377777777777775</v>
      </c>
      <c r="P177" s="68">
        <f t="shared" si="63"/>
        <v>0.86443661971830987</v>
      </c>
      <c r="Q177" s="68" t="str">
        <f t="shared" si="63"/>
        <v/>
      </c>
      <c r="R177" s="68">
        <f t="shared" si="63"/>
        <v>0.80566037735849061</v>
      </c>
      <c r="S177" s="68" t="str">
        <f t="shared" si="63"/>
        <v/>
      </c>
      <c r="T177" s="68" t="str">
        <f t="shared" si="63"/>
        <v/>
      </c>
      <c r="U177" s="68">
        <f t="shared" si="63"/>
        <v>0.87709923664122136</v>
      </c>
      <c r="V177" s="68" t="str">
        <f t="shared" si="63"/>
        <v/>
      </c>
      <c r="W177" s="68" t="str">
        <f t="shared" si="63"/>
        <v/>
      </c>
      <c r="X177" s="68" t="str">
        <f t="shared" si="63"/>
        <v/>
      </c>
      <c r="Y177" s="68" t="str">
        <f t="shared" si="63"/>
        <v/>
      </c>
      <c r="Z177" s="68" t="str">
        <f t="shared" si="63"/>
        <v/>
      </c>
      <c r="AA177" s="68" t="str">
        <f t="shared" si="63"/>
        <v/>
      </c>
      <c r="AB177" s="68" t="str">
        <f t="shared" si="63"/>
        <v/>
      </c>
      <c r="AC177" s="68" t="str">
        <f t="shared" si="63"/>
        <v/>
      </c>
      <c r="AD177" s="68" t="str">
        <f t="shared" si="63"/>
        <v/>
      </c>
      <c r="AE177" s="68" t="str">
        <f t="shared" si="63"/>
        <v/>
      </c>
      <c r="AF177" s="68" t="str">
        <f t="shared" si="63"/>
        <v/>
      </c>
    </row>
    <row r="178" spans="1:32" ht="18.75" x14ac:dyDescent="0.3">
      <c r="A178" s="47" t="s">
        <v>184</v>
      </c>
      <c r="B178" s="52" t="str">
        <f>IFERROR(AVERAGE(B173:B177),"")</f>
        <v/>
      </c>
      <c r="C178" s="52" t="str">
        <f t="shared" ref="C178:AF178" si="64">IFERROR(AVERAGE(C173:C177),"")</f>
        <v/>
      </c>
      <c r="D178" s="52" t="str">
        <f t="shared" si="64"/>
        <v/>
      </c>
      <c r="E178" s="52" t="str">
        <f t="shared" si="64"/>
        <v/>
      </c>
      <c r="F178" s="52" t="str">
        <f t="shared" si="64"/>
        <v/>
      </c>
      <c r="G178" s="52" t="str">
        <f t="shared" si="64"/>
        <v/>
      </c>
      <c r="H178" s="52" t="str">
        <f t="shared" si="64"/>
        <v/>
      </c>
      <c r="I178" s="52" t="str">
        <f t="shared" si="64"/>
        <v/>
      </c>
      <c r="J178" s="52" t="str">
        <f t="shared" si="64"/>
        <v/>
      </c>
      <c r="K178" s="52" t="str">
        <f t="shared" si="64"/>
        <v/>
      </c>
      <c r="L178" s="52" t="str">
        <f t="shared" si="64"/>
        <v/>
      </c>
      <c r="M178" s="52" t="str">
        <f t="shared" si="64"/>
        <v/>
      </c>
      <c r="N178" s="52" t="str">
        <f t="shared" si="64"/>
        <v/>
      </c>
      <c r="O178" s="52">
        <f t="shared" si="64"/>
        <v>0.83225790167715208</v>
      </c>
      <c r="P178" s="52">
        <f t="shared" si="64"/>
        <v>0.99771710956985105</v>
      </c>
      <c r="Q178" s="52" t="str">
        <f t="shared" si="64"/>
        <v/>
      </c>
      <c r="R178" s="52">
        <f t="shared" si="64"/>
        <v>0.89518364781947013</v>
      </c>
      <c r="S178" s="52" t="str">
        <f t="shared" si="64"/>
        <v/>
      </c>
      <c r="T178" s="52" t="str">
        <f t="shared" si="64"/>
        <v/>
      </c>
      <c r="U178" s="52">
        <f t="shared" si="64"/>
        <v>0.88714750043891843</v>
      </c>
      <c r="V178" s="52" t="str">
        <f t="shared" si="64"/>
        <v/>
      </c>
      <c r="W178" s="52" t="str">
        <f t="shared" si="64"/>
        <v/>
      </c>
      <c r="X178" s="52" t="str">
        <f t="shared" si="64"/>
        <v/>
      </c>
      <c r="Y178" s="52" t="str">
        <f t="shared" si="64"/>
        <v/>
      </c>
      <c r="Z178" s="52" t="str">
        <f t="shared" si="64"/>
        <v/>
      </c>
      <c r="AA178" s="52" t="str">
        <f t="shared" si="64"/>
        <v/>
      </c>
      <c r="AB178" s="52" t="str">
        <f t="shared" si="64"/>
        <v/>
      </c>
      <c r="AC178" s="52" t="str">
        <f t="shared" si="64"/>
        <v/>
      </c>
      <c r="AD178" s="52" t="str">
        <f t="shared" si="64"/>
        <v/>
      </c>
      <c r="AE178" s="52" t="str">
        <f t="shared" si="64"/>
        <v/>
      </c>
      <c r="AF178" s="52" t="str">
        <f t="shared" si="64"/>
        <v/>
      </c>
    </row>
    <row r="180" spans="1:32" ht="18.75" x14ac:dyDescent="0.3">
      <c r="A180" s="42" t="s">
        <v>212</v>
      </c>
      <c r="B180" s="42" t="s">
        <v>120</v>
      </c>
    </row>
    <row r="181" spans="1:32" ht="18.75" x14ac:dyDescent="0.3">
      <c r="A181" s="42">
        <v>2018</v>
      </c>
      <c r="B181" s="63">
        <f>IF(COUNTIFS('Data(perSeason,perCrop)'!$S:$S,$A181)&gt;0,SUMPRODUCT(B145:AF145,B173:AF173)/SUM(B145:AF145),"")</f>
        <v>0.71536460966167059</v>
      </c>
    </row>
    <row r="182" spans="1:32" ht="18.75" x14ac:dyDescent="0.3">
      <c r="A182" s="42">
        <v>2019</v>
      </c>
      <c r="B182" s="63">
        <f>IF(COUNTIFS('Data(perSeason,perCrop)'!$S:$S,$A182)&gt;0,SUMPRODUCT(B146:AF146,B174:AF174)/SUM(B146:AF146),"")</f>
        <v>1.2490338663243643</v>
      </c>
    </row>
    <row r="183" spans="1:32" ht="18.75" x14ac:dyDescent="0.3">
      <c r="A183" s="42">
        <v>2020</v>
      </c>
      <c r="B183" s="63">
        <f>IF(COUNTIFS('Data(perSeason,perCrop)'!$S:$S,$A183)&gt;0,SUMPRODUCT(B147:AF147,B175:AF175)/SUM(B147:AF147),"")</f>
        <v>0.86386716245799489</v>
      </c>
    </row>
    <row r="184" spans="1:32" ht="18.75" x14ac:dyDescent="0.3">
      <c r="A184" s="42">
        <v>2021</v>
      </c>
      <c r="B184" s="63">
        <f>IF(COUNTIFS('Data(perSeason,perCrop)'!$S:$S,$A184)&gt;0,SUMPRODUCT(B148:AF148,B176:AF176)/SUM(B148:AF148),"")</f>
        <v>0.64157111801386746</v>
      </c>
    </row>
    <row r="185" spans="1:32" ht="18.75" x14ac:dyDescent="0.3">
      <c r="A185" s="42">
        <v>2022</v>
      </c>
      <c r="B185" s="63">
        <f>IF(COUNTIFS('Data(perSeason,perCrop)'!$S:$S,$A185)&gt;0,SUMPRODUCT(B149:AF149,B177:AF177)/SUM(B149:AF149),"")</f>
        <v>0.86010637031036208</v>
      </c>
    </row>
    <row r="186" spans="1:32" ht="18.75" x14ac:dyDescent="0.3">
      <c r="A186" s="47" t="s">
        <v>184</v>
      </c>
      <c r="B186" s="52">
        <f>AVERAGE(B181:B185)</f>
        <v>0.86598862535365184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4ED3-E294-4D24-AB0F-2A01E2181CC3}">
  <dimension ref="A1:E62"/>
  <sheetViews>
    <sheetView workbookViewId="0">
      <selection activeCell="K22" sqref="K22"/>
    </sheetView>
  </sheetViews>
  <sheetFormatPr defaultRowHeight="15.75" x14ac:dyDescent="0.25"/>
  <cols>
    <col min="1" max="1" width="22.25" customWidth="1"/>
    <col min="2" max="2" width="14.25" customWidth="1"/>
    <col min="3" max="3" width="16" customWidth="1"/>
    <col min="4" max="5" width="11.75" bestFit="1" customWidth="1"/>
  </cols>
  <sheetData>
    <row r="1" spans="1:5" x14ac:dyDescent="0.25">
      <c r="A1" t="s">
        <v>200</v>
      </c>
    </row>
    <row r="2" spans="1:5" ht="18.75" x14ac:dyDescent="0.3">
      <c r="A2" s="42" t="s">
        <v>199</v>
      </c>
      <c r="B2" s="42" t="s">
        <v>195</v>
      </c>
      <c r="C2" s="42" t="s">
        <v>196</v>
      </c>
      <c r="D2" s="42" t="s">
        <v>197</v>
      </c>
      <c r="E2" s="42" t="s">
        <v>198</v>
      </c>
    </row>
    <row r="3" spans="1:5" ht="18.75" x14ac:dyDescent="0.3">
      <c r="A3" s="42" t="s">
        <v>194</v>
      </c>
      <c r="B3" s="42">
        <v>1</v>
      </c>
      <c r="C3" s="42">
        <v>2</v>
      </c>
      <c r="D3" s="42">
        <v>3</v>
      </c>
      <c r="E3" s="42">
        <v>0</v>
      </c>
    </row>
    <row r="4" spans="1:5" ht="18.75" x14ac:dyDescent="0.3">
      <c r="A4" s="42">
        <v>2018</v>
      </c>
      <c r="B4" s="49">
        <f>IF(COUNTIFS('Data(perSeason,perCrop)'!$S:$S,Equity!$A4)&gt;0,AVERAGEIFS('Data(perSeason,perCrop)'!$H:$H,'Data(perSeason,perCrop)'!$S:$S,Equity!$A4,'Data(perSeason,perCrop)'!$O:$O,B$3,'Data(perSeason,perCrop)'!$R:$R,"IRRIGATED"),"")</f>
        <v>0.126172476181793</v>
      </c>
      <c r="C4" s="49">
        <f>IF(COUNTIFS('Data(perSeason,perCrop)'!$S:$S,Equity!$A4)&gt;0,AVERAGEIFS('Data(perSeason,perCrop)'!$H:$H,'Data(perSeason,perCrop)'!$S:$S,Equity!$A4,'Data(perSeason,perCrop)'!$O:$O,C$3,'Data(perSeason,perCrop)'!$R:$R,"IRRIGATED"),"")</f>
        <v>4.0802421096639903E-2</v>
      </c>
      <c r="D4" s="49">
        <f>IF(COUNTIFS('Data(perSeason,perCrop)'!$S:$S,Equity!$A4)&gt;0,AVERAGEIFS('Data(perSeason,perCrop)'!$H:$H,'Data(perSeason,perCrop)'!$S:$S,Equity!$A4,'Data(perSeason,perCrop)'!$O:$O,D$3,'Data(perSeason,perCrop)'!$R:$R,"IRRIGATED"),"")</f>
        <v>9.8095934790621203E-2</v>
      </c>
      <c r="E4" s="49">
        <f>IF(COUNTIFS('Data(perSeason,perCrop)'!$S:$S,Equity!$A4)&gt;0,AVERAGEIFS('Data(perSeason,perCrop)'!$H:$H,'Data(perSeason,perCrop)'!$S:$S,Equity!$A4,'Data(perSeason,perCrop)'!$O:$O,E$3,'Data(perSeason,perCrop)'!$R:$R,"IRRIGATED"),"")</f>
        <v>8.9735727844073895E-2</v>
      </c>
    </row>
    <row r="5" spans="1:5" ht="18.75" x14ac:dyDescent="0.3">
      <c r="A5" s="42">
        <v>2019</v>
      </c>
      <c r="B5" s="49">
        <f>IF(COUNTIFS('Data(perSeason,perCrop)'!$S:$S,Equity!$A5)&gt;0,AVERAGEIFS('Data(perSeason,perCrop)'!$H:$H,'Data(perSeason,perCrop)'!$S:$S,Equity!$A5,'Data(perSeason,perCrop)'!$O:$O,B$3,'Data(perSeason,perCrop)'!$R:$R,"IRRIGATED"),"")</f>
        <v>0.193306122131854</v>
      </c>
      <c r="C5" s="49">
        <f>IF(COUNTIFS('Data(perSeason,perCrop)'!$S:$S,Equity!$A5)&gt;0,AVERAGEIFS('Data(perSeason,perCrop)'!$H:$H,'Data(perSeason,perCrop)'!$S:$S,Equity!$A5,'Data(perSeason,perCrop)'!$O:$O,C$3,'Data(perSeason,perCrop)'!$R:$R,"IRRIGATED"),"")</f>
        <v>4.2562362247116903E-2</v>
      </c>
      <c r="D5" s="49">
        <f>IF(COUNTIFS('Data(perSeason,perCrop)'!$S:$S,Equity!$A5)&gt;0,AVERAGEIFS('Data(perSeason,perCrop)'!$H:$H,'Data(perSeason,perCrop)'!$S:$S,Equity!$A5,'Data(perSeason,perCrop)'!$O:$O,D$3,'Data(perSeason,perCrop)'!$R:$R,"IRRIGATED"),"")</f>
        <v>0.104348037828291</v>
      </c>
      <c r="E5" s="49">
        <f>IF(COUNTIFS('Data(perSeason,perCrop)'!$S:$S,Equity!$A5)&gt;0,AVERAGEIFS('Data(perSeason,perCrop)'!$H:$H,'Data(perSeason,perCrop)'!$S:$S,Equity!$A5,'Data(perSeason,perCrop)'!$O:$O,E$3,'Data(perSeason,perCrop)'!$R:$R,"IRRIGATED"),"")</f>
        <v>8.7340805097124496E-2</v>
      </c>
    </row>
    <row r="6" spans="1:5" ht="18.75" x14ac:dyDescent="0.3">
      <c r="A6" s="42">
        <v>2020</v>
      </c>
      <c r="B6" s="49">
        <f>IF(COUNTIFS('Data(perSeason,perCrop)'!$S:$S,Equity!$A6)&gt;0,AVERAGEIFS('Data(perSeason,perCrop)'!$H:$H,'Data(perSeason,perCrop)'!$S:$S,Equity!$A6,'Data(perSeason,perCrop)'!$O:$O,B$3,'Data(perSeason,perCrop)'!$R:$R,"IRRIGATED"),"")</f>
        <v>0.142510961535599</v>
      </c>
      <c r="C6" s="49">
        <f>IF(COUNTIFS('Data(perSeason,perCrop)'!$S:$S,Equity!$A6)&gt;0,AVERAGEIFS('Data(perSeason,perCrop)'!$H:$H,'Data(perSeason,perCrop)'!$S:$S,Equity!$A6,'Data(perSeason,perCrop)'!$O:$O,C$3,'Data(perSeason,perCrop)'!$R:$R,"IRRIGATED"),"")</f>
        <v>4.2734244163670401E-2</v>
      </c>
      <c r="D6" s="49">
        <f>IF(COUNTIFS('Data(perSeason,perCrop)'!$S:$S,Equity!$A6)&gt;0,AVERAGEIFS('Data(perSeason,perCrop)'!$H:$H,'Data(perSeason,perCrop)'!$S:$S,Equity!$A6,'Data(perSeason,perCrop)'!$O:$O,D$3,'Data(perSeason,perCrop)'!$R:$R,"IRRIGATED"),"")</f>
        <v>0.12550526164343501</v>
      </c>
      <c r="E6" s="49">
        <f>IF(COUNTIFS('Data(perSeason,perCrop)'!$S:$S,Equity!$A6)&gt;0,AVERAGEIFS('Data(perSeason,perCrop)'!$H:$H,'Data(perSeason,perCrop)'!$S:$S,Equity!$A6,'Data(perSeason,perCrop)'!$O:$O,E$3,'Data(perSeason,perCrop)'!$R:$R,"IRRIGATED"),"")</f>
        <v>0.12081794457820001</v>
      </c>
    </row>
    <row r="7" spans="1:5" ht="18.75" x14ac:dyDescent="0.3">
      <c r="A7" s="42">
        <v>2021</v>
      </c>
      <c r="B7" s="49">
        <f>IF(COUNTIFS('Data(perSeason,perCrop)'!$S:$S,Equity!$A7)&gt;0,AVERAGEIFS('Data(perSeason,perCrop)'!$H:$H,'Data(perSeason,perCrop)'!$S:$S,Equity!$A7,'Data(perSeason,perCrop)'!$O:$O,B$3,'Data(perSeason,perCrop)'!$R:$R,"IRRIGATED"),"")</f>
        <v>0.21250162366161299</v>
      </c>
      <c r="C7" s="49">
        <f>IF(COUNTIFS('Data(perSeason,perCrop)'!$S:$S,Equity!$A7)&gt;0,AVERAGEIFS('Data(perSeason,perCrop)'!$H:$H,'Data(perSeason,perCrop)'!$S:$S,Equity!$A7,'Data(perSeason,perCrop)'!$O:$O,C$3,'Data(perSeason,perCrop)'!$R:$R,"IRRIGATED"),"")</f>
        <v>4.39373584897031E-2</v>
      </c>
      <c r="D7" s="49">
        <f>IF(COUNTIFS('Data(perSeason,perCrop)'!$S:$S,Equity!$A7)&gt;0,AVERAGEIFS('Data(perSeason,perCrop)'!$H:$H,'Data(perSeason,perCrop)'!$S:$S,Equity!$A7,'Data(perSeason,perCrop)'!$O:$O,D$3,'Data(perSeason,perCrop)'!$R:$R,"IRRIGATED"),"")</f>
        <v>0.130117303959601</v>
      </c>
      <c r="E7" s="49">
        <f>IF(COUNTIFS('Data(perSeason,perCrop)'!$S:$S,Equity!$A7)&gt;0,AVERAGEIFS('Data(perSeason,perCrop)'!$H:$H,'Data(perSeason,perCrop)'!$S:$S,Equity!$A7,'Data(perSeason,perCrop)'!$O:$O,E$3,'Data(perSeason,perCrop)'!$R:$R,"IRRIGATED"),"")</f>
        <v>0.12443426692485401</v>
      </c>
    </row>
    <row r="8" spans="1:5" ht="18.75" x14ac:dyDescent="0.3">
      <c r="A8" s="42">
        <v>2022</v>
      </c>
      <c r="B8" s="49">
        <f>IF(COUNTIFS('Data(perSeason,perCrop)'!$S:$S,Equity!$A8)&gt;0,AVERAGEIFS('Data(perSeason,perCrop)'!$H:$H,'Data(perSeason,perCrop)'!$S:$S,Equity!$A8,'Data(perSeason,perCrop)'!$O:$O,B$3,'Data(perSeason,perCrop)'!$R:$R,"IRRIGATED"),"")</f>
        <v>0.131231891001617</v>
      </c>
      <c r="C8" s="49">
        <f>IF(COUNTIFS('Data(perSeason,perCrop)'!$S:$S,Equity!$A8)&gt;0,AVERAGEIFS('Data(perSeason,perCrop)'!$H:$H,'Data(perSeason,perCrop)'!$S:$S,Equity!$A8,'Data(perSeason,perCrop)'!$O:$O,C$3,'Data(perSeason,perCrop)'!$R:$R,"IRRIGATED"),"")</f>
        <v>4.2348140080079998E-2</v>
      </c>
      <c r="D8" s="49">
        <f>IF(COUNTIFS('Data(perSeason,perCrop)'!$S:$S,Equity!$A8)&gt;0,AVERAGEIFS('Data(perSeason,perCrop)'!$H:$H,'Data(perSeason,perCrop)'!$S:$S,Equity!$A8,'Data(perSeason,perCrop)'!$O:$O,D$3,'Data(perSeason,perCrop)'!$R:$R,"IRRIGATED"),"")</f>
        <v>0.14274506206635401</v>
      </c>
      <c r="E8" s="49">
        <f>IF(COUNTIFS('Data(perSeason,perCrop)'!$S:$S,Equity!$A8)&gt;0,AVERAGEIFS('Data(perSeason,perCrop)'!$H:$H,'Data(perSeason,perCrop)'!$S:$S,Equity!$A8,'Data(perSeason,perCrop)'!$O:$O,E$3,'Data(perSeason,perCrop)'!$R:$R,"IRRIGATED"),"")</f>
        <v>9.5291979419570502E-2</v>
      </c>
    </row>
    <row r="9" spans="1:5" ht="18.75" x14ac:dyDescent="0.3">
      <c r="A9" s="47" t="s">
        <v>63</v>
      </c>
      <c r="B9" s="67">
        <f t="shared" ref="B9:D9" si="0">AVERAGE(B4:B8)</f>
        <v>0.16114461490249521</v>
      </c>
      <c r="C9" s="67">
        <f t="shared" si="0"/>
        <v>4.2476905215442055E-2</v>
      </c>
      <c r="D9" s="67">
        <f t="shared" si="0"/>
        <v>0.12016232005766044</v>
      </c>
      <c r="E9" s="67">
        <f>AVERAGE(E4:E8)</f>
        <v>0.10352414477276457</v>
      </c>
    </row>
    <row r="62" spans="1:1" x14ac:dyDescent="0.25">
      <c r="A62" t="e" cm="1">
        <f t="array" ref="A62">+B46B42:A62</f>
        <v>#NAME?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CCB8-30F8-4B52-BA47-8C15C8107D80}">
  <dimension ref="A1:AN27"/>
  <sheetViews>
    <sheetView zoomScale="70" zoomScaleNormal="70" workbookViewId="0">
      <selection activeCell="B22" sqref="B22:B25"/>
    </sheetView>
  </sheetViews>
  <sheetFormatPr defaultRowHeight="15.75" x14ac:dyDescent="0.25"/>
  <cols>
    <col min="1" max="1" width="33.125" customWidth="1"/>
    <col min="9" max="9" width="11.25" style="6" customWidth="1"/>
    <col min="10" max="13" width="9" style="6"/>
  </cols>
  <sheetData>
    <row r="1" spans="1:40" s="6" customFormat="1" x14ac:dyDescent="0.25">
      <c r="A1" s="6" t="s">
        <v>173</v>
      </c>
      <c r="C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6" t="s">
        <v>21</v>
      </c>
      <c r="AD1" s="6" t="s">
        <v>21</v>
      </c>
      <c r="AE1" s="6" t="s">
        <v>21</v>
      </c>
      <c r="AI1" s="6" t="s">
        <v>60</v>
      </c>
      <c r="AJ1" s="6" t="s">
        <v>61</v>
      </c>
      <c r="AK1" s="6" t="s">
        <v>62</v>
      </c>
      <c r="AL1" s="6" t="s">
        <v>10</v>
      </c>
      <c r="AM1" s="6" t="s">
        <v>10</v>
      </c>
      <c r="AN1" s="6" t="s">
        <v>204</v>
      </c>
    </row>
    <row r="2" spans="1:40" x14ac:dyDescent="0.25">
      <c r="A2" s="72" t="s">
        <v>1</v>
      </c>
    </row>
    <row r="3" spans="1:40" ht="18.75" x14ac:dyDescent="0.3">
      <c r="A3" s="42" t="s">
        <v>205</v>
      </c>
      <c r="B3" s="58" t="s">
        <v>47</v>
      </c>
      <c r="C3" s="58" t="s">
        <v>57</v>
      </c>
      <c r="D3" s="58" t="s">
        <v>110</v>
      </c>
      <c r="E3" s="58" t="s">
        <v>50</v>
      </c>
      <c r="F3" s="58" t="s">
        <v>58</v>
      </c>
      <c r="G3" s="58" t="s">
        <v>51</v>
      </c>
      <c r="H3" s="58" t="s">
        <v>97</v>
      </c>
      <c r="I3" s="58" t="s">
        <v>52</v>
      </c>
      <c r="J3" s="58" t="s">
        <v>59</v>
      </c>
      <c r="K3" s="58" t="s">
        <v>111</v>
      </c>
      <c r="L3" s="58" t="s">
        <v>54</v>
      </c>
      <c r="M3" s="58" t="s">
        <v>112</v>
      </c>
      <c r="N3" s="58" t="s">
        <v>48</v>
      </c>
      <c r="O3" s="58" t="s">
        <v>53</v>
      </c>
      <c r="P3" s="58" t="s">
        <v>49</v>
      </c>
      <c r="Q3" s="58" t="s">
        <v>56</v>
      </c>
      <c r="R3" s="58" t="s">
        <v>102</v>
      </c>
      <c r="S3" s="58" t="s">
        <v>103</v>
      </c>
      <c r="T3" s="58" t="s">
        <v>101</v>
      </c>
      <c r="U3" s="58" t="s">
        <v>106</v>
      </c>
      <c r="V3" s="58" t="s">
        <v>113</v>
      </c>
      <c r="W3" s="58" t="s">
        <v>114</v>
      </c>
      <c r="X3" s="58" t="s">
        <v>115</v>
      </c>
      <c r="Y3" s="58" t="s">
        <v>116</v>
      </c>
      <c r="Z3" s="58" t="s">
        <v>107</v>
      </c>
      <c r="AA3" s="58" t="s">
        <v>104</v>
      </c>
      <c r="AB3" s="58" t="s">
        <v>117</v>
      </c>
      <c r="AC3" s="58" t="s">
        <v>118</v>
      </c>
      <c r="AD3" s="58" t="s">
        <v>119</v>
      </c>
      <c r="AE3" s="58" t="s">
        <v>108</v>
      </c>
      <c r="AF3" s="58" t="s">
        <v>105</v>
      </c>
    </row>
    <row r="4" spans="1:40" ht="18.75" x14ac:dyDescent="0.3">
      <c r="A4" s="42" t="s">
        <v>183</v>
      </c>
      <c r="B4" s="42">
        <v>1</v>
      </c>
      <c r="C4" s="42">
        <v>2</v>
      </c>
      <c r="D4" s="42">
        <v>3</v>
      </c>
      <c r="E4" s="42">
        <v>4</v>
      </c>
      <c r="F4" s="42">
        <v>5</v>
      </c>
      <c r="G4" s="42">
        <v>6</v>
      </c>
      <c r="H4" s="42">
        <v>7</v>
      </c>
      <c r="I4" s="42">
        <v>8</v>
      </c>
      <c r="J4" s="42">
        <v>9</v>
      </c>
      <c r="K4" s="42">
        <v>10</v>
      </c>
      <c r="L4" s="42">
        <v>11</v>
      </c>
      <c r="M4" s="42">
        <v>12</v>
      </c>
      <c r="N4" s="42">
        <v>13</v>
      </c>
      <c r="O4" s="42">
        <v>14</v>
      </c>
      <c r="P4" s="42">
        <v>15</v>
      </c>
      <c r="Q4" s="42">
        <v>16</v>
      </c>
      <c r="R4" s="42">
        <v>17</v>
      </c>
      <c r="S4" s="42">
        <v>18</v>
      </c>
      <c r="T4" s="42">
        <v>19</v>
      </c>
      <c r="U4" s="42">
        <v>20</v>
      </c>
      <c r="V4" s="42">
        <v>21</v>
      </c>
      <c r="W4" s="42">
        <v>22</v>
      </c>
      <c r="X4" s="42">
        <v>23</v>
      </c>
      <c r="Y4" s="42">
        <v>24</v>
      </c>
      <c r="Z4" s="42">
        <v>25</v>
      </c>
      <c r="AA4" s="42">
        <v>40</v>
      </c>
      <c r="AB4" s="42">
        <v>41</v>
      </c>
      <c r="AC4" s="42">
        <v>42</v>
      </c>
      <c r="AD4" s="42">
        <v>43</v>
      </c>
      <c r="AE4" s="42">
        <v>44</v>
      </c>
      <c r="AF4" s="42">
        <v>45</v>
      </c>
    </row>
    <row r="5" spans="1:40" ht="18.75" x14ac:dyDescent="0.3">
      <c r="A5" s="42">
        <v>2018</v>
      </c>
      <c r="B5" s="46" t="str">
        <f>IF(AND(ISNUMBER(AVERAGEIFS('Data(perCrop)'!$A:$A,'Data(perCrop)'!$B:$B,B$3,'Data(perCrop)'!$H:$H,$A$1,'Data(perCrop)'!$O:$O,$A5)),B$4&lt;&gt;14,B$4&lt;&gt;15),AVERAGEIFS('Data(perCrop)'!$A:$A,'Data(perCrop)'!$B:$B,B$3,'Data(perCrop)'!$H:$H,$A$1,'Data(perCrop)'!$O:$O,$A5),"")</f>
        <v/>
      </c>
      <c r="C5" s="46">
        <f>IF(AND(ISNUMBER(AVERAGEIFS('Data(perCrop)'!$A:$A,'Data(perCrop)'!$B:$B,C$3,'Data(perCrop)'!$H:$H,$A$1,'Data(perCrop)'!$O:$O,$A5)),C$4&lt;&gt;14,C$4&lt;&gt;15),AVERAGEIFS('Data(perCrop)'!$A:$A,'Data(perCrop)'!$B:$B,C$3,'Data(perCrop)'!$H:$H,$A$1,'Data(perCrop)'!$O:$O,$A5),"")</f>
        <v>6350.0256780341497</v>
      </c>
      <c r="D5" s="46" t="str">
        <f>IF(AND(ISNUMBER(AVERAGEIFS('Data(perCrop)'!$A:$A,'Data(perCrop)'!$B:$B,D$3,'Data(perCrop)'!$H:$H,$A$1,'Data(perCrop)'!$O:$O,$A5)),D$4&lt;&gt;14,D$4&lt;&gt;15),AVERAGEIFS('Data(perCrop)'!$A:$A,'Data(perCrop)'!$B:$B,D$3,'Data(perCrop)'!$H:$H,$A$1,'Data(perCrop)'!$O:$O,$A5),"")</f>
        <v/>
      </c>
      <c r="E5" s="46" t="str">
        <f>IF(AND(ISNUMBER(AVERAGEIFS('Data(perCrop)'!$A:$A,'Data(perCrop)'!$B:$B,E$3,'Data(perCrop)'!$H:$H,$A$1,'Data(perCrop)'!$O:$O,$A5)),E$4&lt;&gt;14,E$4&lt;&gt;15),AVERAGEIFS('Data(perCrop)'!$A:$A,'Data(perCrop)'!$B:$B,E$3,'Data(perCrop)'!$H:$H,$A$1,'Data(perCrop)'!$O:$O,$A5),"")</f>
        <v/>
      </c>
      <c r="F5" s="46" t="str">
        <f>IF(AND(ISNUMBER(AVERAGEIFS('Data(perCrop)'!$A:$A,'Data(perCrop)'!$B:$B,F$3,'Data(perCrop)'!$H:$H,$A$1,'Data(perCrop)'!$O:$O,$A5)),F$4&lt;&gt;14,F$4&lt;&gt;15),AVERAGEIFS('Data(perCrop)'!$A:$A,'Data(perCrop)'!$B:$B,F$3,'Data(perCrop)'!$H:$H,$A$1,'Data(perCrop)'!$O:$O,$A5),"")</f>
        <v/>
      </c>
      <c r="G5" s="46" t="str">
        <f>IF(AND(ISNUMBER(AVERAGEIFS('Data(perCrop)'!$A:$A,'Data(perCrop)'!$B:$B,G$3,'Data(perCrop)'!$H:$H,$A$1,'Data(perCrop)'!$O:$O,$A5)),G$4&lt;&gt;14,G$4&lt;&gt;15),AVERAGEIFS('Data(perCrop)'!$A:$A,'Data(perCrop)'!$B:$B,G$3,'Data(perCrop)'!$H:$H,$A$1,'Data(perCrop)'!$O:$O,$A5),"")</f>
        <v/>
      </c>
      <c r="H5" s="46" t="str">
        <f>IF(AND(ISNUMBER(AVERAGEIFS('Data(perCrop)'!$A:$A,'Data(perCrop)'!$B:$B,H$3,'Data(perCrop)'!$H:$H,$A$1,'Data(perCrop)'!$O:$O,$A5)),H$4&lt;&gt;14,H$4&lt;&gt;15),AVERAGEIFS('Data(perCrop)'!$A:$A,'Data(perCrop)'!$B:$B,H$3,'Data(perCrop)'!$H:$H,$A$1,'Data(perCrop)'!$O:$O,$A5),"")</f>
        <v/>
      </c>
      <c r="I5" s="46" t="str">
        <f>IF(AND(ISNUMBER(AVERAGEIFS('Data(perCrop)'!$A:$A,'Data(perCrop)'!$B:$B,I$3,'Data(perCrop)'!$H:$H,$A$1,'Data(perCrop)'!$O:$O,$A5)),I$4&lt;&gt;14,I$4&lt;&gt;15),AVERAGEIFS('Data(perCrop)'!$A:$A,'Data(perCrop)'!$B:$B,I$3,'Data(perCrop)'!$H:$H,$A$1,'Data(perCrop)'!$O:$O,$A5),"")</f>
        <v/>
      </c>
      <c r="J5" s="46" t="str">
        <f>IF(AND(ISNUMBER(AVERAGEIFS('Data(perCrop)'!$A:$A,'Data(perCrop)'!$B:$B,J$3,'Data(perCrop)'!$H:$H,$A$1,'Data(perCrop)'!$O:$O,$A5)),J$4&lt;&gt;14,J$4&lt;&gt;15),AVERAGEIFS('Data(perCrop)'!$A:$A,'Data(perCrop)'!$B:$B,J$3,'Data(perCrop)'!$H:$H,$A$1,'Data(perCrop)'!$O:$O,$A5),"")</f>
        <v/>
      </c>
      <c r="K5" s="46" t="str">
        <f>IF(AND(ISNUMBER(AVERAGEIFS('Data(perCrop)'!$A:$A,'Data(perCrop)'!$B:$B,K$3,'Data(perCrop)'!$H:$H,$A$1,'Data(perCrop)'!$O:$O,$A5)),K$4&lt;&gt;14,K$4&lt;&gt;15),AVERAGEIFS('Data(perCrop)'!$A:$A,'Data(perCrop)'!$B:$B,K$3,'Data(perCrop)'!$H:$H,$A$1,'Data(perCrop)'!$O:$O,$A5),"")</f>
        <v/>
      </c>
      <c r="L5" s="46" t="str">
        <f>IF(AND(ISNUMBER(AVERAGEIFS('Data(perCrop)'!$A:$A,'Data(perCrop)'!$B:$B,L$3,'Data(perCrop)'!$H:$H,$A$1,'Data(perCrop)'!$O:$O,$A5)),L$4&lt;&gt;14,L$4&lt;&gt;15),AVERAGEIFS('Data(perCrop)'!$A:$A,'Data(perCrop)'!$B:$B,L$3,'Data(perCrop)'!$H:$H,$A$1,'Data(perCrop)'!$O:$O,$A5),"")</f>
        <v/>
      </c>
      <c r="M5" s="46" t="str">
        <f>IF(AND(ISNUMBER(AVERAGEIFS('Data(perCrop)'!$A:$A,'Data(perCrop)'!$B:$B,M$3,'Data(perCrop)'!$H:$H,$A$1,'Data(perCrop)'!$O:$O,$A5)),M$4&lt;&gt;14,M$4&lt;&gt;15),AVERAGEIFS('Data(perCrop)'!$A:$A,'Data(perCrop)'!$B:$B,M$3,'Data(perCrop)'!$H:$H,$A$1,'Data(perCrop)'!$O:$O,$A5),"")</f>
        <v/>
      </c>
      <c r="N5" s="46" t="str">
        <f>IF(AND(ISNUMBER(AVERAGEIFS('Data(perCrop)'!$A:$A,'Data(perCrop)'!$B:$B,N$3,'Data(perCrop)'!$H:$H,$A$1,'Data(perCrop)'!$O:$O,$A5)),N$4&lt;&gt;14,N$4&lt;&gt;15),AVERAGEIFS('Data(perCrop)'!$A:$A,'Data(perCrop)'!$B:$B,N$3,'Data(perCrop)'!$H:$H,$A$1,'Data(perCrop)'!$O:$O,$A5),"")</f>
        <v/>
      </c>
      <c r="O5" s="46" t="str">
        <f>IF(AND(ISNUMBER(AVERAGEIFS('Data(perCrop)'!$A:$A,'Data(perCrop)'!$B:$B,O$3,'Data(perCrop)'!$H:$H,$A$1,'Data(perCrop)'!$O:$O,$A5)),O$4&lt;&gt;14,O$4&lt;&gt;15),AVERAGEIFS('Data(perCrop)'!$A:$A,'Data(perCrop)'!$B:$B,O$3,'Data(perCrop)'!$H:$H,$A$1,'Data(perCrop)'!$O:$O,$A5),"")</f>
        <v/>
      </c>
      <c r="P5" s="46" t="str">
        <f>IF(AND(ISNUMBER(AVERAGEIFS('Data(perCrop)'!$A:$A,'Data(perCrop)'!$B:$B,P$3,'Data(perCrop)'!$H:$H,$A$1,'Data(perCrop)'!$O:$O,$A5)),P$4&lt;&gt;14,P$4&lt;&gt;15),AVERAGEIFS('Data(perCrop)'!$A:$A,'Data(perCrop)'!$B:$B,P$3,'Data(perCrop)'!$H:$H,$A$1,'Data(perCrop)'!$O:$O,$A5),"")</f>
        <v/>
      </c>
      <c r="Q5" s="46" t="str">
        <f>IF(AND(ISNUMBER(AVERAGEIFS('Data(perCrop)'!$A:$A,'Data(perCrop)'!$B:$B,Q$3,'Data(perCrop)'!$H:$H,$A$1,'Data(perCrop)'!$O:$O,$A5)),Q$4&lt;&gt;14,Q$4&lt;&gt;15),AVERAGEIFS('Data(perCrop)'!$A:$A,'Data(perCrop)'!$B:$B,Q$3,'Data(perCrop)'!$H:$H,$A$1,'Data(perCrop)'!$O:$O,$A5),"")</f>
        <v/>
      </c>
      <c r="R5" s="46">
        <f>IF(AND(ISNUMBER(AVERAGEIFS('Data(perCrop)'!$A:$A,'Data(perCrop)'!$B:$B,R$3,'Data(perCrop)'!$H:$H,$A$1,'Data(perCrop)'!$O:$O,$A5)),R$4&lt;&gt;14,R$4&lt;&gt;15),AVERAGEIFS('Data(perCrop)'!$A:$A,'Data(perCrop)'!$B:$B,R$3,'Data(perCrop)'!$H:$H,$A$1,'Data(perCrop)'!$O:$O,$A5),"")</f>
        <v>1017.18025966717</v>
      </c>
      <c r="S5" s="46" t="str">
        <f>IF(AND(ISNUMBER(AVERAGEIFS('Data(perCrop)'!$A:$A,'Data(perCrop)'!$B:$B,S$3,'Data(perCrop)'!$H:$H,$A$1,'Data(perCrop)'!$O:$O,$A5)),S$4&lt;&gt;14,S$4&lt;&gt;15),AVERAGEIFS('Data(perCrop)'!$A:$A,'Data(perCrop)'!$B:$B,S$3,'Data(perCrop)'!$H:$H,$A$1,'Data(perCrop)'!$O:$O,$A5),"")</f>
        <v/>
      </c>
      <c r="T5" s="46" t="str">
        <f>IF(AND(ISNUMBER(AVERAGEIFS('Data(perCrop)'!$A:$A,'Data(perCrop)'!$B:$B,T$3,'Data(perCrop)'!$H:$H,$A$1,'Data(perCrop)'!$O:$O,$A5)),T$4&lt;&gt;14,T$4&lt;&gt;15),AVERAGEIFS('Data(perCrop)'!$A:$A,'Data(perCrop)'!$B:$B,T$3,'Data(perCrop)'!$H:$H,$A$1,'Data(perCrop)'!$O:$O,$A5),"")</f>
        <v/>
      </c>
      <c r="U5" s="46">
        <f>IF(AND(ISNUMBER(AVERAGEIFS('Data(perCrop)'!$A:$A,'Data(perCrop)'!$B:$B,U$3,'Data(perCrop)'!$H:$H,$A$1,'Data(perCrop)'!$O:$O,$A5)),U$4&lt;&gt;14,U$4&lt;&gt;15),AVERAGEIFS('Data(perCrop)'!$A:$A,'Data(perCrop)'!$B:$B,U$3,'Data(perCrop)'!$H:$H,$A$1,'Data(perCrop)'!$O:$O,$A5),"")</f>
        <v>1372.5328209895799</v>
      </c>
      <c r="V5" s="46" t="str">
        <f>IF(AND(ISNUMBER(AVERAGEIFS('Data(perCrop)'!$A:$A,'Data(perCrop)'!$B:$B,V$3,'Data(perCrop)'!$H:$H,$A$1,'Data(perCrop)'!$O:$O,$A5)),V$4&lt;&gt;14,V$4&lt;&gt;15),AVERAGEIFS('Data(perCrop)'!$A:$A,'Data(perCrop)'!$B:$B,V$3,'Data(perCrop)'!$H:$H,$A$1,'Data(perCrop)'!$O:$O,$A5),"")</f>
        <v/>
      </c>
      <c r="W5" s="46" t="str">
        <f>IF(AND(ISNUMBER(AVERAGEIFS('Data(perCrop)'!$A:$A,'Data(perCrop)'!$B:$B,W$3,'Data(perCrop)'!$H:$H,$A$1,'Data(perCrop)'!$O:$O,$A5)),W$4&lt;&gt;14,W$4&lt;&gt;15),AVERAGEIFS('Data(perCrop)'!$A:$A,'Data(perCrop)'!$B:$B,W$3,'Data(perCrop)'!$H:$H,$A$1,'Data(perCrop)'!$O:$O,$A5),"")</f>
        <v/>
      </c>
      <c r="X5" s="46" t="str">
        <f>IF(AND(ISNUMBER(AVERAGEIFS('Data(perCrop)'!$A:$A,'Data(perCrop)'!$B:$B,X$3,'Data(perCrop)'!$H:$H,$A$1,'Data(perCrop)'!$O:$O,$A5)),X$4&lt;&gt;14,X$4&lt;&gt;15),AVERAGEIFS('Data(perCrop)'!$A:$A,'Data(perCrop)'!$B:$B,X$3,'Data(perCrop)'!$H:$H,$A$1,'Data(perCrop)'!$O:$O,$A5),"")</f>
        <v/>
      </c>
      <c r="Y5" s="46" t="str">
        <f>IF(AND(ISNUMBER(AVERAGEIFS('Data(perCrop)'!$A:$A,'Data(perCrop)'!$B:$B,Y$3,'Data(perCrop)'!$H:$H,$A$1,'Data(perCrop)'!$O:$O,$A5)),Y$4&lt;&gt;14,Y$4&lt;&gt;15),AVERAGEIFS('Data(perCrop)'!$A:$A,'Data(perCrop)'!$B:$B,Y$3,'Data(perCrop)'!$H:$H,$A$1,'Data(perCrop)'!$O:$O,$A5),"")</f>
        <v/>
      </c>
      <c r="Z5" s="46" t="str">
        <f>IF(AND(ISNUMBER(AVERAGEIFS('Data(perCrop)'!$A:$A,'Data(perCrop)'!$B:$B,Z$3,'Data(perCrop)'!$H:$H,$A$1,'Data(perCrop)'!$O:$O,$A5)),Z$4&lt;&gt;14,Z$4&lt;&gt;15),AVERAGEIFS('Data(perCrop)'!$A:$A,'Data(perCrop)'!$B:$B,Z$3,'Data(perCrop)'!$H:$H,$A$1,'Data(perCrop)'!$O:$O,$A5),"")</f>
        <v/>
      </c>
      <c r="AA5" s="46" t="str">
        <f>IF(AND(ISNUMBER(AVERAGEIFS('Data(perCrop)'!$A:$A,'Data(perCrop)'!$B:$B,AA$3,'Data(perCrop)'!$H:$H,$A$1,'Data(perCrop)'!$O:$O,$A5)),AA$4&lt;&gt;14,AA$4&lt;&gt;15),AVERAGEIFS('Data(perCrop)'!$A:$A,'Data(perCrop)'!$B:$B,AA$3,'Data(perCrop)'!$H:$H,$A$1,'Data(perCrop)'!$O:$O,$A5),"")</f>
        <v/>
      </c>
      <c r="AB5" s="46" t="str">
        <f>IF(AND(ISNUMBER(AVERAGEIFS('Data(perCrop)'!$A:$A,'Data(perCrop)'!$B:$B,AB$3,'Data(perCrop)'!$H:$H,$A$1,'Data(perCrop)'!$O:$O,$A5)),AB$4&lt;&gt;14,AB$4&lt;&gt;15),AVERAGEIFS('Data(perCrop)'!$A:$A,'Data(perCrop)'!$B:$B,AB$3,'Data(perCrop)'!$H:$H,$A$1,'Data(perCrop)'!$O:$O,$A5),"")</f>
        <v/>
      </c>
      <c r="AC5" s="46" t="str">
        <f>IF(AND(ISNUMBER(AVERAGEIFS('Data(perCrop)'!$A:$A,'Data(perCrop)'!$B:$B,AC$3,'Data(perCrop)'!$H:$H,$A$1,'Data(perCrop)'!$O:$O,$A5)),AC$4&lt;&gt;14,AC$4&lt;&gt;15),AVERAGEIFS('Data(perCrop)'!$A:$A,'Data(perCrop)'!$B:$B,AC$3,'Data(perCrop)'!$H:$H,$A$1,'Data(perCrop)'!$O:$O,$A5),"")</f>
        <v/>
      </c>
      <c r="AD5" s="46" t="str">
        <f>IF(AND(ISNUMBER(AVERAGEIFS('Data(perCrop)'!$A:$A,'Data(perCrop)'!$B:$B,AD$3,'Data(perCrop)'!$H:$H,$A$1,'Data(perCrop)'!$O:$O,$A5)),AD$4&lt;&gt;14,AD$4&lt;&gt;15),AVERAGEIFS('Data(perCrop)'!$A:$A,'Data(perCrop)'!$B:$B,AD$3,'Data(perCrop)'!$H:$H,$A$1,'Data(perCrop)'!$O:$O,$A5),"")</f>
        <v/>
      </c>
      <c r="AE5" s="46" t="str">
        <f>IF(AND(ISNUMBER(AVERAGEIFS('Data(perCrop)'!$A:$A,'Data(perCrop)'!$B:$B,AE$3,'Data(perCrop)'!$H:$H,$A$1,'Data(perCrop)'!$O:$O,$A5)),AE$4&lt;&gt;14,AE$4&lt;&gt;15),AVERAGEIFS('Data(perCrop)'!$A:$A,'Data(perCrop)'!$B:$B,AE$3,'Data(perCrop)'!$H:$H,$A$1,'Data(perCrop)'!$O:$O,$A5),"")</f>
        <v/>
      </c>
      <c r="AF5" s="46" t="str">
        <f>IF(AND(ISNUMBER(AVERAGEIFS('Data(perCrop)'!$A:$A,'Data(perCrop)'!$B:$B,AF$3,'Data(perCrop)'!$H:$H,$A$1,'Data(perCrop)'!$O:$O,$A5)),AF$4&lt;&gt;14,AF$4&lt;&gt;15),AVERAGEIFS('Data(perCrop)'!$A:$A,'Data(perCrop)'!$B:$B,AF$3,'Data(perCrop)'!$H:$H,$A$1,'Data(perCrop)'!$O:$O,$A5),"")</f>
        <v/>
      </c>
    </row>
    <row r="6" spans="1:40" ht="18.75" x14ac:dyDescent="0.3">
      <c r="A6" s="42">
        <v>2019</v>
      </c>
      <c r="B6" s="46" t="str">
        <f>IF(AND(ISNUMBER(AVERAGEIFS('Data(perCrop)'!$A:$A,'Data(perCrop)'!$B:$B,B$3,'Data(perCrop)'!$H:$H,$A$1,'Data(perCrop)'!$O:$O,$A6)),B$4&lt;&gt;14,B$4&lt;&gt;15),AVERAGEIFS('Data(perCrop)'!$A:$A,'Data(perCrop)'!$B:$B,B$3,'Data(perCrop)'!$H:$H,$A$1,'Data(perCrop)'!$O:$O,$A6),"")</f>
        <v/>
      </c>
      <c r="C6" s="46">
        <f>IF(AND(ISNUMBER(AVERAGEIFS('Data(perCrop)'!$A:$A,'Data(perCrop)'!$B:$B,C$3,'Data(perCrop)'!$H:$H,$A$1,'Data(perCrop)'!$O:$O,$A6)),C$4&lt;&gt;14,C$4&lt;&gt;15),AVERAGEIFS('Data(perCrop)'!$A:$A,'Data(perCrop)'!$B:$B,C$3,'Data(perCrop)'!$H:$H,$A$1,'Data(perCrop)'!$O:$O,$A6),"")</f>
        <v>3323.70095410557</v>
      </c>
      <c r="D6" s="46" t="str">
        <f>IF(AND(ISNUMBER(AVERAGEIFS('Data(perCrop)'!$A:$A,'Data(perCrop)'!$B:$B,D$3,'Data(perCrop)'!$H:$H,$A$1,'Data(perCrop)'!$O:$O,$A6)),D$4&lt;&gt;14,D$4&lt;&gt;15),AVERAGEIFS('Data(perCrop)'!$A:$A,'Data(perCrop)'!$B:$B,D$3,'Data(perCrop)'!$H:$H,$A$1,'Data(perCrop)'!$O:$O,$A6),"")</f>
        <v/>
      </c>
      <c r="E6" s="46" t="str">
        <f>IF(AND(ISNUMBER(AVERAGEIFS('Data(perCrop)'!$A:$A,'Data(perCrop)'!$B:$B,E$3,'Data(perCrop)'!$H:$H,$A$1,'Data(perCrop)'!$O:$O,$A6)),E$4&lt;&gt;14,E$4&lt;&gt;15),AVERAGEIFS('Data(perCrop)'!$A:$A,'Data(perCrop)'!$B:$B,E$3,'Data(perCrop)'!$H:$H,$A$1,'Data(perCrop)'!$O:$O,$A6),"")</f>
        <v/>
      </c>
      <c r="F6" s="46" t="str">
        <f>IF(AND(ISNUMBER(AVERAGEIFS('Data(perCrop)'!$A:$A,'Data(perCrop)'!$B:$B,F$3,'Data(perCrop)'!$H:$H,$A$1,'Data(perCrop)'!$O:$O,$A6)),F$4&lt;&gt;14,F$4&lt;&gt;15),AVERAGEIFS('Data(perCrop)'!$A:$A,'Data(perCrop)'!$B:$B,F$3,'Data(perCrop)'!$H:$H,$A$1,'Data(perCrop)'!$O:$O,$A6),"")</f>
        <v/>
      </c>
      <c r="G6" s="46" t="str">
        <f>IF(AND(ISNUMBER(AVERAGEIFS('Data(perCrop)'!$A:$A,'Data(perCrop)'!$B:$B,G$3,'Data(perCrop)'!$H:$H,$A$1,'Data(perCrop)'!$O:$O,$A6)),G$4&lt;&gt;14,G$4&lt;&gt;15),AVERAGEIFS('Data(perCrop)'!$A:$A,'Data(perCrop)'!$B:$B,G$3,'Data(perCrop)'!$H:$H,$A$1,'Data(perCrop)'!$O:$O,$A6),"")</f>
        <v/>
      </c>
      <c r="H6" s="46" t="str">
        <f>IF(AND(ISNUMBER(AVERAGEIFS('Data(perCrop)'!$A:$A,'Data(perCrop)'!$B:$B,H$3,'Data(perCrop)'!$H:$H,$A$1,'Data(perCrop)'!$O:$O,$A6)),H$4&lt;&gt;14,H$4&lt;&gt;15),AVERAGEIFS('Data(perCrop)'!$A:$A,'Data(perCrop)'!$B:$B,H$3,'Data(perCrop)'!$H:$H,$A$1,'Data(perCrop)'!$O:$O,$A6),"")</f>
        <v/>
      </c>
      <c r="I6" s="46" t="str">
        <f>IF(AND(ISNUMBER(AVERAGEIFS('Data(perCrop)'!$A:$A,'Data(perCrop)'!$B:$B,I$3,'Data(perCrop)'!$H:$H,$A$1,'Data(perCrop)'!$O:$O,$A6)),I$4&lt;&gt;14,I$4&lt;&gt;15),AVERAGEIFS('Data(perCrop)'!$A:$A,'Data(perCrop)'!$B:$B,I$3,'Data(perCrop)'!$H:$H,$A$1,'Data(perCrop)'!$O:$O,$A6),"")</f>
        <v/>
      </c>
      <c r="J6" s="46" t="str">
        <f>IF(AND(ISNUMBER(AVERAGEIFS('Data(perCrop)'!$A:$A,'Data(perCrop)'!$B:$B,J$3,'Data(perCrop)'!$H:$H,$A$1,'Data(perCrop)'!$O:$O,$A6)),J$4&lt;&gt;14,J$4&lt;&gt;15),AVERAGEIFS('Data(perCrop)'!$A:$A,'Data(perCrop)'!$B:$B,J$3,'Data(perCrop)'!$H:$H,$A$1,'Data(perCrop)'!$O:$O,$A6),"")</f>
        <v/>
      </c>
      <c r="K6" s="46" t="str">
        <f>IF(AND(ISNUMBER(AVERAGEIFS('Data(perCrop)'!$A:$A,'Data(perCrop)'!$B:$B,K$3,'Data(perCrop)'!$H:$H,$A$1,'Data(perCrop)'!$O:$O,$A6)),K$4&lt;&gt;14,K$4&lt;&gt;15),AVERAGEIFS('Data(perCrop)'!$A:$A,'Data(perCrop)'!$B:$B,K$3,'Data(perCrop)'!$H:$H,$A$1,'Data(perCrop)'!$O:$O,$A6),"")</f>
        <v/>
      </c>
      <c r="L6" s="46" t="str">
        <f>IF(AND(ISNUMBER(AVERAGEIFS('Data(perCrop)'!$A:$A,'Data(perCrop)'!$B:$B,L$3,'Data(perCrop)'!$H:$H,$A$1,'Data(perCrop)'!$O:$O,$A6)),L$4&lt;&gt;14,L$4&lt;&gt;15),AVERAGEIFS('Data(perCrop)'!$A:$A,'Data(perCrop)'!$B:$B,L$3,'Data(perCrop)'!$H:$H,$A$1,'Data(perCrop)'!$O:$O,$A6),"")</f>
        <v/>
      </c>
      <c r="M6" s="46" t="str">
        <f>IF(AND(ISNUMBER(AVERAGEIFS('Data(perCrop)'!$A:$A,'Data(perCrop)'!$B:$B,M$3,'Data(perCrop)'!$H:$H,$A$1,'Data(perCrop)'!$O:$O,$A6)),M$4&lt;&gt;14,M$4&lt;&gt;15),AVERAGEIFS('Data(perCrop)'!$A:$A,'Data(perCrop)'!$B:$B,M$3,'Data(perCrop)'!$H:$H,$A$1,'Data(perCrop)'!$O:$O,$A6),"")</f>
        <v/>
      </c>
      <c r="N6" s="46" t="str">
        <f>IF(AND(ISNUMBER(AVERAGEIFS('Data(perCrop)'!$A:$A,'Data(perCrop)'!$B:$B,N$3,'Data(perCrop)'!$H:$H,$A$1,'Data(perCrop)'!$O:$O,$A6)),N$4&lt;&gt;14,N$4&lt;&gt;15),AVERAGEIFS('Data(perCrop)'!$A:$A,'Data(perCrop)'!$B:$B,N$3,'Data(perCrop)'!$H:$H,$A$1,'Data(perCrop)'!$O:$O,$A6),"")</f>
        <v/>
      </c>
      <c r="O6" s="46" t="str">
        <f>IF(AND(ISNUMBER(AVERAGEIFS('Data(perCrop)'!$A:$A,'Data(perCrop)'!$B:$B,O$3,'Data(perCrop)'!$H:$H,$A$1,'Data(perCrop)'!$O:$O,$A6)),O$4&lt;&gt;14,O$4&lt;&gt;15),AVERAGEIFS('Data(perCrop)'!$A:$A,'Data(perCrop)'!$B:$B,O$3,'Data(perCrop)'!$H:$H,$A$1,'Data(perCrop)'!$O:$O,$A6),"")</f>
        <v/>
      </c>
      <c r="P6" s="46" t="str">
        <f>IF(AND(ISNUMBER(AVERAGEIFS('Data(perCrop)'!$A:$A,'Data(perCrop)'!$B:$B,P$3,'Data(perCrop)'!$H:$H,$A$1,'Data(perCrop)'!$O:$O,$A6)),P$4&lt;&gt;14,P$4&lt;&gt;15),AVERAGEIFS('Data(perCrop)'!$A:$A,'Data(perCrop)'!$B:$B,P$3,'Data(perCrop)'!$H:$H,$A$1,'Data(perCrop)'!$O:$O,$A6),"")</f>
        <v/>
      </c>
      <c r="Q6" s="46" t="str">
        <f>IF(AND(ISNUMBER(AVERAGEIFS('Data(perCrop)'!$A:$A,'Data(perCrop)'!$B:$B,Q$3,'Data(perCrop)'!$H:$H,$A$1,'Data(perCrop)'!$O:$O,$A6)),Q$4&lt;&gt;14,Q$4&lt;&gt;15),AVERAGEIFS('Data(perCrop)'!$A:$A,'Data(perCrop)'!$B:$B,Q$3,'Data(perCrop)'!$H:$H,$A$1,'Data(perCrop)'!$O:$O,$A6),"")</f>
        <v/>
      </c>
      <c r="R6" s="46">
        <f>IF(AND(ISNUMBER(AVERAGEIFS('Data(perCrop)'!$A:$A,'Data(perCrop)'!$B:$B,R$3,'Data(perCrop)'!$H:$H,$A$1,'Data(perCrop)'!$O:$O,$A6)),R$4&lt;&gt;14,R$4&lt;&gt;15),AVERAGEIFS('Data(perCrop)'!$A:$A,'Data(perCrop)'!$B:$B,R$3,'Data(perCrop)'!$H:$H,$A$1,'Data(perCrop)'!$O:$O,$A6),"")</f>
        <v>1019.71806979807</v>
      </c>
      <c r="S6" s="46" t="str">
        <f>IF(AND(ISNUMBER(AVERAGEIFS('Data(perCrop)'!$A:$A,'Data(perCrop)'!$B:$B,S$3,'Data(perCrop)'!$H:$H,$A$1,'Data(perCrop)'!$O:$O,$A6)),S$4&lt;&gt;14,S$4&lt;&gt;15),AVERAGEIFS('Data(perCrop)'!$A:$A,'Data(perCrop)'!$B:$B,S$3,'Data(perCrop)'!$H:$H,$A$1,'Data(perCrop)'!$O:$O,$A6),"")</f>
        <v/>
      </c>
      <c r="T6" s="46" t="str">
        <f>IF(AND(ISNUMBER(AVERAGEIFS('Data(perCrop)'!$A:$A,'Data(perCrop)'!$B:$B,T$3,'Data(perCrop)'!$H:$H,$A$1,'Data(perCrop)'!$O:$O,$A6)),T$4&lt;&gt;14,T$4&lt;&gt;15),AVERAGEIFS('Data(perCrop)'!$A:$A,'Data(perCrop)'!$B:$B,T$3,'Data(perCrop)'!$H:$H,$A$1,'Data(perCrop)'!$O:$O,$A6),"")</f>
        <v/>
      </c>
      <c r="U6" s="46">
        <f>IF(AND(ISNUMBER(AVERAGEIFS('Data(perCrop)'!$A:$A,'Data(perCrop)'!$B:$B,U$3,'Data(perCrop)'!$H:$H,$A$1,'Data(perCrop)'!$O:$O,$A6)),U$4&lt;&gt;14,U$4&lt;&gt;15),AVERAGEIFS('Data(perCrop)'!$A:$A,'Data(perCrop)'!$B:$B,U$3,'Data(perCrop)'!$H:$H,$A$1,'Data(perCrop)'!$O:$O,$A6),"")</f>
        <v>5645.1071199767503</v>
      </c>
      <c r="V6" s="46" t="str">
        <f>IF(AND(ISNUMBER(AVERAGEIFS('Data(perCrop)'!$A:$A,'Data(perCrop)'!$B:$B,V$3,'Data(perCrop)'!$H:$H,$A$1,'Data(perCrop)'!$O:$O,$A6)),V$4&lt;&gt;14,V$4&lt;&gt;15),AVERAGEIFS('Data(perCrop)'!$A:$A,'Data(perCrop)'!$B:$B,V$3,'Data(perCrop)'!$H:$H,$A$1,'Data(perCrop)'!$O:$O,$A6),"")</f>
        <v/>
      </c>
      <c r="W6" s="46" t="str">
        <f>IF(AND(ISNUMBER(AVERAGEIFS('Data(perCrop)'!$A:$A,'Data(perCrop)'!$B:$B,W$3,'Data(perCrop)'!$H:$H,$A$1,'Data(perCrop)'!$O:$O,$A6)),W$4&lt;&gt;14,W$4&lt;&gt;15),AVERAGEIFS('Data(perCrop)'!$A:$A,'Data(perCrop)'!$B:$B,W$3,'Data(perCrop)'!$H:$H,$A$1,'Data(perCrop)'!$O:$O,$A6),"")</f>
        <v/>
      </c>
      <c r="X6" s="46" t="str">
        <f>IF(AND(ISNUMBER(AVERAGEIFS('Data(perCrop)'!$A:$A,'Data(perCrop)'!$B:$B,X$3,'Data(perCrop)'!$H:$H,$A$1,'Data(perCrop)'!$O:$O,$A6)),X$4&lt;&gt;14,X$4&lt;&gt;15),AVERAGEIFS('Data(perCrop)'!$A:$A,'Data(perCrop)'!$B:$B,X$3,'Data(perCrop)'!$H:$H,$A$1,'Data(perCrop)'!$O:$O,$A6),"")</f>
        <v/>
      </c>
      <c r="Y6" s="46" t="str">
        <f>IF(AND(ISNUMBER(AVERAGEIFS('Data(perCrop)'!$A:$A,'Data(perCrop)'!$B:$B,Y$3,'Data(perCrop)'!$H:$H,$A$1,'Data(perCrop)'!$O:$O,$A6)),Y$4&lt;&gt;14,Y$4&lt;&gt;15),AVERAGEIFS('Data(perCrop)'!$A:$A,'Data(perCrop)'!$B:$B,Y$3,'Data(perCrop)'!$H:$H,$A$1,'Data(perCrop)'!$O:$O,$A6),"")</f>
        <v/>
      </c>
      <c r="Z6" s="46" t="str">
        <f>IF(AND(ISNUMBER(AVERAGEIFS('Data(perCrop)'!$A:$A,'Data(perCrop)'!$B:$B,Z$3,'Data(perCrop)'!$H:$H,$A$1,'Data(perCrop)'!$O:$O,$A6)),Z$4&lt;&gt;14,Z$4&lt;&gt;15),AVERAGEIFS('Data(perCrop)'!$A:$A,'Data(perCrop)'!$B:$B,Z$3,'Data(perCrop)'!$H:$H,$A$1,'Data(perCrop)'!$O:$O,$A6),"")</f>
        <v/>
      </c>
      <c r="AA6" s="46" t="str">
        <f>IF(AND(ISNUMBER(AVERAGEIFS('Data(perCrop)'!$A:$A,'Data(perCrop)'!$B:$B,AA$3,'Data(perCrop)'!$H:$H,$A$1,'Data(perCrop)'!$O:$O,$A6)),AA$4&lt;&gt;14,AA$4&lt;&gt;15),AVERAGEIFS('Data(perCrop)'!$A:$A,'Data(perCrop)'!$B:$B,AA$3,'Data(perCrop)'!$H:$H,$A$1,'Data(perCrop)'!$O:$O,$A6),"")</f>
        <v/>
      </c>
      <c r="AB6" s="46" t="str">
        <f>IF(AND(ISNUMBER(AVERAGEIFS('Data(perCrop)'!$A:$A,'Data(perCrop)'!$B:$B,AB$3,'Data(perCrop)'!$H:$H,$A$1,'Data(perCrop)'!$O:$O,$A6)),AB$4&lt;&gt;14,AB$4&lt;&gt;15),AVERAGEIFS('Data(perCrop)'!$A:$A,'Data(perCrop)'!$B:$B,AB$3,'Data(perCrop)'!$H:$H,$A$1,'Data(perCrop)'!$O:$O,$A6),"")</f>
        <v/>
      </c>
      <c r="AC6" s="46" t="str">
        <f>IF(AND(ISNUMBER(AVERAGEIFS('Data(perCrop)'!$A:$A,'Data(perCrop)'!$B:$B,AC$3,'Data(perCrop)'!$H:$H,$A$1,'Data(perCrop)'!$O:$O,$A6)),AC$4&lt;&gt;14,AC$4&lt;&gt;15),AVERAGEIFS('Data(perCrop)'!$A:$A,'Data(perCrop)'!$B:$B,AC$3,'Data(perCrop)'!$H:$H,$A$1,'Data(perCrop)'!$O:$O,$A6),"")</f>
        <v/>
      </c>
      <c r="AD6" s="46" t="str">
        <f>IF(AND(ISNUMBER(AVERAGEIFS('Data(perCrop)'!$A:$A,'Data(perCrop)'!$B:$B,AD$3,'Data(perCrop)'!$H:$H,$A$1,'Data(perCrop)'!$O:$O,$A6)),AD$4&lt;&gt;14,AD$4&lt;&gt;15),AVERAGEIFS('Data(perCrop)'!$A:$A,'Data(perCrop)'!$B:$B,AD$3,'Data(perCrop)'!$H:$H,$A$1,'Data(perCrop)'!$O:$O,$A6),"")</f>
        <v/>
      </c>
      <c r="AE6" s="46" t="str">
        <f>IF(AND(ISNUMBER(AVERAGEIFS('Data(perCrop)'!$A:$A,'Data(perCrop)'!$B:$B,AE$3,'Data(perCrop)'!$H:$H,$A$1,'Data(perCrop)'!$O:$O,$A6)),AE$4&lt;&gt;14,AE$4&lt;&gt;15),AVERAGEIFS('Data(perCrop)'!$A:$A,'Data(perCrop)'!$B:$B,AE$3,'Data(perCrop)'!$H:$H,$A$1,'Data(perCrop)'!$O:$O,$A6),"")</f>
        <v/>
      </c>
      <c r="AF6" s="46" t="str">
        <f>IF(AND(ISNUMBER(AVERAGEIFS('Data(perCrop)'!$A:$A,'Data(perCrop)'!$B:$B,AF$3,'Data(perCrop)'!$H:$H,$A$1,'Data(perCrop)'!$O:$O,$A6)),AF$4&lt;&gt;14,AF$4&lt;&gt;15),AVERAGEIFS('Data(perCrop)'!$A:$A,'Data(perCrop)'!$B:$B,AF$3,'Data(perCrop)'!$H:$H,$A$1,'Data(perCrop)'!$O:$O,$A6),"")</f>
        <v/>
      </c>
    </row>
    <row r="7" spans="1:40" ht="18.75" x14ac:dyDescent="0.3">
      <c r="A7" s="42">
        <v>2020</v>
      </c>
      <c r="B7" s="46" t="str">
        <f>IF(AND(ISNUMBER(AVERAGEIFS('Data(perCrop)'!$A:$A,'Data(perCrop)'!$B:$B,B$3,'Data(perCrop)'!$H:$H,$A$1,'Data(perCrop)'!$O:$O,$A7)),B$4&lt;&gt;14,B$4&lt;&gt;15),AVERAGEIFS('Data(perCrop)'!$A:$A,'Data(perCrop)'!$B:$B,B$3,'Data(perCrop)'!$H:$H,$A$1,'Data(perCrop)'!$O:$O,$A7),"")</f>
        <v/>
      </c>
      <c r="C7" s="46">
        <f>IF(AND(ISNUMBER(AVERAGEIFS('Data(perCrop)'!$A:$A,'Data(perCrop)'!$B:$B,C$3,'Data(perCrop)'!$H:$H,$A$1,'Data(perCrop)'!$O:$O,$A7)),C$4&lt;&gt;14,C$4&lt;&gt;15),AVERAGEIFS('Data(perCrop)'!$A:$A,'Data(perCrop)'!$B:$B,C$3,'Data(perCrop)'!$H:$H,$A$1,'Data(perCrop)'!$O:$O,$A7),"")</f>
        <v>4042.2027212005</v>
      </c>
      <c r="D7" s="46" t="str">
        <f>IF(AND(ISNUMBER(AVERAGEIFS('Data(perCrop)'!$A:$A,'Data(perCrop)'!$B:$B,D$3,'Data(perCrop)'!$H:$H,$A$1,'Data(perCrop)'!$O:$O,$A7)),D$4&lt;&gt;14,D$4&lt;&gt;15),AVERAGEIFS('Data(perCrop)'!$A:$A,'Data(perCrop)'!$B:$B,D$3,'Data(perCrop)'!$H:$H,$A$1,'Data(perCrop)'!$O:$O,$A7),"")</f>
        <v/>
      </c>
      <c r="E7" s="46" t="str">
        <f>IF(AND(ISNUMBER(AVERAGEIFS('Data(perCrop)'!$A:$A,'Data(perCrop)'!$B:$B,E$3,'Data(perCrop)'!$H:$H,$A$1,'Data(perCrop)'!$O:$O,$A7)),E$4&lt;&gt;14,E$4&lt;&gt;15),AVERAGEIFS('Data(perCrop)'!$A:$A,'Data(perCrop)'!$B:$B,E$3,'Data(perCrop)'!$H:$H,$A$1,'Data(perCrop)'!$O:$O,$A7),"")</f>
        <v/>
      </c>
      <c r="F7" s="46" t="str">
        <f>IF(AND(ISNUMBER(AVERAGEIFS('Data(perCrop)'!$A:$A,'Data(perCrop)'!$B:$B,F$3,'Data(perCrop)'!$H:$H,$A$1,'Data(perCrop)'!$O:$O,$A7)),F$4&lt;&gt;14,F$4&lt;&gt;15),AVERAGEIFS('Data(perCrop)'!$A:$A,'Data(perCrop)'!$B:$B,F$3,'Data(perCrop)'!$H:$H,$A$1,'Data(perCrop)'!$O:$O,$A7),"")</f>
        <v/>
      </c>
      <c r="G7" s="46" t="str">
        <f>IF(AND(ISNUMBER(AVERAGEIFS('Data(perCrop)'!$A:$A,'Data(perCrop)'!$B:$B,G$3,'Data(perCrop)'!$H:$H,$A$1,'Data(perCrop)'!$O:$O,$A7)),G$4&lt;&gt;14,G$4&lt;&gt;15),AVERAGEIFS('Data(perCrop)'!$A:$A,'Data(perCrop)'!$B:$B,G$3,'Data(perCrop)'!$H:$H,$A$1,'Data(perCrop)'!$O:$O,$A7),"")</f>
        <v/>
      </c>
      <c r="H7" s="46" t="str">
        <f>IF(AND(ISNUMBER(AVERAGEIFS('Data(perCrop)'!$A:$A,'Data(perCrop)'!$B:$B,H$3,'Data(perCrop)'!$H:$H,$A$1,'Data(perCrop)'!$O:$O,$A7)),H$4&lt;&gt;14,H$4&lt;&gt;15),AVERAGEIFS('Data(perCrop)'!$A:$A,'Data(perCrop)'!$B:$B,H$3,'Data(perCrop)'!$H:$H,$A$1,'Data(perCrop)'!$O:$O,$A7),"")</f>
        <v/>
      </c>
      <c r="I7" s="46" t="str">
        <f>IF(AND(ISNUMBER(AVERAGEIFS('Data(perCrop)'!$A:$A,'Data(perCrop)'!$B:$B,I$3,'Data(perCrop)'!$H:$H,$A$1,'Data(perCrop)'!$O:$O,$A7)),I$4&lt;&gt;14,I$4&lt;&gt;15),AVERAGEIFS('Data(perCrop)'!$A:$A,'Data(perCrop)'!$B:$B,I$3,'Data(perCrop)'!$H:$H,$A$1,'Data(perCrop)'!$O:$O,$A7),"")</f>
        <v/>
      </c>
      <c r="J7" s="46" t="str">
        <f>IF(AND(ISNUMBER(AVERAGEIFS('Data(perCrop)'!$A:$A,'Data(perCrop)'!$B:$B,J$3,'Data(perCrop)'!$H:$H,$A$1,'Data(perCrop)'!$O:$O,$A7)),J$4&lt;&gt;14,J$4&lt;&gt;15),AVERAGEIFS('Data(perCrop)'!$A:$A,'Data(perCrop)'!$B:$B,J$3,'Data(perCrop)'!$H:$H,$A$1,'Data(perCrop)'!$O:$O,$A7),"")</f>
        <v/>
      </c>
      <c r="K7" s="46" t="str">
        <f>IF(AND(ISNUMBER(AVERAGEIFS('Data(perCrop)'!$A:$A,'Data(perCrop)'!$B:$B,K$3,'Data(perCrop)'!$H:$H,$A$1,'Data(perCrop)'!$O:$O,$A7)),K$4&lt;&gt;14,K$4&lt;&gt;15),AVERAGEIFS('Data(perCrop)'!$A:$A,'Data(perCrop)'!$B:$B,K$3,'Data(perCrop)'!$H:$H,$A$1,'Data(perCrop)'!$O:$O,$A7),"")</f>
        <v/>
      </c>
      <c r="L7" s="46" t="str">
        <f>IF(AND(ISNUMBER(AVERAGEIFS('Data(perCrop)'!$A:$A,'Data(perCrop)'!$B:$B,L$3,'Data(perCrop)'!$H:$H,$A$1,'Data(perCrop)'!$O:$O,$A7)),L$4&lt;&gt;14,L$4&lt;&gt;15),AVERAGEIFS('Data(perCrop)'!$A:$A,'Data(perCrop)'!$B:$B,L$3,'Data(perCrop)'!$H:$H,$A$1,'Data(perCrop)'!$O:$O,$A7),"")</f>
        <v/>
      </c>
      <c r="M7" s="46" t="str">
        <f>IF(AND(ISNUMBER(AVERAGEIFS('Data(perCrop)'!$A:$A,'Data(perCrop)'!$B:$B,M$3,'Data(perCrop)'!$H:$H,$A$1,'Data(perCrop)'!$O:$O,$A7)),M$4&lt;&gt;14,M$4&lt;&gt;15),AVERAGEIFS('Data(perCrop)'!$A:$A,'Data(perCrop)'!$B:$B,M$3,'Data(perCrop)'!$H:$H,$A$1,'Data(perCrop)'!$O:$O,$A7),"")</f>
        <v/>
      </c>
      <c r="N7" s="46" t="str">
        <f>IF(AND(ISNUMBER(AVERAGEIFS('Data(perCrop)'!$A:$A,'Data(perCrop)'!$B:$B,N$3,'Data(perCrop)'!$H:$H,$A$1,'Data(perCrop)'!$O:$O,$A7)),N$4&lt;&gt;14,N$4&lt;&gt;15),AVERAGEIFS('Data(perCrop)'!$A:$A,'Data(perCrop)'!$B:$B,N$3,'Data(perCrop)'!$H:$H,$A$1,'Data(perCrop)'!$O:$O,$A7),"")</f>
        <v/>
      </c>
      <c r="O7" s="46" t="str">
        <f>IF(AND(ISNUMBER(AVERAGEIFS('Data(perCrop)'!$A:$A,'Data(perCrop)'!$B:$B,O$3,'Data(perCrop)'!$H:$H,$A$1,'Data(perCrop)'!$O:$O,$A7)),O$4&lt;&gt;14,O$4&lt;&gt;15),AVERAGEIFS('Data(perCrop)'!$A:$A,'Data(perCrop)'!$B:$B,O$3,'Data(perCrop)'!$H:$H,$A$1,'Data(perCrop)'!$O:$O,$A7),"")</f>
        <v/>
      </c>
      <c r="P7" s="46" t="str">
        <f>IF(AND(ISNUMBER(AVERAGEIFS('Data(perCrop)'!$A:$A,'Data(perCrop)'!$B:$B,P$3,'Data(perCrop)'!$H:$H,$A$1,'Data(perCrop)'!$O:$O,$A7)),P$4&lt;&gt;14,P$4&lt;&gt;15),AVERAGEIFS('Data(perCrop)'!$A:$A,'Data(perCrop)'!$B:$B,P$3,'Data(perCrop)'!$H:$H,$A$1,'Data(perCrop)'!$O:$O,$A7),"")</f>
        <v/>
      </c>
      <c r="Q7" s="46" t="str">
        <f>IF(AND(ISNUMBER(AVERAGEIFS('Data(perCrop)'!$A:$A,'Data(perCrop)'!$B:$B,Q$3,'Data(perCrop)'!$H:$H,$A$1,'Data(perCrop)'!$O:$O,$A7)),Q$4&lt;&gt;14,Q$4&lt;&gt;15),AVERAGEIFS('Data(perCrop)'!$A:$A,'Data(perCrop)'!$B:$B,Q$3,'Data(perCrop)'!$H:$H,$A$1,'Data(perCrop)'!$O:$O,$A7),"")</f>
        <v/>
      </c>
      <c r="R7" s="46">
        <f>IF(AND(ISNUMBER(AVERAGEIFS('Data(perCrop)'!$A:$A,'Data(perCrop)'!$B:$B,R$3,'Data(perCrop)'!$H:$H,$A$1,'Data(perCrop)'!$O:$O,$A7)),R$4&lt;&gt;14,R$4&lt;&gt;15),AVERAGEIFS('Data(perCrop)'!$A:$A,'Data(perCrop)'!$B:$B,R$3,'Data(perCrop)'!$H:$H,$A$1,'Data(perCrop)'!$O:$O,$A7),"")</f>
        <v>783.95727865414597</v>
      </c>
      <c r="S7" s="46" t="str">
        <f>IF(AND(ISNUMBER(AVERAGEIFS('Data(perCrop)'!$A:$A,'Data(perCrop)'!$B:$B,S$3,'Data(perCrop)'!$H:$H,$A$1,'Data(perCrop)'!$O:$O,$A7)),S$4&lt;&gt;14,S$4&lt;&gt;15),AVERAGEIFS('Data(perCrop)'!$A:$A,'Data(perCrop)'!$B:$B,S$3,'Data(perCrop)'!$H:$H,$A$1,'Data(perCrop)'!$O:$O,$A7),"")</f>
        <v/>
      </c>
      <c r="T7" s="46" t="str">
        <f>IF(AND(ISNUMBER(AVERAGEIFS('Data(perCrop)'!$A:$A,'Data(perCrop)'!$B:$B,T$3,'Data(perCrop)'!$H:$H,$A$1,'Data(perCrop)'!$O:$O,$A7)),T$4&lt;&gt;14,T$4&lt;&gt;15),AVERAGEIFS('Data(perCrop)'!$A:$A,'Data(perCrop)'!$B:$B,T$3,'Data(perCrop)'!$H:$H,$A$1,'Data(perCrop)'!$O:$O,$A7),"")</f>
        <v/>
      </c>
      <c r="U7" s="46">
        <f>IF(AND(ISNUMBER(AVERAGEIFS('Data(perCrop)'!$A:$A,'Data(perCrop)'!$B:$B,U$3,'Data(perCrop)'!$H:$H,$A$1,'Data(perCrop)'!$O:$O,$A7)),U$4&lt;&gt;14,U$4&lt;&gt;15),AVERAGEIFS('Data(perCrop)'!$A:$A,'Data(perCrop)'!$B:$B,U$3,'Data(perCrop)'!$H:$H,$A$1,'Data(perCrop)'!$O:$O,$A7),"")</f>
        <v>539.54579423809798</v>
      </c>
      <c r="V7" s="46" t="str">
        <f>IF(AND(ISNUMBER(AVERAGEIFS('Data(perCrop)'!$A:$A,'Data(perCrop)'!$B:$B,V$3,'Data(perCrop)'!$H:$H,$A$1,'Data(perCrop)'!$O:$O,$A7)),V$4&lt;&gt;14,V$4&lt;&gt;15),AVERAGEIFS('Data(perCrop)'!$A:$A,'Data(perCrop)'!$B:$B,V$3,'Data(perCrop)'!$H:$H,$A$1,'Data(perCrop)'!$O:$O,$A7),"")</f>
        <v/>
      </c>
      <c r="W7" s="46" t="str">
        <f>IF(AND(ISNUMBER(AVERAGEIFS('Data(perCrop)'!$A:$A,'Data(perCrop)'!$B:$B,W$3,'Data(perCrop)'!$H:$H,$A$1,'Data(perCrop)'!$O:$O,$A7)),W$4&lt;&gt;14,W$4&lt;&gt;15),AVERAGEIFS('Data(perCrop)'!$A:$A,'Data(perCrop)'!$B:$B,W$3,'Data(perCrop)'!$H:$H,$A$1,'Data(perCrop)'!$O:$O,$A7),"")</f>
        <v/>
      </c>
      <c r="X7" s="46" t="str">
        <f>IF(AND(ISNUMBER(AVERAGEIFS('Data(perCrop)'!$A:$A,'Data(perCrop)'!$B:$B,X$3,'Data(perCrop)'!$H:$H,$A$1,'Data(perCrop)'!$O:$O,$A7)),X$4&lt;&gt;14,X$4&lt;&gt;15),AVERAGEIFS('Data(perCrop)'!$A:$A,'Data(perCrop)'!$B:$B,X$3,'Data(perCrop)'!$H:$H,$A$1,'Data(perCrop)'!$O:$O,$A7),"")</f>
        <v/>
      </c>
      <c r="Y7" s="46" t="str">
        <f>IF(AND(ISNUMBER(AVERAGEIFS('Data(perCrop)'!$A:$A,'Data(perCrop)'!$B:$B,Y$3,'Data(perCrop)'!$H:$H,$A$1,'Data(perCrop)'!$O:$O,$A7)),Y$4&lt;&gt;14,Y$4&lt;&gt;15),AVERAGEIFS('Data(perCrop)'!$A:$A,'Data(perCrop)'!$B:$B,Y$3,'Data(perCrop)'!$H:$H,$A$1,'Data(perCrop)'!$O:$O,$A7),"")</f>
        <v/>
      </c>
      <c r="Z7" s="46" t="str">
        <f>IF(AND(ISNUMBER(AVERAGEIFS('Data(perCrop)'!$A:$A,'Data(perCrop)'!$B:$B,Z$3,'Data(perCrop)'!$H:$H,$A$1,'Data(perCrop)'!$O:$O,$A7)),Z$4&lt;&gt;14,Z$4&lt;&gt;15),AVERAGEIFS('Data(perCrop)'!$A:$A,'Data(perCrop)'!$B:$B,Z$3,'Data(perCrop)'!$H:$H,$A$1,'Data(perCrop)'!$O:$O,$A7),"")</f>
        <v/>
      </c>
      <c r="AA7" s="46" t="str">
        <f>IF(AND(ISNUMBER(AVERAGEIFS('Data(perCrop)'!$A:$A,'Data(perCrop)'!$B:$B,AA$3,'Data(perCrop)'!$H:$H,$A$1,'Data(perCrop)'!$O:$O,$A7)),AA$4&lt;&gt;14,AA$4&lt;&gt;15),AVERAGEIFS('Data(perCrop)'!$A:$A,'Data(perCrop)'!$B:$B,AA$3,'Data(perCrop)'!$H:$H,$A$1,'Data(perCrop)'!$O:$O,$A7),"")</f>
        <v/>
      </c>
      <c r="AB7" s="46" t="str">
        <f>IF(AND(ISNUMBER(AVERAGEIFS('Data(perCrop)'!$A:$A,'Data(perCrop)'!$B:$B,AB$3,'Data(perCrop)'!$H:$H,$A$1,'Data(perCrop)'!$O:$O,$A7)),AB$4&lt;&gt;14,AB$4&lt;&gt;15),AVERAGEIFS('Data(perCrop)'!$A:$A,'Data(perCrop)'!$B:$B,AB$3,'Data(perCrop)'!$H:$H,$A$1,'Data(perCrop)'!$O:$O,$A7),"")</f>
        <v/>
      </c>
      <c r="AC7" s="46" t="str">
        <f>IF(AND(ISNUMBER(AVERAGEIFS('Data(perCrop)'!$A:$A,'Data(perCrop)'!$B:$B,AC$3,'Data(perCrop)'!$H:$H,$A$1,'Data(perCrop)'!$O:$O,$A7)),AC$4&lt;&gt;14,AC$4&lt;&gt;15),AVERAGEIFS('Data(perCrop)'!$A:$A,'Data(perCrop)'!$B:$B,AC$3,'Data(perCrop)'!$H:$H,$A$1,'Data(perCrop)'!$O:$O,$A7),"")</f>
        <v/>
      </c>
      <c r="AD7" s="46" t="str">
        <f>IF(AND(ISNUMBER(AVERAGEIFS('Data(perCrop)'!$A:$A,'Data(perCrop)'!$B:$B,AD$3,'Data(perCrop)'!$H:$H,$A$1,'Data(perCrop)'!$O:$O,$A7)),AD$4&lt;&gt;14,AD$4&lt;&gt;15),AVERAGEIFS('Data(perCrop)'!$A:$A,'Data(perCrop)'!$B:$B,AD$3,'Data(perCrop)'!$H:$H,$A$1,'Data(perCrop)'!$O:$O,$A7),"")</f>
        <v/>
      </c>
      <c r="AE7" s="46" t="str">
        <f>IF(AND(ISNUMBER(AVERAGEIFS('Data(perCrop)'!$A:$A,'Data(perCrop)'!$B:$B,AE$3,'Data(perCrop)'!$H:$H,$A$1,'Data(perCrop)'!$O:$O,$A7)),AE$4&lt;&gt;14,AE$4&lt;&gt;15),AVERAGEIFS('Data(perCrop)'!$A:$A,'Data(perCrop)'!$B:$B,AE$3,'Data(perCrop)'!$H:$H,$A$1,'Data(perCrop)'!$O:$O,$A7),"")</f>
        <v/>
      </c>
      <c r="AF7" s="46" t="str">
        <f>IF(AND(ISNUMBER(AVERAGEIFS('Data(perCrop)'!$A:$A,'Data(perCrop)'!$B:$B,AF$3,'Data(perCrop)'!$H:$H,$A$1,'Data(perCrop)'!$O:$O,$A7)),AF$4&lt;&gt;14,AF$4&lt;&gt;15),AVERAGEIFS('Data(perCrop)'!$A:$A,'Data(perCrop)'!$B:$B,AF$3,'Data(perCrop)'!$H:$H,$A$1,'Data(perCrop)'!$O:$O,$A7),"")</f>
        <v/>
      </c>
    </row>
    <row r="8" spans="1:40" ht="18.75" x14ac:dyDescent="0.3">
      <c r="A8" s="42">
        <v>2021</v>
      </c>
      <c r="B8" s="46" t="str">
        <f>IF(AND(ISNUMBER(AVERAGEIFS('Data(perCrop)'!$A:$A,'Data(perCrop)'!$B:$B,B$3,'Data(perCrop)'!$H:$H,$A$1,'Data(perCrop)'!$O:$O,$A8)),B$4&lt;&gt;14,B$4&lt;&gt;15),AVERAGEIFS('Data(perCrop)'!$A:$A,'Data(perCrop)'!$B:$B,B$3,'Data(perCrop)'!$H:$H,$A$1,'Data(perCrop)'!$O:$O,$A8),"")</f>
        <v/>
      </c>
      <c r="C8" s="46">
        <f>IF(AND(ISNUMBER(AVERAGEIFS('Data(perCrop)'!$A:$A,'Data(perCrop)'!$B:$B,C$3,'Data(perCrop)'!$H:$H,$A$1,'Data(perCrop)'!$O:$O,$A8)),C$4&lt;&gt;14,C$4&lt;&gt;15),AVERAGEIFS('Data(perCrop)'!$A:$A,'Data(perCrop)'!$B:$B,C$3,'Data(perCrop)'!$H:$H,$A$1,'Data(perCrop)'!$O:$O,$A8),"")</f>
        <v>4722.5405967596198</v>
      </c>
      <c r="D8" s="46" t="str">
        <f>IF(AND(ISNUMBER(AVERAGEIFS('Data(perCrop)'!$A:$A,'Data(perCrop)'!$B:$B,D$3,'Data(perCrop)'!$H:$H,$A$1,'Data(perCrop)'!$O:$O,$A8)),D$4&lt;&gt;14,D$4&lt;&gt;15),AVERAGEIFS('Data(perCrop)'!$A:$A,'Data(perCrop)'!$B:$B,D$3,'Data(perCrop)'!$H:$H,$A$1,'Data(perCrop)'!$O:$O,$A8),"")</f>
        <v/>
      </c>
      <c r="E8" s="46" t="str">
        <f>IF(AND(ISNUMBER(AVERAGEIFS('Data(perCrop)'!$A:$A,'Data(perCrop)'!$B:$B,E$3,'Data(perCrop)'!$H:$H,$A$1,'Data(perCrop)'!$O:$O,$A8)),E$4&lt;&gt;14,E$4&lt;&gt;15),AVERAGEIFS('Data(perCrop)'!$A:$A,'Data(perCrop)'!$B:$B,E$3,'Data(perCrop)'!$H:$H,$A$1,'Data(perCrop)'!$O:$O,$A8),"")</f>
        <v/>
      </c>
      <c r="F8" s="46" t="str">
        <f>IF(AND(ISNUMBER(AVERAGEIFS('Data(perCrop)'!$A:$A,'Data(perCrop)'!$B:$B,F$3,'Data(perCrop)'!$H:$H,$A$1,'Data(perCrop)'!$O:$O,$A8)),F$4&lt;&gt;14,F$4&lt;&gt;15),AVERAGEIFS('Data(perCrop)'!$A:$A,'Data(perCrop)'!$B:$B,F$3,'Data(perCrop)'!$H:$H,$A$1,'Data(perCrop)'!$O:$O,$A8),"")</f>
        <v/>
      </c>
      <c r="G8" s="46" t="str">
        <f>IF(AND(ISNUMBER(AVERAGEIFS('Data(perCrop)'!$A:$A,'Data(perCrop)'!$B:$B,G$3,'Data(perCrop)'!$H:$H,$A$1,'Data(perCrop)'!$O:$O,$A8)),G$4&lt;&gt;14,G$4&lt;&gt;15),AVERAGEIFS('Data(perCrop)'!$A:$A,'Data(perCrop)'!$B:$B,G$3,'Data(perCrop)'!$H:$H,$A$1,'Data(perCrop)'!$O:$O,$A8),"")</f>
        <v/>
      </c>
      <c r="H8" s="46" t="str">
        <f>IF(AND(ISNUMBER(AVERAGEIFS('Data(perCrop)'!$A:$A,'Data(perCrop)'!$B:$B,H$3,'Data(perCrop)'!$H:$H,$A$1,'Data(perCrop)'!$O:$O,$A8)),H$4&lt;&gt;14,H$4&lt;&gt;15),AVERAGEIFS('Data(perCrop)'!$A:$A,'Data(perCrop)'!$B:$B,H$3,'Data(perCrop)'!$H:$H,$A$1,'Data(perCrop)'!$O:$O,$A8),"")</f>
        <v/>
      </c>
      <c r="I8" s="46" t="str">
        <f>IF(AND(ISNUMBER(AVERAGEIFS('Data(perCrop)'!$A:$A,'Data(perCrop)'!$B:$B,I$3,'Data(perCrop)'!$H:$H,$A$1,'Data(perCrop)'!$O:$O,$A8)),I$4&lt;&gt;14,I$4&lt;&gt;15),AVERAGEIFS('Data(perCrop)'!$A:$A,'Data(perCrop)'!$B:$B,I$3,'Data(perCrop)'!$H:$H,$A$1,'Data(perCrop)'!$O:$O,$A8),"")</f>
        <v/>
      </c>
      <c r="J8" s="46" t="str">
        <f>IF(AND(ISNUMBER(AVERAGEIFS('Data(perCrop)'!$A:$A,'Data(perCrop)'!$B:$B,J$3,'Data(perCrop)'!$H:$H,$A$1,'Data(perCrop)'!$O:$O,$A8)),J$4&lt;&gt;14,J$4&lt;&gt;15),AVERAGEIFS('Data(perCrop)'!$A:$A,'Data(perCrop)'!$B:$B,J$3,'Data(perCrop)'!$H:$H,$A$1,'Data(perCrop)'!$O:$O,$A8),"")</f>
        <v/>
      </c>
      <c r="K8" s="46" t="str">
        <f>IF(AND(ISNUMBER(AVERAGEIFS('Data(perCrop)'!$A:$A,'Data(perCrop)'!$B:$B,K$3,'Data(perCrop)'!$H:$H,$A$1,'Data(perCrop)'!$O:$O,$A8)),K$4&lt;&gt;14,K$4&lt;&gt;15),AVERAGEIFS('Data(perCrop)'!$A:$A,'Data(perCrop)'!$B:$B,K$3,'Data(perCrop)'!$H:$H,$A$1,'Data(perCrop)'!$O:$O,$A8),"")</f>
        <v/>
      </c>
      <c r="L8" s="46" t="str">
        <f>IF(AND(ISNUMBER(AVERAGEIFS('Data(perCrop)'!$A:$A,'Data(perCrop)'!$B:$B,L$3,'Data(perCrop)'!$H:$H,$A$1,'Data(perCrop)'!$O:$O,$A8)),L$4&lt;&gt;14,L$4&lt;&gt;15),AVERAGEIFS('Data(perCrop)'!$A:$A,'Data(perCrop)'!$B:$B,L$3,'Data(perCrop)'!$H:$H,$A$1,'Data(perCrop)'!$O:$O,$A8),"")</f>
        <v/>
      </c>
      <c r="M8" s="46" t="str">
        <f>IF(AND(ISNUMBER(AVERAGEIFS('Data(perCrop)'!$A:$A,'Data(perCrop)'!$B:$B,M$3,'Data(perCrop)'!$H:$H,$A$1,'Data(perCrop)'!$O:$O,$A8)),M$4&lt;&gt;14,M$4&lt;&gt;15),AVERAGEIFS('Data(perCrop)'!$A:$A,'Data(perCrop)'!$B:$B,M$3,'Data(perCrop)'!$H:$H,$A$1,'Data(perCrop)'!$O:$O,$A8),"")</f>
        <v/>
      </c>
      <c r="N8" s="46" t="str">
        <f>IF(AND(ISNUMBER(AVERAGEIFS('Data(perCrop)'!$A:$A,'Data(perCrop)'!$B:$B,N$3,'Data(perCrop)'!$H:$H,$A$1,'Data(perCrop)'!$O:$O,$A8)),N$4&lt;&gt;14,N$4&lt;&gt;15),AVERAGEIFS('Data(perCrop)'!$A:$A,'Data(perCrop)'!$B:$B,N$3,'Data(perCrop)'!$H:$H,$A$1,'Data(perCrop)'!$O:$O,$A8),"")</f>
        <v/>
      </c>
      <c r="O8" s="46" t="str">
        <f>IF(AND(ISNUMBER(AVERAGEIFS('Data(perCrop)'!$A:$A,'Data(perCrop)'!$B:$B,O$3,'Data(perCrop)'!$H:$H,$A$1,'Data(perCrop)'!$O:$O,$A8)),O$4&lt;&gt;14,O$4&lt;&gt;15),AVERAGEIFS('Data(perCrop)'!$A:$A,'Data(perCrop)'!$B:$B,O$3,'Data(perCrop)'!$H:$H,$A$1,'Data(perCrop)'!$O:$O,$A8),"")</f>
        <v/>
      </c>
      <c r="P8" s="46" t="str">
        <f>IF(AND(ISNUMBER(AVERAGEIFS('Data(perCrop)'!$A:$A,'Data(perCrop)'!$B:$B,P$3,'Data(perCrop)'!$H:$H,$A$1,'Data(perCrop)'!$O:$O,$A8)),P$4&lt;&gt;14,P$4&lt;&gt;15),AVERAGEIFS('Data(perCrop)'!$A:$A,'Data(perCrop)'!$B:$B,P$3,'Data(perCrop)'!$H:$H,$A$1,'Data(perCrop)'!$O:$O,$A8),"")</f>
        <v/>
      </c>
      <c r="Q8" s="46" t="str">
        <f>IF(AND(ISNUMBER(AVERAGEIFS('Data(perCrop)'!$A:$A,'Data(perCrop)'!$B:$B,Q$3,'Data(perCrop)'!$H:$H,$A$1,'Data(perCrop)'!$O:$O,$A8)),Q$4&lt;&gt;14,Q$4&lt;&gt;15),AVERAGEIFS('Data(perCrop)'!$A:$A,'Data(perCrop)'!$B:$B,Q$3,'Data(perCrop)'!$H:$H,$A$1,'Data(perCrop)'!$O:$O,$A8),"")</f>
        <v/>
      </c>
      <c r="R8" s="46">
        <f>IF(AND(ISNUMBER(AVERAGEIFS('Data(perCrop)'!$A:$A,'Data(perCrop)'!$B:$B,R$3,'Data(perCrop)'!$H:$H,$A$1,'Data(perCrop)'!$O:$O,$A8)),R$4&lt;&gt;14,R$4&lt;&gt;15),AVERAGEIFS('Data(perCrop)'!$A:$A,'Data(perCrop)'!$B:$B,R$3,'Data(perCrop)'!$H:$H,$A$1,'Data(perCrop)'!$O:$O,$A8),"")</f>
        <v>970.67386323954804</v>
      </c>
      <c r="S8" s="46" t="str">
        <f>IF(AND(ISNUMBER(AVERAGEIFS('Data(perCrop)'!$A:$A,'Data(perCrop)'!$B:$B,S$3,'Data(perCrop)'!$H:$H,$A$1,'Data(perCrop)'!$O:$O,$A8)),S$4&lt;&gt;14,S$4&lt;&gt;15),AVERAGEIFS('Data(perCrop)'!$A:$A,'Data(perCrop)'!$B:$B,S$3,'Data(perCrop)'!$H:$H,$A$1,'Data(perCrop)'!$O:$O,$A8),"")</f>
        <v/>
      </c>
      <c r="T8" s="46" t="str">
        <f>IF(AND(ISNUMBER(AVERAGEIFS('Data(perCrop)'!$A:$A,'Data(perCrop)'!$B:$B,T$3,'Data(perCrop)'!$H:$H,$A$1,'Data(perCrop)'!$O:$O,$A8)),T$4&lt;&gt;14,T$4&lt;&gt;15),AVERAGEIFS('Data(perCrop)'!$A:$A,'Data(perCrop)'!$B:$B,T$3,'Data(perCrop)'!$H:$H,$A$1,'Data(perCrop)'!$O:$O,$A8),"")</f>
        <v/>
      </c>
      <c r="U8" s="46">
        <f>IF(AND(ISNUMBER(AVERAGEIFS('Data(perCrop)'!$A:$A,'Data(perCrop)'!$B:$B,U$3,'Data(perCrop)'!$H:$H,$A$1,'Data(perCrop)'!$O:$O,$A8)),U$4&lt;&gt;14,U$4&lt;&gt;15),AVERAGEIFS('Data(perCrop)'!$A:$A,'Data(perCrop)'!$B:$B,U$3,'Data(perCrop)'!$H:$H,$A$1,'Data(perCrop)'!$O:$O,$A8),"")</f>
        <v>866.44822691414799</v>
      </c>
      <c r="V8" s="46" t="str">
        <f>IF(AND(ISNUMBER(AVERAGEIFS('Data(perCrop)'!$A:$A,'Data(perCrop)'!$B:$B,V$3,'Data(perCrop)'!$H:$H,$A$1,'Data(perCrop)'!$O:$O,$A8)),V$4&lt;&gt;14,V$4&lt;&gt;15),AVERAGEIFS('Data(perCrop)'!$A:$A,'Data(perCrop)'!$B:$B,V$3,'Data(perCrop)'!$H:$H,$A$1,'Data(perCrop)'!$O:$O,$A8),"")</f>
        <v/>
      </c>
      <c r="W8" s="46" t="str">
        <f>IF(AND(ISNUMBER(AVERAGEIFS('Data(perCrop)'!$A:$A,'Data(perCrop)'!$B:$B,W$3,'Data(perCrop)'!$H:$H,$A$1,'Data(perCrop)'!$O:$O,$A8)),W$4&lt;&gt;14,W$4&lt;&gt;15),AVERAGEIFS('Data(perCrop)'!$A:$A,'Data(perCrop)'!$B:$B,W$3,'Data(perCrop)'!$H:$H,$A$1,'Data(perCrop)'!$O:$O,$A8),"")</f>
        <v/>
      </c>
      <c r="X8" s="46" t="str">
        <f>IF(AND(ISNUMBER(AVERAGEIFS('Data(perCrop)'!$A:$A,'Data(perCrop)'!$B:$B,X$3,'Data(perCrop)'!$H:$H,$A$1,'Data(perCrop)'!$O:$O,$A8)),X$4&lt;&gt;14,X$4&lt;&gt;15),AVERAGEIFS('Data(perCrop)'!$A:$A,'Data(perCrop)'!$B:$B,X$3,'Data(perCrop)'!$H:$H,$A$1,'Data(perCrop)'!$O:$O,$A8),"")</f>
        <v/>
      </c>
      <c r="Y8" s="46" t="str">
        <f>IF(AND(ISNUMBER(AVERAGEIFS('Data(perCrop)'!$A:$A,'Data(perCrop)'!$B:$B,Y$3,'Data(perCrop)'!$H:$H,$A$1,'Data(perCrop)'!$O:$O,$A8)),Y$4&lt;&gt;14,Y$4&lt;&gt;15),AVERAGEIFS('Data(perCrop)'!$A:$A,'Data(perCrop)'!$B:$B,Y$3,'Data(perCrop)'!$H:$H,$A$1,'Data(perCrop)'!$O:$O,$A8),"")</f>
        <v/>
      </c>
      <c r="Z8" s="46" t="str">
        <f>IF(AND(ISNUMBER(AVERAGEIFS('Data(perCrop)'!$A:$A,'Data(perCrop)'!$B:$B,Z$3,'Data(perCrop)'!$H:$H,$A$1,'Data(perCrop)'!$O:$O,$A8)),Z$4&lt;&gt;14,Z$4&lt;&gt;15),AVERAGEIFS('Data(perCrop)'!$A:$A,'Data(perCrop)'!$B:$B,Z$3,'Data(perCrop)'!$H:$H,$A$1,'Data(perCrop)'!$O:$O,$A8),"")</f>
        <v/>
      </c>
      <c r="AA8" s="46" t="str">
        <f>IF(AND(ISNUMBER(AVERAGEIFS('Data(perCrop)'!$A:$A,'Data(perCrop)'!$B:$B,AA$3,'Data(perCrop)'!$H:$H,$A$1,'Data(perCrop)'!$O:$O,$A8)),AA$4&lt;&gt;14,AA$4&lt;&gt;15),AVERAGEIFS('Data(perCrop)'!$A:$A,'Data(perCrop)'!$B:$B,AA$3,'Data(perCrop)'!$H:$H,$A$1,'Data(perCrop)'!$O:$O,$A8),"")</f>
        <v/>
      </c>
      <c r="AB8" s="46" t="str">
        <f>IF(AND(ISNUMBER(AVERAGEIFS('Data(perCrop)'!$A:$A,'Data(perCrop)'!$B:$B,AB$3,'Data(perCrop)'!$H:$H,$A$1,'Data(perCrop)'!$O:$O,$A8)),AB$4&lt;&gt;14,AB$4&lt;&gt;15),AVERAGEIFS('Data(perCrop)'!$A:$A,'Data(perCrop)'!$B:$B,AB$3,'Data(perCrop)'!$H:$H,$A$1,'Data(perCrop)'!$O:$O,$A8),"")</f>
        <v/>
      </c>
      <c r="AC8" s="46" t="str">
        <f>IF(AND(ISNUMBER(AVERAGEIFS('Data(perCrop)'!$A:$A,'Data(perCrop)'!$B:$B,AC$3,'Data(perCrop)'!$H:$H,$A$1,'Data(perCrop)'!$O:$O,$A8)),AC$4&lt;&gt;14,AC$4&lt;&gt;15),AVERAGEIFS('Data(perCrop)'!$A:$A,'Data(perCrop)'!$B:$B,AC$3,'Data(perCrop)'!$H:$H,$A$1,'Data(perCrop)'!$O:$O,$A8),"")</f>
        <v/>
      </c>
      <c r="AD8" s="46" t="str">
        <f>IF(AND(ISNUMBER(AVERAGEIFS('Data(perCrop)'!$A:$A,'Data(perCrop)'!$B:$B,AD$3,'Data(perCrop)'!$H:$H,$A$1,'Data(perCrop)'!$O:$O,$A8)),AD$4&lt;&gt;14,AD$4&lt;&gt;15),AVERAGEIFS('Data(perCrop)'!$A:$A,'Data(perCrop)'!$B:$B,AD$3,'Data(perCrop)'!$H:$H,$A$1,'Data(perCrop)'!$O:$O,$A8),"")</f>
        <v/>
      </c>
      <c r="AE8" s="46" t="str">
        <f>IF(AND(ISNUMBER(AVERAGEIFS('Data(perCrop)'!$A:$A,'Data(perCrop)'!$B:$B,AE$3,'Data(perCrop)'!$H:$H,$A$1,'Data(perCrop)'!$O:$O,$A8)),AE$4&lt;&gt;14,AE$4&lt;&gt;15),AVERAGEIFS('Data(perCrop)'!$A:$A,'Data(perCrop)'!$B:$B,AE$3,'Data(perCrop)'!$H:$H,$A$1,'Data(perCrop)'!$O:$O,$A8),"")</f>
        <v/>
      </c>
      <c r="AF8" s="46" t="str">
        <f>IF(AND(ISNUMBER(AVERAGEIFS('Data(perCrop)'!$A:$A,'Data(perCrop)'!$B:$B,AF$3,'Data(perCrop)'!$H:$H,$A$1,'Data(perCrop)'!$O:$O,$A8)),AF$4&lt;&gt;14,AF$4&lt;&gt;15),AVERAGEIFS('Data(perCrop)'!$A:$A,'Data(perCrop)'!$B:$B,AF$3,'Data(perCrop)'!$H:$H,$A$1,'Data(perCrop)'!$O:$O,$A8),"")</f>
        <v/>
      </c>
    </row>
    <row r="9" spans="1:40" ht="18.75" x14ac:dyDescent="0.3">
      <c r="A9" s="42">
        <v>2022</v>
      </c>
      <c r="B9" s="46" t="str">
        <f>IF(AND(ISNUMBER(AVERAGEIFS('Data(perCrop)'!$A:$A,'Data(perCrop)'!$B:$B,B$3,'Data(perCrop)'!$H:$H,$A$1,'Data(perCrop)'!$O:$O,$A9)),B$4&lt;&gt;14,B$4&lt;&gt;15),AVERAGEIFS('Data(perCrop)'!$A:$A,'Data(perCrop)'!$B:$B,B$3,'Data(perCrop)'!$H:$H,$A$1,'Data(perCrop)'!$O:$O,$A9),"")</f>
        <v/>
      </c>
      <c r="C9" s="46">
        <f>IF(AND(ISNUMBER(AVERAGEIFS('Data(perCrop)'!$A:$A,'Data(perCrop)'!$B:$B,C$3,'Data(perCrop)'!$H:$H,$A$1,'Data(perCrop)'!$O:$O,$A9)),C$4&lt;&gt;14,C$4&lt;&gt;15),AVERAGEIFS('Data(perCrop)'!$A:$A,'Data(perCrop)'!$B:$B,C$3,'Data(perCrop)'!$H:$H,$A$1,'Data(perCrop)'!$O:$O,$A9),"")</f>
        <v>6400.6442490076697</v>
      </c>
      <c r="D9" s="46" t="str">
        <f>IF(AND(ISNUMBER(AVERAGEIFS('Data(perCrop)'!$A:$A,'Data(perCrop)'!$B:$B,D$3,'Data(perCrop)'!$H:$H,$A$1,'Data(perCrop)'!$O:$O,$A9)),D$4&lt;&gt;14,D$4&lt;&gt;15),AVERAGEIFS('Data(perCrop)'!$A:$A,'Data(perCrop)'!$B:$B,D$3,'Data(perCrop)'!$H:$H,$A$1,'Data(perCrop)'!$O:$O,$A9),"")</f>
        <v/>
      </c>
      <c r="E9" s="46" t="str">
        <f>IF(AND(ISNUMBER(AVERAGEIFS('Data(perCrop)'!$A:$A,'Data(perCrop)'!$B:$B,E$3,'Data(perCrop)'!$H:$H,$A$1,'Data(perCrop)'!$O:$O,$A9)),E$4&lt;&gt;14,E$4&lt;&gt;15),AVERAGEIFS('Data(perCrop)'!$A:$A,'Data(perCrop)'!$B:$B,E$3,'Data(perCrop)'!$H:$H,$A$1,'Data(perCrop)'!$O:$O,$A9),"")</f>
        <v/>
      </c>
      <c r="F9" s="46" t="str">
        <f>IF(AND(ISNUMBER(AVERAGEIFS('Data(perCrop)'!$A:$A,'Data(perCrop)'!$B:$B,F$3,'Data(perCrop)'!$H:$H,$A$1,'Data(perCrop)'!$O:$O,$A9)),F$4&lt;&gt;14,F$4&lt;&gt;15),AVERAGEIFS('Data(perCrop)'!$A:$A,'Data(perCrop)'!$B:$B,F$3,'Data(perCrop)'!$H:$H,$A$1,'Data(perCrop)'!$O:$O,$A9),"")</f>
        <v/>
      </c>
      <c r="G9" s="46" t="str">
        <f>IF(AND(ISNUMBER(AVERAGEIFS('Data(perCrop)'!$A:$A,'Data(perCrop)'!$B:$B,G$3,'Data(perCrop)'!$H:$H,$A$1,'Data(perCrop)'!$O:$O,$A9)),G$4&lt;&gt;14,G$4&lt;&gt;15),AVERAGEIFS('Data(perCrop)'!$A:$A,'Data(perCrop)'!$B:$B,G$3,'Data(perCrop)'!$H:$H,$A$1,'Data(perCrop)'!$O:$O,$A9),"")</f>
        <v/>
      </c>
      <c r="H9" s="46" t="str">
        <f>IF(AND(ISNUMBER(AVERAGEIFS('Data(perCrop)'!$A:$A,'Data(perCrop)'!$B:$B,H$3,'Data(perCrop)'!$H:$H,$A$1,'Data(perCrop)'!$O:$O,$A9)),H$4&lt;&gt;14,H$4&lt;&gt;15),AVERAGEIFS('Data(perCrop)'!$A:$A,'Data(perCrop)'!$B:$B,H$3,'Data(perCrop)'!$H:$H,$A$1,'Data(perCrop)'!$O:$O,$A9),"")</f>
        <v/>
      </c>
      <c r="I9" s="46" t="str">
        <f>IF(AND(ISNUMBER(AVERAGEIFS('Data(perCrop)'!$A:$A,'Data(perCrop)'!$B:$B,I$3,'Data(perCrop)'!$H:$H,$A$1,'Data(perCrop)'!$O:$O,$A9)),I$4&lt;&gt;14,I$4&lt;&gt;15),AVERAGEIFS('Data(perCrop)'!$A:$A,'Data(perCrop)'!$B:$B,I$3,'Data(perCrop)'!$H:$H,$A$1,'Data(perCrop)'!$O:$O,$A9),"")</f>
        <v/>
      </c>
      <c r="J9" s="46" t="str">
        <f>IF(AND(ISNUMBER(AVERAGEIFS('Data(perCrop)'!$A:$A,'Data(perCrop)'!$B:$B,J$3,'Data(perCrop)'!$H:$H,$A$1,'Data(perCrop)'!$O:$O,$A9)),J$4&lt;&gt;14,J$4&lt;&gt;15),AVERAGEIFS('Data(perCrop)'!$A:$A,'Data(perCrop)'!$B:$B,J$3,'Data(perCrop)'!$H:$H,$A$1,'Data(perCrop)'!$O:$O,$A9),"")</f>
        <v/>
      </c>
      <c r="K9" s="46" t="str">
        <f>IF(AND(ISNUMBER(AVERAGEIFS('Data(perCrop)'!$A:$A,'Data(perCrop)'!$B:$B,K$3,'Data(perCrop)'!$H:$H,$A$1,'Data(perCrop)'!$O:$O,$A9)),K$4&lt;&gt;14,K$4&lt;&gt;15),AVERAGEIFS('Data(perCrop)'!$A:$A,'Data(perCrop)'!$B:$B,K$3,'Data(perCrop)'!$H:$H,$A$1,'Data(perCrop)'!$O:$O,$A9),"")</f>
        <v/>
      </c>
      <c r="L9" s="46" t="str">
        <f>IF(AND(ISNUMBER(AVERAGEIFS('Data(perCrop)'!$A:$A,'Data(perCrop)'!$B:$B,L$3,'Data(perCrop)'!$H:$H,$A$1,'Data(perCrop)'!$O:$O,$A9)),L$4&lt;&gt;14,L$4&lt;&gt;15),AVERAGEIFS('Data(perCrop)'!$A:$A,'Data(perCrop)'!$B:$B,L$3,'Data(perCrop)'!$H:$H,$A$1,'Data(perCrop)'!$O:$O,$A9),"")</f>
        <v/>
      </c>
      <c r="M9" s="46" t="str">
        <f>IF(AND(ISNUMBER(AVERAGEIFS('Data(perCrop)'!$A:$A,'Data(perCrop)'!$B:$B,M$3,'Data(perCrop)'!$H:$H,$A$1,'Data(perCrop)'!$O:$O,$A9)),M$4&lt;&gt;14,M$4&lt;&gt;15),AVERAGEIFS('Data(perCrop)'!$A:$A,'Data(perCrop)'!$B:$B,M$3,'Data(perCrop)'!$H:$H,$A$1,'Data(perCrop)'!$O:$O,$A9),"")</f>
        <v/>
      </c>
      <c r="N9" s="46" t="str">
        <f>IF(AND(ISNUMBER(AVERAGEIFS('Data(perCrop)'!$A:$A,'Data(perCrop)'!$B:$B,N$3,'Data(perCrop)'!$H:$H,$A$1,'Data(perCrop)'!$O:$O,$A9)),N$4&lt;&gt;14,N$4&lt;&gt;15),AVERAGEIFS('Data(perCrop)'!$A:$A,'Data(perCrop)'!$B:$B,N$3,'Data(perCrop)'!$H:$H,$A$1,'Data(perCrop)'!$O:$O,$A9),"")</f>
        <v/>
      </c>
      <c r="O9" s="46" t="str">
        <f>IF(AND(ISNUMBER(AVERAGEIFS('Data(perCrop)'!$A:$A,'Data(perCrop)'!$B:$B,O$3,'Data(perCrop)'!$H:$H,$A$1,'Data(perCrop)'!$O:$O,$A9)),O$4&lt;&gt;14,O$4&lt;&gt;15),AVERAGEIFS('Data(perCrop)'!$A:$A,'Data(perCrop)'!$B:$B,O$3,'Data(perCrop)'!$H:$H,$A$1,'Data(perCrop)'!$O:$O,$A9),"")</f>
        <v/>
      </c>
      <c r="P9" s="46" t="str">
        <f>IF(AND(ISNUMBER(AVERAGEIFS('Data(perCrop)'!$A:$A,'Data(perCrop)'!$B:$B,P$3,'Data(perCrop)'!$H:$H,$A$1,'Data(perCrop)'!$O:$O,$A9)),P$4&lt;&gt;14,P$4&lt;&gt;15),AVERAGEIFS('Data(perCrop)'!$A:$A,'Data(perCrop)'!$B:$B,P$3,'Data(perCrop)'!$H:$H,$A$1,'Data(perCrop)'!$O:$O,$A9),"")</f>
        <v/>
      </c>
      <c r="Q9" s="46" t="str">
        <f>IF(AND(ISNUMBER(AVERAGEIFS('Data(perCrop)'!$A:$A,'Data(perCrop)'!$B:$B,Q$3,'Data(perCrop)'!$H:$H,$A$1,'Data(perCrop)'!$O:$O,$A9)),Q$4&lt;&gt;14,Q$4&lt;&gt;15),AVERAGEIFS('Data(perCrop)'!$A:$A,'Data(perCrop)'!$B:$B,Q$3,'Data(perCrop)'!$H:$H,$A$1,'Data(perCrop)'!$O:$O,$A9),"")</f>
        <v/>
      </c>
      <c r="R9" s="46">
        <f>IF(AND(ISNUMBER(AVERAGEIFS('Data(perCrop)'!$A:$A,'Data(perCrop)'!$B:$B,R$3,'Data(perCrop)'!$H:$H,$A$1,'Data(perCrop)'!$O:$O,$A9)),R$4&lt;&gt;14,R$4&lt;&gt;15),AVERAGEIFS('Data(perCrop)'!$A:$A,'Data(perCrop)'!$B:$B,R$3,'Data(perCrop)'!$H:$H,$A$1,'Data(perCrop)'!$O:$O,$A9),"")</f>
        <v>754.58174221911304</v>
      </c>
      <c r="S9" s="46" t="str">
        <f>IF(AND(ISNUMBER(AVERAGEIFS('Data(perCrop)'!$A:$A,'Data(perCrop)'!$B:$B,S$3,'Data(perCrop)'!$H:$H,$A$1,'Data(perCrop)'!$O:$O,$A9)),S$4&lt;&gt;14,S$4&lt;&gt;15),AVERAGEIFS('Data(perCrop)'!$A:$A,'Data(perCrop)'!$B:$B,S$3,'Data(perCrop)'!$H:$H,$A$1,'Data(perCrop)'!$O:$O,$A9),"")</f>
        <v/>
      </c>
      <c r="T9" s="46" t="str">
        <f>IF(AND(ISNUMBER(AVERAGEIFS('Data(perCrop)'!$A:$A,'Data(perCrop)'!$B:$B,T$3,'Data(perCrop)'!$H:$H,$A$1,'Data(perCrop)'!$O:$O,$A9)),T$4&lt;&gt;14,T$4&lt;&gt;15),AVERAGEIFS('Data(perCrop)'!$A:$A,'Data(perCrop)'!$B:$B,T$3,'Data(perCrop)'!$H:$H,$A$1,'Data(perCrop)'!$O:$O,$A9),"")</f>
        <v/>
      </c>
      <c r="U9" s="46">
        <f>IF(AND(ISNUMBER(AVERAGEIFS('Data(perCrop)'!$A:$A,'Data(perCrop)'!$B:$B,U$3,'Data(perCrop)'!$H:$H,$A$1,'Data(perCrop)'!$O:$O,$A9)),U$4&lt;&gt;14,U$4&lt;&gt;15),AVERAGEIFS('Data(perCrop)'!$A:$A,'Data(perCrop)'!$B:$B,U$3,'Data(perCrop)'!$H:$H,$A$1,'Data(perCrop)'!$O:$O,$A9),"")</f>
        <v>1736.8012812009499</v>
      </c>
      <c r="V9" s="46" t="str">
        <f>IF(AND(ISNUMBER(AVERAGEIFS('Data(perCrop)'!$A:$A,'Data(perCrop)'!$B:$B,V$3,'Data(perCrop)'!$H:$H,$A$1,'Data(perCrop)'!$O:$O,$A9)),V$4&lt;&gt;14,V$4&lt;&gt;15),AVERAGEIFS('Data(perCrop)'!$A:$A,'Data(perCrop)'!$B:$B,V$3,'Data(perCrop)'!$H:$H,$A$1,'Data(perCrop)'!$O:$O,$A9),"")</f>
        <v/>
      </c>
      <c r="W9" s="46" t="str">
        <f>IF(AND(ISNUMBER(AVERAGEIFS('Data(perCrop)'!$A:$A,'Data(perCrop)'!$B:$B,W$3,'Data(perCrop)'!$H:$H,$A$1,'Data(perCrop)'!$O:$O,$A9)),W$4&lt;&gt;14,W$4&lt;&gt;15),AVERAGEIFS('Data(perCrop)'!$A:$A,'Data(perCrop)'!$B:$B,W$3,'Data(perCrop)'!$H:$H,$A$1,'Data(perCrop)'!$O:$O,$A9),"")</f>
        <v/>
      </c>
      <c r="X9" s="46" t="str">
        <f>IF(AND(ISNUMBER(AVERAGEIFS('Data(perCrop)'!$A:$A,'Data(perCrop)'!$B:$B,X$3,'Data(perCrop)'!$H:$H,$A$1,'Data(perCrop)'!$O:$O,$A9)),X$4&lt;&gt;14,X$4&lt;&gt;15),AVERAGEIFS('Data(perCrop)'!$A:$A,'Data(perCrop)'!$B:$B,X$3,'Data(perCrop)'!$H:$H,$A$1,'Data(perCrop)'!$O:$O,$A9),"")</f>
        <v/>
      </c>
      <c r="Y9" s="46" t="str">
        <f>IF(AND(ISNUMBER(AVERAGEIFS('Data(perCrop)'!$A:$A,'Data(perCrop)'!$B:$B,Y$3,'Data(perCrop)'!$H:$H,$A$1,'Data(perCrop)'!$O:$O,$A9)),Y$4&lt;&gt;14,Y$4&lt;&gt;15),AVERAGEIFS('Data(perCrop)'!$A:$A,'Data(perCrop)'!$B:$B,Y$3,'Data(perCrop)'!$H:$H,$A$1,'Data(perCrop)'!$O:$O,$A9),"")</f>
        <v/>
      </c>
      <c r="Z9" s="46" t="str">
        <f>IF(AND(ISNUMBER(AVERAGEIFS('Data(perCrop)'!$A:$A,'Data(perCrop)'!$B:$B,Z$3,'Data(perCrop)'!$H:$H,$A$1,'Data(perCrop)'!$O:$O,$A9)),Z$4&lt;&gt;14,Z$4&lt;&gt;15),AVERAGEIFS('Data(perCrop)'!$A:$A,'Data(perCrop)'!$B:$B,Z$3,'Data(perCrop)'!$H:$H,$A$1,'Data(perCrop)'!$O:$O,$A9),"")</f>
        <v/>
      </c>
      <c r="AA9" s="46" t="str">
        <f>IF(AND(ISNUMBER(AVERAGEIFS('Data(perCrop)'!$A:$A,'Data(perCrop)'!$B:$B,AA$3,'Data(perCrop)'!$H:$H,$A$1,'Data(perCrop)'!$O:$O,$A9)),AA$4&lt;&gt;14,AA$4&lt;&gt;15),AVERAGEIFS('Data(perCrop)'!$A:$A,'Data(perCrop)'!$B:$B,AA$3,'Data(perCrop)'!$H:$H,$A$1,'Data(perCrop)'!$O:$O,$A9),"")</f>
        <v/>
      </c>
      <c r="AB9" s="46" t="str">
        <f>IF(AND(ISNUMBER(AVERAGEIFS('Data(perCrop)'!$A:$A,'Data(perCrop)'!$B:$B,AB$3,'Data(perCrop)'!$H:$H,$A$1,'Data(perCrop)'!$O:$O,$A9)),AB$4&lt;&gt;14,AB$4&lt;&gt;15),AVERAGEIFS('Data(perCrop)'!$A:$A,'Data(perCrop)'!$B:$B,AB$3,'Data(perCrop)'!$H:$H,$A$1,'Data(perCrop)'!$O:$O,$A9),"")</f>
        <v/>
      </c>
      <c r="AC9" s="46" t="str">
        <f>IF(AND(ISNUMBER(AVERAGEIFS('Data(perCrop)'!$A:$A,'Data(perCrop)'!$B:$B,AC$3,'Data(perCrop)'!$H:$H,$A$1,'Data(perCrop)'!$O:$O,$A9)),AC$4&lt;&gt;14,AC$4&lt;&gt;15),AVERAGEIFS('Data(perCrop)'!$A:$A,'Data(perCrop)'!$B:$B,AC$3,'Data(perCrop)'!$H:$H,$A$1,'Data(perCrop)'!$O:$O,$A9),"")</f>
        <v/>
      </c>
      <c r="AD9" s="46" t="str">
        <f>IF(AND(ISNUMBER(AVERAGEIFS('Data(perCrop)'!$A:$A,'Data(perCrop)'!$B:$B,AD$3,'Data(perCrop)'!$H:$H,$A$1,'Data(perCrop)'!$O:$O,$A9)),AD$4&lt;&gt;14,AD$4&lt;&gt;15),AVERAGEIFS('Data(perCrop)'!$A:$A,'Data(perCrop)'!$B:$B,AD$3,'Data(perCrop)'!$H:$H,$A$1,'Data(perCrop)'!$O:$O,$A9),"")</f>
        <v/>
      </c>
      <c r="AE9" s="46" t="str">
        <f>IF(AND(ISNUMBER(AVERAGEIFS('Data(perCrop)'!$A:$A,'Data(perCrop)'!$B:$B,AE$3,'Data(perCrop)'!$H:$H,$A$1,'Data(perCrop)'!$O:$O,$A9)),AE$4&lt;&gt;14,AE$4&lt;&gt;15),AVERAGEIFS('Data(perCrop)'!$A:$A,'Data(perCrop)'!$B:$B,AE$3,'Data(perCrop)'!$H:$H,$A$1,'Data(perCrop)'!$O:$O,$A9),"")</f>
        <v/>
      </c>
      <c r="AF9" s="46" t="str">
        <f>IF(AND(ISNUMBER(AVERAGEIFS('Data(perCrop)'!$A:$A,'Data(perCrop)'!$B:$B,AF$3,'Data(perCrop)'!$H:$H,$A$1,'Data(perCrop)'!$O:$O,$A9)),AF$4&lt;&gt;14,AF$4&lt;&gt;15),AVERAGEIFS('Data(perCrop)'!$A:$A,'Data(perCrop)'!$B:$B,AF$3,'Data(perCrop)'!$H:$H,$A$1,'Data(perCrop)'!$O:$O,$A9),"")</f>
        <v/>
      </c>
    </row>
    <row r="10" spans="1:40" ht="18.75" x14ac:dyDescent="0.3">
      <c r="A10" s="52" t="s">
        <v>184</v>
      </c>
      <c r="B10" s="52"/>
      <c r="C10" s="48">
        <f t="shared" ref="C10:AF10" si="0">IF(ISNUMBER(AVERAGE(C5:C9)),AVERAGE(C5:C9),"")</f>
        <v>4967.8228398215015</v>
      </c>
      <c r="D10" s="48" t="str">
        <f t="shared" si="0"/>
        <v/>
      </c>
      <c r="E10" s="48" t="str">
        <f t="shared" si="0"/>
        <v/>
      </c>
      <c r="F10" s="48" t="str">
        <f t="shared" si="0"/>
        <v/>
      </c>
      <c r="G10" s="48" t="str">
        <f t="shared" si="0"/>
        <v/>
      </c>
      <c r="H10" s="48" t="str">
        <f t="shared" si="0"/>
        <v/>
      </c>
      <c r="I10" s="48" t="str">
        <f t="shared" si="0"/>
        <v/>
      </c>
      <c r="J10" s="48" t="str">
        <f t="shared" si="0"/>
        <v/>
      </c>
      <c r="K10" s="48" t="str">
        <f t="shared" si="0"/>
        <v/>
      </c>
      <c r="L10" s="48" t="str">
        <f t="shared" si="0"/>
        <v/>
      </c>
      <c r="M10" s="48" t="str">
        <f t="shared" si="0"/>
        <v/>
      </c>
      <c r="N10" s="48" t="str">
        <f t="shared" si="0"/>
        <v/>
      </c>
      <c r="O10" s="48" t="str">
        <f t="shared" si="0"/>
        <v/>
      </c>
      <c r="P10" s="48" t="str">
        <f t="shared" si="0"/>
        <v/>
      </c>
      <c r="Q10" s="48" t="str">
        <f t="shared" si="0"/>
        <v/>
      </c>
      <c r="R10" s="48">
        <f t="shared" si="0"/>
        <v>909.22224271560958</v>
      </c>
      <c r="S10" s="48" t="str">
        <f t="shared" si="0"/>
        <v/>
      </c>
      <c r="T10" s="48" t="str">
        <f t="shared" si="0"/>
        <v/>
      </c>
      <c r="U10" s="48">
        <f t="shared" si="0"/>
        <v>2032.0870486639051</v>
      </c>
      <c r="V10" s="48" t="str">
        <f t="shared" si="0"/>
        <v/>
      </c>
      <c r="W10" s="48" t="str">
        <f t="shared" si="0"/>
        <v/>
      </c>
      <c r="X10" s="48" t="str">
        <f t="shared" si="0"/>
        <v/>
      </c>
      <c r="Y10" s="48" t="str">
        <f t="shared" si="0"/>
        <v/>
      </c>
      <c r="Z10" s="48" t="str">
        <f t="shared" si="0"/>
        <v/>
      </c>
      <c r="AA10" s="48" t="str">
        <f t="shared" si="0"/>
        <v/>
      </c>
      <c r="AB10" s="48" t="str">
        <f t="shared" si="0"/>
        <v/>
      </c>
      <c r="AC10" s="48" t="str">
        <f t="shared" si="0"/>
        <v/>
      </c>
      <c r="AD10" s="48" t="str">
        <f t="shared" si="0"/>
        <v/>
      </c>
      <c r="AE10" s="48" t="str">
        <f t="shared" si="0"/>
        <v/>
      </c>
      <c r="AF10" s="48" t="str">
        <f t="shared" si="0"/>
        <v/>
      </c>
    </row>
    <row r="12" spans="1:40" ht="18.75" x14ac:dyDescent="0.3">
      <c r="A12" s="42" t="s">
        <v>1</v>
      </c>
      <c r="B12" s="58" t="s">
        <v>47</v>
      </c>
      <c r="C12" s="58" t="s">
        <v>57</v>
      </c>
      <c r="D12" s="58" t="s">
        <v>110</v>
      </c>
      <c r="E12" s="58" t="s">
        <v>50</v>
      </c>
      <c r="F12" s="58" t="s">
        <v>58</v>
      </c>
      <c r="G12" s="58" t="s">
        <v>51</v>
      </c>
      <c r="H12" s="58" t="s">
        <v>97</v>
      </c>
      <c r="I12" s="58" t="s">
        <v>52</v>
      </c>
      <c r="J12" s="58" t="s">
        <v>59</v>
      </c>
      <c r="K12" s="58" t="s">
        <v>111</v>
      </c>
      <c r="L12" s="58" t="s">
        <v>54</v>
      </c>
      <c r="M12" s="58" t="s">
        <v>112</v>
      </c>
      <c r="N12" s="58" t="s">
        <v>48</v>
      </c>
      <c r="O12" s="58" t="s">
        <v>53</v>
      </c>
      <c r="P12" s="58" t="s">
        <v>49</v>
      </c>
      <c r="Q12" s="58" t="s">
        <v>56</v>
      </c>
      <c r="R12" s="58" t="s">
        <v>102</v>
      </c>
      <c r="S12" s="58" t="s">
        <v>103</v>
      </c>
      <c r="T12" s="58" t="s">
        <v>101</v>
      </c>
      <c r="U12" s="58" t="s">
        <v>106</v>
      </c>
      <c r="V12" s="58" t="s">
        <v>113</v>
      </c>
      <c r="W12" s="58" t="s">
        <v>114</v>
      </c>
      <c r="X12" s="58" t="s">
        <v>115</v>
      </c>
      <c r="Y12" s="58" t="s">
        <v>116</v>
      </c>
      <c r="Z12" s="58" t="s">
        <v>107</v>
      </c>
      <c r="AA12" s="58" t="s">
        <v>104</v>
      </c>
      <c r="AB12" s="58" t="s">
        <v>117</v>
      </c>
      <c r="AC12" s="58" t="s">
        <v>118</v>
      </c>
      <c r="AD12" s="58" t="s">
        <v>119</v>
      </c>
      <c r="AE12" s="58" t="s">
        <v>108</v>
      </c>
      <c r="AF12" s="58" t="s">
        <v>105</v>
      </c>
    </row>
    <row r="13" spans="1:40" ht="18.75" x14ac:dyDescent="0.3">
      <c r="A13" s="42" t="s">
        <v>183</v>
      </c>
      <c r="B13" s="42">
        <v>1</v>
      </c>
      <c r="C13" s="42">
        <v>2</v>
      </c>
      <c r="D13" s="42">
        <v>3</v>
      </c>
      <c r="E13" s="42">
        <v>4</v>
      </c>
      <c r="F13" s="42">
        <v>5</v>
      </c>
      <c r="G13" s="42">
        <v>6</v>
      </c>
      <c r="H13" s="42">
        <v>7</v>
      </c>
      <c r="I13" s="42">
        <v>8</v>
      </c>
      <c r="J13" s="42">
        <v>9</v>
      </c>
      <c r="K13" s="42">
        <v>10</v>
      </c>
      <c r="L13" s="42">
        <v>11</v>
      </c>
      <c r="M13" s="42">
        <v>12</v>
      </c>
      <c r="N13" s="42">
        <v>13</v>
      </c>
      <c r="O13" s="42">
        <v>14</v>
      </c>
      <c r="P13" s="42">
        <v>15</v>
      </c>
      <c r="Q13" s="42">
        <v>16</v>
      </c>
      <c r="R13" s="42">
        <v>17</v>
      </c>
      <c r="S13" s="42">
        <v>18</v>
      </c>
      <c r="T13" s="42">
        <v>19</v>
      </c>
      <c r="U13" s="42">
        <v>20</v>
      </c>
      <c r="V13" s="42">
        <v>21</v>
      </c>
      <c r="W13" s="42">
        <v>22</v>
      </c>
      <c r="X13" s="42">
        <v>23</v>
      </c>
      <c r="Y13" s="42">
        <v>24</v>
      </c>
      <c r="Z13" s="42">
        <v>25</v>
      </c>
      <c r="AA13" s="42">
        <v>40</v>
      </c>
      <c r="AB13" s="42">
        <v>41</v>
      </c>
      <c r="AC13" s="42">
        <v>42</v>
      </c>
      <c r="AD13" s="42">
        <v>43</v>
      </c>
      <c r="AE13" s="42">
        <v>44</v>
      </c>
      <c r="AF13" s="42">
        <v>45</v>
      </c>
    </row>
    <row r="14" spans="1:40" ht="18.75" x14ac:dyDescent="0.3">
      <c r="A14" s="42">
        <v>2018</v>
      </c>
      <c r="B14" s="46" t="str">
        <f>IF(AND(ISNUMBER(#REF!),B$4&lt;&gt;14,B$4&lt;&gt;15),AVERAGEIFS('Data(perSeason,perCrop)'!$M:$M,'Data(perSeason,perCrop)'!$K:$K,Reliability!$A$1,'Data(perSeason,perCrop)'!$C:$C,Reliability!B$3,'Data(perSeason,perCrop)'!$S:$S,Reliability!$A14,'Data(perSeason,perCrop)'!$R:$R,"IRRIGATED")-AVERAGEIFS('Data(perSeason,perCrop)'!$N:$N,'Data(perSeason,perCrop)'!$K:$K,Reliability!$A$1,'Data(perSeason,perCrop)'!$C:$C,Reliability!B$3,'Data(perSeason,perCrop)'!$S:$S,Reliability!$A14,'Data(perSeason,perCrop)'!$R:$R,"IRRIGATED"),"")</f>
        <v/>
      </c>
      <c r="C14" s="51">
        <f>IF(AND(ISNUMBER(C5),C$4&lt;&gt;14,C$4&lt;&gt;15),AVERAGEIFS('Data(perSeason,perCrop)'!$M:$M,'Data(perSeason,perCrop)'!$K:$K,Reliability!$A$1,'Data(perSeason,perCrop)'!$C:$C,Reliability!C$3,'Data(perSeason,perCrop)'!$S:$S,Reliability!$A14,'Data(perSeason,perCrop)'!$R:$R,"IRRIGATED")-AVERAGEIFS('Data(perSeason,perCrop)'!$N:$N,'Data(perSeason,perCrop)'!$K:$K,Reliability!$A$1,'Data(perSeason,perCrop)'!$C:$C,Reliability!C$3,'Data(perSeason,perCrop)'!$S:$S,Reliability!$A14,'Data(perSeason,perCrop)'!$R:$R,"IRRIGATED"),"")</f>
        <v>0.28833944615385698</v>
      </c>
      <c r="D14" s="46" t="str">
        <f>IF(AND(ISNUMBER(D5),D$4&lt;&gt;14,D$4&lt;&gt;15),AVERAGEIFS('Data(perSeason,perCrop)'!$M:$M,'Data(perSeason,perCrop)'!$K:$K,Reliability!$A$1,'Data(perSeason,perCrop)'!$C:$C,Reliability!D$3,'Data(perSeason,perCrop)'!$S:$S,Reliability!$A14,'Data(perSeason,perCrop)'!$R:$R,"IRRIGATED")-AVERAGEIFS('Data(perSeason,perCrop)'!$N:$N,'Data(perSeason,perCrop)'!$K:$K,Reliability!$A$1,'Data(perSeason,perCrop)'!$C:$C,Reliability!D$3,'Data(perSeason,perCrop)'!$S:$S,Reliability!$A14,'Data(perSeason,perCrop)'!$R:$R,"IRRIGATED"),"")</f>
        <v/>
      </c>
      <c r="E14" s="46" t="str">
        <f>IF(AND(ISNUMBER(E5),E$4&lt;&gt;14,E$4&lt;&gt;15),AVERAGEIFS('Data(perSeason,perCrop)'!$M:$M,'Data(perSeason,perCrop)'!$K:$K,Reliability!$A$1,'Data(perSeason,perCrop)'!$C:$C,Reliability!E$3,'Data(perSeason,perCrop)'!$S:$S,Reliability!$A14,'Data(perSeason,perCrop)'!$R:$R,"IRRIGATED")-AVERAGEIFS('Data(perSeason,perCrop)'!$N:$N,'Data(perSeason,perCrop)'!$K:$K,Reliability!$A$1,'Data(perSeason,perCrop)'!$C:$C,Reliability!E$3,'Data(perSeason,perCrop)'!$S:$S,Reliability!$A14,'Data(perSeason,perCrop)'!$R:$R,"IRRIGATED"),"")</f>
        <v/>
      </c>
      <c r="F14" s="46" t="str">
        <f>IF(AND(ISNUMBER(F5),F$4&lt;&gt;14,F$4&lt;&gt;15),AVERAGEIFS('Data(perSeason,perCrop)'!$M:$M,'Data(perSeason,perCrop)'!$K:$K,Reliability!$A$1,'Data(perSeason,perCrop)'!$C:$C,Reliability!F$3,'Data(perSeason,perCrop)'!$S:$S,Reliability!$A14,'Data(perSeason,perCrop)'!$R:$R,"IRRIGATED")-AVERAGEIFS('Data(perSeason,perCrop)'!$N:$N,'Data(perSeason,perCrop)'!$K:$K,Reliability!$A$1,'Data(perSeason,perCrop)'!$C:$C,Reliability!F$3,'Data(perSeason,perCrop)'!$S:$S,Reliability!$A14,'Data(perSeason,perCrop)'!$R:$R,"IRRIGATED"),"")</f>
        <v/>
      </c>
      <c r="G14" s="46" t="str">
        <f>IF(AND(ISNUMBER(G5),G$4&lt;&gt;14,G$4&lt;&gt;15),AVERAGEIFS('Data(perSeason,perCrop)'!$M:$M,'Data(perSeason,perCrop)'!$K:$K,Reliability!$A$1,'Data(perSeason,perCrop)'!$C:$C,Reliability!G$3,'Data(perSeason,perCrop)'!$S:$S,Reliability!$A14,'Data(perSeason,perCrop)'!$R:$R,"IRRIGATED")-AVERAGEIFS('Data(perSeason,perCrop)'!$N:$N,'Data(perSeason,perCrop)'!$K:$K,Reliability!$A$1,'Data(perSeason,perCrop)'!$C:$C,Reliability!G$3,'Data(perSeason,perCrop)'!$S:$S,Reliability!$A14,'Data(perSeason,perCrop)'!$R:$R,"IRRIGATED"),"")</f>
        <v/>
      </c>
      <c r="H14" s="46" t="str">
        <f>IF(AND(ISNUMBER(H5),H$4&lt;&gt;14,H$4&lt;&gt;15),AVERAGEIFS('Data(perSeason,perCrop)'!$M:$M,'Data(perSeason,perCrop)'!$K:$K,Reliability!$A$1,'Data(perSeason,perCrop)'!$C:$C,Reliability!H$3,'Data(perSeason,perCrop)'!$S:$S,Reliability!$A14,'Data(perSeason,perCrop)'!$R:$R,"IRRIGATED")-AVERAGEIFS('Data(perSeason,perCrop)'!$N:$N,'Data(perSeason,perCrop)'!$K:$K,Reliability!$A$1,'Data(perSeason,perCrop)'!$C:$C,Reliability!H$3,'Data(perSeason,perCrop)'!$S:$S,Reliability!$A14,'Data(perSeason,perCrop)'!$R:$R,"IRRIGATED"),"")</f>
        <v/>
      </c>
      <c r="I14" s="46" t="str">
        <f>IF(AND(ISNUMBER(I5),I$4&lt;&gt;14,I$4&lt;&gt;15),AVERAGEIFS('Data(perSeason,perCrop)'!$M:$M,'Data(perSeason,perCrop)'!$K:$K,Reliability!$A$1,'Data(perSeason,perCrop)'!$C:$C,Reliability!I$3,'Data(perSeason,perCrop)'!$S:$S,Reliability!$A14,'Data(perSeason,perCrop)'!$R:$R,"IRRIGATED")-AVERAGEIFS('Data(perSeason,perCrop)'!$N:$N,'Data(perSeason,perCrop)'!$K:$K,Reliability!$A$1,'Data(perSeason,perCrop)'!$C:$C,Reliability!I$3,'Data(perSeason,perCrop)'!$S:$S,Reliability!$A14,'Data(perSeason,perCrop)'!$R:$R,"IRRIGATED"),"")</f>
        <v/>
      </c>
      <c r="J14" s="46" t="str">
        <f>IF(AND(ISNUMBER(J5),J$4&lt;&gt;14,J$4&lt;&gt;15),AVERAGEIFS('Data(perSeason,perCrop)'!$M:$M,'Data(perSeason,perCrop)'!$K:$K,Reliability!$A$1,'Data(perSeason,perCrop)'!$C:$C,Reliability!J$3,'Data(perSeason,perCrop)'!$S:$S,Reliability!$A14,'Data(perSeason,perCrop)'!$R:$R,"IRRIGATED")-AVERAGEIFS('Data(perSeason,perCrop)'!$N:$N,'Data(perSeason,perCrop)'!$K:$K,Reliability!$A$1,'Data(perSeason,perCrop)'!$C:$C,Reliability!J$3,'Data(perSeason,perCrop)'!$S:$S,Reliability!$A14,'Data(perSeason,perCrop)'!$R:$R,"IRRIGATED"),"")</f>
        <v/>
      </c>
      <c r="K14" s="46" t="str">
        <f>IF(AND(ISNUMBER(K5),K$4&lt;&gt;14,K$4&lt;&gt;15),AVERAGEIFS('Data(perSeason,perCrop)'!$M:$M,'Data(perSeason,perCrop)'!$K:$K,Reliability!$A$1,'Data(perSeason,perCrop)'!$C:$C,Reliability!K$3,'Data(perSeason,perCrop)'!$S:$S,Reliability!$A14,'Data(perSeason,perCrop)'!$R:$R,"IRRIGATED")-AVERAGEIFS('Data(perSeason,perCrop)'!$N:$N,'Data(perSeason,perCrop)'!$K:$K,Reliability!$A$1,'Data(perSeason,perCrop)'!$C:$C,Reliability!K$3,'Data(perSeason,perCrop)'!$S:$S,Reliability!$A14,'Data(perSeason,perCrop)'!$R:$R,"IRRIGATED"),"")</f>
        <v/>
      </c>
      <c r="L14" s="46" t="str">
        <f>IF(AND(ISNUMBER(L5),L$4&lt;&gt;14,L$4&lt;&gt;15),AVERAGEIFS('Data(perSeason,perCrop)'!$M:$M,'Data(perSeason,perCrop)'!$K:$K,Reliability!$A$1,'Data(perSeason,perCrop)'!$C:$C,Reliability!L$3,'Data(perSeason,perCrop)'!$S:$S,Reliability!$A14,'Data(perSeason,perCrop)'!$R:$R,"IRRIGATED")-AVERAGEIFS('Data(perSeason,perCrop)'!$N:$N,'Data(perSeason,perCrop)'!$K:$K,Reliability!$A$1,'Data(perSeason,perCrop)'!$C:$C,Reliability!L$3,'Data(perSeason,perCrop)'!$S:$S,Reliability!$A14,'Data(perSeason,perCrop)'!$R:$R,"IRRIGATED"),"")</f>
        <v/>
      </c>
      <c r="M14" s="46" t="str">
        <f>IF(AND(ISNUMBER(M5),M$4&lt;&gt;14,M$4&lt;&gt;15),AVERAGEIFS('Data(perSeason,perCrop)'!$M:$M,'Data(perSeason,perCrop)'!$K:$K,Reliability!$A$1,'Data(perSeason,perCrop)'!$C:$C,Reliability!M$3,'Data(perSeason,perCrop)'!$S:$S,Reliability!$A14,'Data(perSeason,perCrop)'!$R:$R,"IRRIGATED")-AVERAGEIFS('Data(perSeason,perCrop)'!$N:$N,'Data(perSeason,perCrop)'!$K:$K,Reliability!$A$1,'Data(perSeason,perCrop)'!$C:$C,Reliability!M$3,'Data(perSeason,perCrop)'!$S:$S,Reliability!$A14,'Data(perSeason,perCrop)'!$R:$R,"IRRIGATED"),"")</f>
        <v/>
      </c>
      <c r="N14" s="46" t="str">
        <f>IF(AND(ISNUMBER(N5),N$4&lt;&gt;14,N$4&lt;&gt;15),AVERAGEIFS('Data(perSeason,perCrop)'!$M:$M,'Data(perSeason,perCrop)'!$K:$K,Reliability!$A$1,'Data(perSeason,perCrop)'!$C:$C,Reliability!N$3,'Data(perSeason,perCrop)'!$S:$S,Reliability!$A14,'Data(perSeason,perCrop)'!$R:$R,"IRRIGATED")-AVERAGEIFS('Data(perSeason,perCrop)'!$N:$N,'Data(perSeason,perCrop)'!$K:$K,Reliability!$A$1,'Data(perSeason,perCrop)'!$C:$C,Reliability!N$3,'Data(perSeason,perCrop)'!$S:$S,Reliability!$A14,'Data(perSeason,perCrop)'!$R:$R,"IRRIGATED"),"")</f>
        <v/>
      </c>
      <c r="O14" s="46" t="str">
        <f>IF(AND(ISNUMBER(O5),O$4&lt;&gt;14,O$4&lt;&gt;15),AVERAGEIFS('Data(perSeason,perCrop)'!$M:$M,'Data(perSeason,perCrop)'!$K:$K,Reliability!$A$1,'Data(perSeason,perCrop)'!$C:$C,Reliability!O$3,'Data(perSeason,perCrop)'!$S:$S,Reliability!$A14,'Data(perSeason,perCrop)'!$R:$R,"IRRIGATED")-AVERAGEIFS('Data(perSeason,perCrop)'!$N:$N,'Data(perSeason,perCrop)'!$K:$K,Reliability!$A$1,'Data(perSeason,perCrop)'!$C:$C,Reliability!O$3,'Data(perSeason,perCrop)'!$S:$S,Reliability!$A14,'Data(perSeason,perCrop)'!$R:$R,"IRRIGATED"),"")</f>
        <v/>
      </c>
      <c r="P14" s="46" t="str">
        <f>IF(AND(ISNUMBER(P5),P$4&lt;&gt;14,P$4&lt;&gt;15),AVERAGEIFS('Data(perSeason,perCrop)'!$M:$M,'Data(perSeason,perCrop)'!$K:$K,Reliability!$A$1,'Data(perSeason,perCrop)'!$C:$C,Reliability!P$3,'Data(perSeason,perCrop)'!$S:$S,Reliability!$A14,'Data(perSeason,perCrop)'!$R:$R,"IRRIGATED")-AVERAGEIFS('Data(perSeason,perCrop)'!$N:$N,'Data(perSeason,perCrop)'!$K:$K,Reliability!$A$1,'Data(perSeason,perCrop)'!$C:$C,Reliability!P$3,'Data(perSeason,perCrop)'!$S:$S,Reliability!$A14,'Data(perSeason,perCrop)'!$R:$R,"IRRIGATED"),"")</f>
        <v/>
      </c>
      <c r="Q14" s="46" t="str">
        <f>IF(AND(ISNUMBER(Q5),Q$4&lt;&gt;14,Q$4&lt;&gt;15),AVERAGEIFS('Data(perSeason,perCrop)'!$M:$M,'Data(perSeason,perCrop)'!$K:$K,Reliability!$A$1,'Data(perSeason,perCrop)'!$C:$C,Reliability!Q$3,'Data(perSeason,perCrop)'!$S:$S,Reliability!$A14,'Data(perSeason,perCrop)'!$R:$R,"IRRIGATED")-AVERAGEIFS('Data(perSeason,perCrop)'!$N:$N,'Data(perSeason,perCrop)'!$K:$K,Reliability!$A$1,'Data(perSeason,perCrop)'!$C:$C,Reliability!Q$3,'Data(perSeason,perCrop)'!$S:$S,Reliability!$A14,'Data(perSeason,perCrop)'!$R:$R,"IRRIGATED"),"")</f>
        <v/>
      </c>
      <c r="R14" s="46">
        <f>IF(AND(ISNUMBER(R5),R$4&lt;&gt;14,R$4&lt;&gt;15),AVERAGEIFS('Data(perSeason,perCrop)'!$M:$M,'Data(perSeason,perCrop)'!$K:$K,Reliability!$A$1,'Data(perSeason,perCrop)'!$C:$C,Reliability!R$3,'Data(perSeason,perCrop)'!$S:$S,Reliability!$A14,'Data(perSeason,perCrop)'!$R:$R,"IRRIGATED")-AVERAGEIFS('Data(perSeason,perCrop)'!$N:$N,'Data(perSeason,perCrop)'!$K:$K,Reliability!$A$1,'Data(perSeason,perCrop)'!$C:$C,Reliability!R$3,'Data(perSeason,perCrop)'!$S:$S,Reliability!$A14,'Data(perSeason,perCrop)'!$R:$R,"IRRIGATED"),"")</f>
        <v>0.23960025661153106</v>
      </c>
      <c r="S14" s="46" t="str">
        <f>IF(AND(ISNUMBER(S5),S$4&lt;&gt;14,S$4&lt;&gt;15),AVERAGEIFS('Data(perSeason,perCrop)'!$M:$M,'Data(perSeason,perCrop)'!$K:$K,Reliability!$A$1,'Data(perSeason,perCrop)'!$C:$C,Reliability!S$3,'Data(perSeason,perCrop)'!$S:$S,Reliability!$A14,'Data(perSeason,perCrop)'!$R:$R,"IRRIGATED")-AVERAGEIFS('Data(perSeason,perCrop)'!$N:$N,'Data(perSeason,perCrop)'!$K:$K,Reliability!$A$1,'Data(perSeason,perCrop)'!$C:$C,Reliability!S$3,'Data(perSeason,perCrop)'!$S:$S,Reliability!$A14,'Data(perSeason,perCrop)'!$R:$R,"IRRIGATED"),"")</f>
        <v/>
      </c>
      <c r="T14" s="46" t="str">
        <f>IF(AND(ISNUMBER(T5),T$4&lt;&gt;14,T$4&lt;&gt;15),AVERAGEIFS('Data(perSeason,perCrop)'!$M:$M,'Data(perSeason,perCrop)'!$K:$K,Reliability!$A$1,'Data(perSeason,perCrop)'!$C:$C,Reliability!T$3,'Data(perSeason,perCrop)'!$S:$S,Reliability!$A14,'Data(perSeason,perCrop)'!$R:$R,"IRRIGATED")-AVERAGEIFS('Data(perSeason,perCrop)'!$N:$N,'Data(perSeason,perCrop)'!$K:$K,Reliability!$A$1,'Data(perSeason,perCrop)'!$C:$C,Reliability!T$3,'Data(perSeason,perCrop)'!$S:$S,Reliability!$A14,'Data(perSeason,perCrop)'!$R:$R,"IRRIGATED"),"")</f>
        <v/>
      </c>
      <c r="U14" s="46">
        <f>IF(AND(ISNUMBER(U5),U$4&lt;&gt;14,U$4&lt;&gt;15),AVERAGEIFS('Data(perSeason,perCrop)'!$M:$M,'Data(perSeason,perCrop)'!$K:$K,Reliability!$A$1,'Data(perSeason,perCrop)'!$C:$C,Reliability!U$3,'Data(perSeason,perCrop)'!$S:$S,Reliability!$A14,'Data(perSeason,perCrop)'!$R:$R,"IRRIGATED")-AVERAGEIFS('Data(perSeason,perCrop)'!$N:$N,'Data(perSeason,perCrop)'!$K:$K,Reliability!$A$1,'Data(perSeason,perCrop)'!$C:$C,Reliability!U$3,'Data(perSeason,perCrop)'!$S:$S,Reliability!$A14,'Data(perSeason,perCrop)'!$R:$R,"IRRIGATED"),"")</f>
        <v>0.22494834055037805</v>
      </c>
      <c r="V14" s="46" t="str">
        <f>IF(AND(ISNUMBER(V5),V$4&lt;&gt;14,V$4&lt;&gt;15),AVERAGEIFS('Data(perSeason,perCrop)'!$M:$M,'Data(perSeason,perCrop)'!$K:$K,Reliability!$A$1,'Data(perSeason,perCrop)'!$C:$C,Reliability!V$3,'Data(perSeason,perCrop)'!$S:$S,Reliability!$A14,'Data(perSeason,perCrop)'!$R:$R,"IRRIGATED")-AVERAGEIFS('Data(perSeason,perCrop)'!$N:$N,'Data(perSeason,perCrop)'!$K:$K,Reliability!$A$1,'Data(perSeason,perCrop)'!$C:$C,Reliability!V$3,'Data(perSeason,perCrop)'!$S:$S,Reliability!$A14,'Data(perSeason,perCrop)'!$R:$R,"IRRIGATED"),"")</f>
        <v/>
      </c>
      <c r="W14" s="46" t="str">
        <f>IF(AND(ISNUMBER(W5),W$4&lt;&gt;14,W$4&lt;&gt;15),AVERAGEIFS('Data(perSeason,perCrop)'!$M:$M,'Data(perSeason,perCrop)'!$K:$K,Reliability!$A$1,'Data(perSeason,perCrop)'!$C:$C,Reliability!W$3,'Data(perSeason,perCrop)'!$S:$S,Reliability!$A14,'Data(perSeason,perCrop)'!$R:$R,"IRRIGATED")-AVERAGEIFS('Data(perSeason,perCrop)'!$N:$N,'Data(perSeason,perCrop)'!$K:$K,Reliability!$A$1,'Data(perSeason,perCrop)'!$C:$C,Reliability!W$3,'Data(perSeason,perCrop)'!$S:$S,Reliability!$A14,'Data(perSeason,perCrop)'!$R:$R,"IRRIGATED"),"")</f>
        <v/>
      </c>
      <c r="X14" s="46" t="str">
        <f>IF(AND(ISNUMBER(X5),X$4&lt;&gt;14,X$4&lt;&gt;15),AVERAGEIFS('Data(perSeason,perCrop)'!$M:$M,'Data(perSeason,perCrop)'!$K:$K,Reliability!$A$1,'Data(perSeason,perCrop)'!$C:$C,Reliability!X$3,'Data(perSeason,perCrop)'!$S:$S,Reliability!$A14,'Data(perSeason,perCrop)'!$R:$R,"IRRIGATED")-AVERAGEIFS('Data(perSeason,perCrop)'!$N:$N,'Data(perSeason,perCrop)'!$K:$K,Reliability!$A$1,'Data(perSeason,perCrop)'!$C:$C,Reliability!X$3,'Data(perSeason,perCrop)'!$S:$S,Reliability!$A14,'Data(perSeason,perCrop)'!$R:$R,"IRRIGATED"),"")</f>
        <v/>
      </c>
      <c r="Y14" s="46" t="str">
        <f>IF(AND(ISNUMBER(Y5),Y$4&lt;&gt;14,Y$4&lt;&gt;15),AVERAGEIFS('Data(perSeason,perCrop)'!$M:$M,'Data(perSeason,perCrop)'!$K:$K,Reliability!$A$1,'Data(perSeason,perCrop)'!$C:$C,Reliability!Y$3,'Data(perSeason,perCrop)'!$S:$S,Reliability!$A14,'Data(perSeason,perCrop)'!$R:$R,"IRRIGATED")-AVERAGEIFS('Data(perSeason,perCrop)'!$N:$N,'Data(perSeason,perCrop)'!$K:$K,Reliability!$A$1,'Data(perSeason,perCrop)'!$C:$C,Reliability!Y$3,'Data(perSeason,perCrop)'!$S:$S,Reliability!$A14,'Data(perSeason,perCrop)'!$R:$R,"IRRIGATED"),"")</f>
        <v/>
      </c>
      <c r="Z14" s="46" t="str">
        <f>IF(AND(ISNUMBER(Z5),Z$4&lt;&gt;14,Z$4&lt;&gt;15),AVERAGEIFS('Data(perSeason,perCrop)'!$M:$M,'Data(perSeason,perCrop)'!$K:$K,Reliability!$A$1,'Data(perSeason,perCrop)'!$C:$C,Reliability!Z$3,'Data(perSeason,perCrop)'!$S:$S,Reliability!$A14,'Data(perSeason,perCrop)'!$R:$R,"IRRIGATED")-AVERAGEIFS('Data(perSeason,perCrop)'!$N:$N,'Data(perSeason,perCrop)'!$K:$K,Reliability!$A$1,'Data(perSeason,perCrop)'!$C:$C,Reliability!Z$3,'Data(perSeason,perCrop)'!$S:$S,Reliability!$A14,'Data(perSeason,perCrop)'!$R:$R,"IRRIGATED"),"")</f>
        <v/>
      </c>
      <c r="AA14" s="46" t="str">
        <f>IF(AND(ISNUMBER(AA5),AA$4&lt;&gt;14,AA$4&lt;&gt;15),AVERAGEIFS('Data(perSeason,perCrop)'!$M:$M,'Data(perSeason,perCrop)'!$K:$K,Reliability!$A$1,'Data(perSeason,perCrop)'!$C:$C,Reliability!AA$3,'Data(perSeason,perCrop)'!$S:$S,Reliability!$A14,'Data(perSeason,perCrop)'!$R:$R,"IRRIGATED")-AVERAGEIFS('Data(perSeason,perCrop)'!$N:$N,'Data(perSeason,perCrop)'!$K:$K,Reliability!$A$1,'Data(perSeason,perCrop)'!$C:$C,Reliability!AA$3,'Data(perSeason,perCrop)'!$S:$S,Reliability!$A14,'Data(perSeason,perCrop)'!$R:$R,"IRRIGATED"),"")</f>
        <v/>
      </c>
      <c r="AB14" s="46" t="str">
        <f>IF(AND(ISNUMBER(AB5),AB$4&lt;&gt;14,AB$4&lt;&gt;15),AVERAGEIFS('Data(perSeason,perCrop)'!$M:$M,'Data(perSeason,perCrop)'!$K:$K,Reliability!$A$1,'Data(perSeason,perCrop)'!$C:$C,Reliability!AB$3,'Data(perSeason,perCrop)'!$S:$S,Reliability!$A14,'Data(perSeason,perCrop)'!$R:$R,"IRRIGATED")-AVERAGEIFS('Data(perSeason,perCrop)'!$N:$N,'Data(perSeason,perCrop)'!$K:$K,Reliability!$A$1,'Data(perSeason,perCrop)'!$C:$C,Reliability!AB$3,'Data(perSeason,perCrop)'!$S:$S,Reliability!$A14,'Data(perSeason,perCrop)'!$R:$R,"IRRIGATED"),"")</f>
        <v/>
      </c>
      <c r="AC14" s="46" t="str">
        <f>IF(AND(ISNUMBER(AC5),AC$4&lt;&gt;14,AC$4&lt;&gt;15),AVERAGEIFS('Data(perSeason,perCrop)'!$M:$M,'Data(perSeason,perCrop)'!$K:$K,Reliability!$A$1,'Data(perSeason,perCrop)'!$C:$C,Reliability!AC$3,'Data(perSeason,perCrop)'!$S:$S,Reliability!$A14,'Data(perSeason,perCrop)'!$R:$R,"IRRIGATED")-AVERAGEIFS('Data(perSeason,perCrop)'!$N:$N,'Data(perSeason,perCrop)'!$K:$K,Reliability!$A$1,'Data(perSeason,perCrop)'!$C:$C,Reliability!AC$3,'Data(perSeason,perCrop)'!$S:$S,Reliability!$A14,'Data(perSeason,perCrop)'!$R:$R,"IRRIGATED"),"")</f>
        <v/>
      </c>
      <c r="AD14" s="46" t="str">
        <f>IF(AND(ISNUMBER(AD5),AD$4&lt;&gt;14,AD$4&lt;&gt;15),AVERAGEIFS('Data(perSeason,perCrop)'!$M:$M,'Data(perSeason,perCrop)'!$K:$K,Reliability!$A$1,'Data(perSeason,perCrop)'!$C:$C,Reliability!AD$3,'Data(perSeason,perCrop)'!$S:$S,Reliability!$A14,'Data(perSeason,perCrop)'!$R:$R,"IRRIGATED")-AVERAGEIFS('Data(perSeason,perCrop)'!$N:$N,'Data(perSeason,perCrop)'!$K:$K,Reliability!$A$1,'Data(perSeason,perCrop)'!$C:$C,Reliability!AD$3,'Data(perSeason,perCrop)'!$S:$S,Reliability!$A14,'Data(perSeason,perCrop)'!$R:$R,"IRRIGATED"),"")</f>
        <v/>
      </c>
      <c r="AE14" s="46" t="str">
        <f>IF(AND(ISNUMBER(AE5),AE$4&lt;&gt;14,AE$4&lt;&gt;15),AVERAGEIFS('Data(perSeason,perCrop)'!$M:$M,'Data(perSeason,perCrop)'!$K:$K,Reliability!$A$1,'Data(perSeason,perCrop)'!$C:$C,Reliability!AE$3,'Data(perSeason,perCrop)'!$S:$S,Reliability!$A14,'Data(perSeason,perCrop)'!$R:$R,"IRRIGATED")-AVERAGEIFS('Data(perSeason,perCrop)'!$N:$N,'Data(perSeason,perCrop)'!$K:$K,Reliability!$A$1,'Data(perSeason,perCrop)'!$C:$C,Reliability!AE$3,'Data(perSeason,perCrop)'!$S:$S,Reliability!$A14,'Data(perSeason,perCrop)'!$R:$R,"IRRIGATED"),"")</f>
        <v/>
      </c>
      <c r="AF14" s="46" t="str">
        <f>IF(AND(ISNUMBER(AF5),AF$4&lt;&gt;14,AF$4&lt;&gt;15),AVERAGEIFS('Data(perSeason,perCrop)'!$M:$M,'Data(perSeason,perCrop)'!$K:$K,Reliability!$A$1,'Data(perSeason,perCrop)'!$C:$C,Reliability!AF$3,'Data(perSeason,perCrop)'!$S:$S,Reliability!$A14,'Data(perSeason,perCrop)'!$R:$R,"IRRIGATED")-AVERAGEIFS('Data(perSeason,perCrop)'!$N:$N,'Data(perSeason,perCrop)'!$K:$K,Reliability!$A$1,'Data(perSeason,perCrop)'!$C:$C,Reliability!AF$3,'Data(perSeason,perCrop)'!$S:$S,Reliability!$A14,'Data(perSeason,perCrop)'!$R:$R,"IRRIGATED"),"")</f>
        <v/>
      </c>
    </row>
    <row r="15" spans="1:40" ht="18.75" x14ac:dyDescent="0.3">
      <c r="A15" s="42">
        <v>2019</v>
      </c>
      <c r="B15" s="46" t="str">
        <f>IF(AND(ISNUMBER(#REF!),B$4&lt;&gt;14,B$4&lt;&gt;15),AVERAGEIFS('Data(perSeason,perCrop)'!$M:$M,'Data(perSeason,perCrop)'!$K:$K,Reliability!$A$1,'Data(perSeason,perCrop)'!$C:$C,Reliability!B$3,'Data(perSeason,perCrop)'!$S:$S,Reliability!$A15,'Data(perSeason,perCrop)'!$R:$R,"IRRIGATED")-AVERAGEIFS('Data(perSeason,perCrop)'!$N:$N,'Data(perSeason,perCrop)'!$K:$K,Reliability!$A$1,'Data(perSeason,perCrop)'!$C:$C,Reliability!B$3,'Data(perSeason,perCrop)'!$S:$S,Reliability!$A15,'Data(perSeason,perCrop)'!$R:$R,"IRRIGATED"),"")</f>
        <v/>
      </c>
      <c r="C15" s="51">
        <f>IF(AND(ISNUMBER(C6),C$4&lt;&gt;14,C$4&lt;&gt;15),AVERAGEIFS('Data(perSeason,perCrop)'!$M:$M,'Data(perSeason,perCrop)'!$K:$K,Reliability!$A$1,'Data(perSeason,perCrop)'!$C:$C,Reliability!C$3,'Data(perSeason,perCrop)'!$S:$S,Reliability!$A15,'Data(perSeason,perCrop)'!$R:$R,"IRRIGATED")-AVERAGEIFS('Data(perSeason,perCrop)'!$N:$N,'Data(perSeason,perCrop)'!$K:$K,Reliability!$A$1,'Data(perSeason,perCrop)'!$C:$C,Reliability!C$3,'Data(perSeason,perCrop)'!$S:$S,Reliability!$A15,'Data(perSeason,perCrop)'!$R:$R,"IRRIGATED"),"")</f>
        <v>0.30633765303118443</v>
      </c>
      <c r="D15" s="46" t="str">
        <f>IF(AND(ISNUMBER(D6),D$4&lt;&gt;14,D$4&lt;&gt;15),AVERAGEIFS('Data(perSeason,perCrop)'!$M:$M,'Data(perSeason,perCrop)'!$K:$K,Reliability!$A$1,'Data(perSeason,perCrop)'!$C:$C,Reliability!D$3,'Data(perSeason,perCrop)'!$S:$S,Reliability!$A15,'Data(perSeason,perCrop)'!$R:$R,"IRRIGATED")-AVERAGEIFS('Data(perSeason,perCrop)'!$N:$N,'Data(perSeason,perCrop)'!$K:$K,Reliability!$A$1,'Data(perSeason,perCrop)'!$C:$C,Reliability!D$3,'Data(perSeason,perCrop)'!$S:$S,Reliability!$A15,'Data(perSeason,perCrop)'!$R:$R,"IRRIGATED"),"")</f>
        <v/>
      </c>
      <c r="E15" s="46" t="str">
        <f>IF(AND(ISNUMBER(E6),E$4&lt;&gt;14,E$4&lt;&gt;15),AVERAGEIFS('Data(perSeason,perCrop)'!$M:$M,'Data(perSeason,perCrop)'!$K:$K,Reliability!$A$1,'Data(perSeason,perCrop)'!$C:$C,Reliability!E$3,'Data(perSeason,perCrop)'!$S:$S,Reliability!$A15,'Data(perSeason,perCrop)'!$R:$R,"IRRIGATED")-AVERAGEIFS('Data(perSeason,perCrop)'!$N:$N,'Data(perSeason,perCrop)'!$K:$K,Reliability!$A$1,'Data(perSeason,perCrop)'!$C:$C,Reliability!E$3,'Data(perSeason,perCrop)'!$S:$S,Reliability!$A15,'Data(perSeason,perCrop)'!$R:$R,"IRRIGATED"),"")</f>
        <v/>
      </c>
      <c r="F15" s="46" t="str">
        <f>IF(AND(ISNUMBER(F6),F$4&lt;&gt;14,F$4&lt;&gt;15),AVERAGEIFS('Data(perSeason,perCrop)'!$M:$M,'Data(perSeason,perCrop)'!$K:$K,Reliability!$A$1,'Data(perSeason,perCrop)'!$C:$C,Reliability!F$3,'Data(perSeason,perCrop)'!$S:$S,Reliability!$A15,'Data(perSeason,perCrop)'!$R:$R,"IRRIGATED")-AVERAGEIFS('Data(perSeason,perCrop)'!$N:$N,'Data(perSeason,perCrop)'!$K:$K,Reliability!$A$1,'Data(perSeason,perCrop)'!$C:$C,Reliability!F$3,'Data(perSeason,perCrop)'!$S:$S,Reliability!$A15,'Data(perSeason,perCrop)'!$R:$R,"IRRIGATED"),"")</f>
        <v/>
      </c>
      <c r="G15" s="46" t="str">
        <f>IF(AND(ISNUMBER(G6),G$4&lt;&gt;14,G$4&lt;&gt;15),AVERAGEIFS('Data(perSeason,perCrop)'!$M:$M,'Data(perSeason,perCrop)'!$K:$K,Reliability!$A$1,'Data(perSeason,perCrop)'!$C:$C,Reliability!G$3,'Data(perSeason,perCrop)'!$S:$S,Reliability!$A15,'Data(perSeason,perCrop)'!$R:$R,"IRRIGATED")-AVERAGEIFS('Data(perSeason,perCrop)'!$N:$N,'Data(perSeason,perCrop)'!$K:$K,Reliability!$A$1,'Data(perSeason,perCrop)'!$C:$C,Reliability!G$3,'Data(perSeason,perCrop)'!$S:$S,Reliability!$A15,'Data(perSeason,perCrop)'!$R:$R,"IRRIGATED"),"")</f>
        <v/>
      </c>
      <c r="H15" s="46" t="str">
        <f>IF(AND(ISNUMBER(H6),H$4&lt;&gt;14,H$4&lt;&gt;15),AVERAGEIFS('Data(perSeason,perCrop)'!$M:$M,'Data(perSeason,perCrop)'!$K:$K,Reliability!$A$1,'Data(perSeason,perCrop)'!$C:$C,Reliability!H$3,'Data(perSeason,perCrop)'!$S:$S,Reliability!$A15,'Data(perSeason,perCrop)'!$R:$R,"IRRIGATED")-AVERAGEIFS('Data(perSeason,perCrop)'!$N:$N,'Data(perSeason,perCrop)'!$K:$K,Reliability!$A$1,'Data(perSeason,perCrop)'!$C:$C,Reliability!H$3,'Data(perSeason,perCrop)'!$S:$S,Reliability!$A15,'Data(perSeason,perCrop)'!$R:$R,"IRRIGATED"),"")</f>
        <v/>
      </c>
      <c r="I15" s="46" t="str">
        <f>IF(AND(ISNUMBER(I6),I$4&lt;&gt;14,I$4&lt;&gt;15),AVERAGEIFS('Data(perSeason,perCrop)'!$M:$M,'Data(perSeason,perCrop)'!$K:$K,Reliability!$A$1,'Data(perSeason,perCrop)'!$C:$C,Reliability!I$3,'Data(perSeason,perCrop)'!$S:$S,Reliability!$A15,'Data(perSeason,perCrop)'!$R:$R,"IRRIGATED")-AVERAGEIFS('Data(perSeason,perCrop)'!$N:$N,'Data(perSeason,perCrop)'!$K:$K,Reliability!$A$1,'Data(perSeason,perCrop)'!$C:$C,Reliability!I$3,'Data(perSeason,perCrop)'!$S:$S,Reliability!$A15,'Data(perSeason,perCrop)'!$R:$R,"IRRIGATED"),"")</f>
        <v/>
      </c>
      <c r="J15" s="46" t="str">
        <f>IF(AND(ISNUMBER(J6),J$4&lt;&gt;14,J$4&lt;&gt;15),AVERAGEIFS('Data(perSeason,perCrop)'!$M:$M,'Data(perSeason,perCrop)'!$K:$K,Reliability!$A$1,'Data(perSeason,perCrop)'!$C:$C,Reliability!J$3,'Data(perSeason,perCrop)'!$S:$S,Reliability!$A15,'Data(perSeason,perCrop)'!$R:$R,"IRRIGATED")-AVERAGEIFS('Data(perSeason,perCrop)'!$N:$N,'Data(perSeason,perCrop)'!$K:$K,Reliability!$A$1,'Data(perSeason,perCrop)'!$C:$C,Reliability!J$3,'Data(perSeason,perCrop)'!$S:$S,Reliability!$A15,'Data(perSeason,perCrop)'!$R:$R,"IRRIGATED"),"")</f>
        <v/>
      </c>
      <c r="K15" s="46" t="str">
        <f>IF(AND(ISNUMBER(K6),K$4&lt;&gt;14,K$4&lt;&gt;15),AVERAGEIFS('Data(perSeason,perCrop)'!$M:$M,'Data(perSeason,perCrop)'!$K:$K,Reliability!$A$1,'Data(perSeason,perCrop)'!$C:$C,Reliability!K$3,'Data(perSeason,perCrop)'!$S:$S,Reliability!$A15,'Data(perSeason,perCrop)'!$R:$R,"IRRIGATED")-AVERAGEIFS('Data(perSeason,perCrop)'!$N:$N,'Data(perSeason,perCrop)'!$K:$K,Reliability!$A$1,'Data(perSeason,perCrop)'!$C:$C,Reliability!K$3,'Data(perSeason,perCrop)'!$S:$S,Reliability!$A15,'Data(perSeason,perCrop)'!$R:$R,"IRRIGATED"),"")</f>
        <v/>
      </c>
      <c r="L15" s="46" t="str">
        <f>IF(AND(ISNUMBER(L6),L$4&lt;&gt;14,L$4&lt;&gt;15),AVERAGEIFS('Data(perSeason,perCrop)'!$M:$M,'Data(perSeason,perCrop)'!$K:$K,Reliability!$A$1,'Data(perSeason,perCrop)'!$C:$C,Reliability!L$3,'Data(perSeason,perCrop)'!$S:$S,Reliability!$A15,'Data(perSeason,perCrop)'!$R:$R,"IRRIGATED")-AVERAGEIFS('Data(perSeason,perCrop)'!$N:$N,'Data(perSeason,perCrop)'!$K:$K,Reliability!$A$1,'Data(perSeason,perCrop)'!$C:$C,Reliability!L$3,'Data(perSeason,perCrop)'!$S:$S,Reliability!$A15,'Data(perSeason,perCrop)'!$R:$R,"IRRIGATED"),"")</f>
        <v/>
      </c>
      <c r="M15" s="46" t="str">
        <f>IF(AND(ISNUMBER(M6),M$4&lt;&gt;14,M$4&lt;&gt;15),AVERAGEIFS('Data(perSeason,perCrop)'!$M:$M,'Data(perSeason,perCrop)'!$K:$K,Reliability!$A$1,'Data(perSeason,perCrop)'!$C:$C,Reliability!M$3,'Data(perSeason,perCrop)'!$S:$S,Reliability!$A15,'Data(perSeason,perCrop)'!$R:$R,"IRRIGATED")-AVERAGEIFS('Data(perSeason,perCrop)'!$N:$N,'Data(perSeason,perCrop)'!$K:$K,Reliability!$A$1,'Data(perSeason,perCrop)'!$C:$C,Reliability!M$3,'Data(perSeason,perCrop)'!$S:$S,Reliability!$A15,'Data(perSeason,perCrop)'!$R:$R,"IRRIGATED"),"")</f>
        <v/>
      </c>
      <c r="N15" s="46" t="str">
        <f>IF(AND(ISNUMBER(N6),N$4&lt;&gt;14,N$4&lt;&gt;15),AVERAGEIFS('Data(perSeason,perCrop)'!$M:$M,'Data(perSeason,perCrop)'!$K:$K,Reliability!$A$1,'Data(perSeason,perCrop)'!$C:$C,Reliability!N$3,'Data(perSeason,perCrop)'!$S:$S,Reliability!$A15,'Data(perSeason,perCrop)'!$R:$R,"IRRIGATED")-AVERAGEIFS('Data(perSeason,perCrop)'!$N:$N,'Data(perSeason,perCrop)'!$K:$K,Reliability!$A$1,'Data(perSeason,perCrop)'!$C:$C,Reliability!N$3,'Data(perSeason,perCrop)'!$S:$S,Reliability!$A15,'Data(perSeason,perCrop)'!$R:$R,"IRRIGATED"),"")</f>
        <v/>
      </c>
      <c r="O15" s="46" t="str">
        <f>IF(AND(ISNUMBER(O6),O$4&lt;&gt;14,O$4&lt;&gt;15),AVERAGEIFS('Data(perSeason,perCrop)'!$M:$M,'Data(perSeason,perCrop)'!$K:$K,Reliability!$A$1,'Data(perSeason,perCrop)'!$C:$C,Reliability!O$3,'Data(perSeason,perCrop)'!$S:$S,Reliability!$A15,'Data(perSeason,perCrop)'!$R:$R,"IRRIGATED")-AVERAGEIFS('Data(perSeason,perCrop)'!$N:$N,'Data(perSeason,perCrop)'!$K:$K,Reliability!$A$1,'Data(perSeason,perCrop)'!$C:$C,Reliability!O$3,'Data(perSeason,perCrop)'!$S:$S,Reliability!$A15,'Data(perSeason,perCrop)'!$R:$R,"IRRIGATED"),"")</f>
        <v/>
      </c>
      <c r="P15" s="46" t="str">
        <f>IF(AND(ISNUMBER(P6),P$4&lt;&gt;14,P$4&lt;&gt;15),AVERAGEIFS('Data(perSeason,perCrop)'!$M:$M,'Data(perSeason,perCrop)'!$K:$K,Reliability!$A$1,'Data(perSeason,perCrop)'!$C:$C,Reliability!P$3,'Data(perSeason,perCrop)'!$S:$S,Reliability!$A15,'Data(perSeason,perCrop)'!$R:$R,"IRRIGATED")-AVERAGEIFS('Data(perSeason,perCrop)'!$N:$N,'Data(perSeason,perCrop)'!$K:$K,Reliability!$A$1,'Data(perSeason,perCrop)'!$C:$C,Reliability!P$3,'Data(perSeason,perCrop)'!$S:$S,Reliability!$A15,'Data(perSeason,perCrop)'!$R:$R,"IRRIGATED"),"")</f>
        <v/>
      </c>
      <c r="Q15" s="46" t="str">
        <f>IF(AND(ISNUMBER(Q6),Q$4&lt;&gt;14,Q$4&lt;&gt;15),AVERAGEIFS('Data(perSeason,perCrop)'!$M:$M,'Data(perSeason,perCrop)'!$K:$K,Reliability!$A$1,'Data(perSeason,perCrop)'!$C:$C,Reliability!Q$3,'Data(perSeason,perCrop)'!$S:$S,Reliability!$A15,'Data(perSeason,perCrop)'!$R:$R,"IRRIGATED")-AVERAGEIFS('Data(perSeason,perCrop)'!$N:$N,'Data(perSeason,perCrop)'!$K:$K,Reliability!$A$1,'Data(perSeason,perCrop)'!$C:$C,Reliability!Q$3,'Data(perSeason,perCrop)'!$S:$S,Reliability!$A15,'Data(perSeason,perCrop)'!$R:$R,"IRRIGATED"),"")</f>
        <v/>
      </c>
      <c r="R15" s="46">
        <f>IF(AND(ISNUMBER(R6),R$4&lt;&gt;14,R$4&lt;&gt;15),AVERAGEIFS('Data(perSeason,perCrop)'!$M:$M,'Data(perSeason,perCrop)'!$K:$K,Reliability!$A$1,'Data(perSeason,perCrop)'!$C:$C,Reliability!R$3,'Data(perSeason,perCrop)'!$S:$S,Reliability!$A15,'Data(perSeason,perCrop)'!$R:$R,"IRRIGATED")-AVERAGEIFS('Data(perSeason,perCrop)'!$N:$N,'Data(perSeason,perCrop)'!$K:$K,Reliability!$A$1,'Data(perSeason,perCrop)'!$C:$C,Reliability!R$3,'Data(perSeason,perCrop)'!$S:$S,Reliability!$A15,'Data(perSeason,perCrop)'!$R:$R,"IRRIGATED"),"")</f>
        <v>0.29479871945045311</v>
      </c>
      <c r="S15" s="46" t="str">
        <f>IF(AND(ISNUMBER(S6),S$4&lt;&gt;14,S$4&lt;&gt;15),AVERAGEIFS('Data(perSeason,perCrop)'!$M:$M,'Data(perSeason,perCrop)'!$K:$K,Reliability!$A$1,'Data(perSeason,perCrop)'!$C:$C,Reliability!S$3,'Data(perSeason,perCrop)'!$S:$S,Reliability!$A15,'Data(perSeason,perCrop)'!$R:$R,"IRRIGATED")-AVERAGEIFS('Data(perSeason,perCrop)'!$N:$N,'Data(perSeason,perCrop)'!$K:$K,Reliability!$A$1,'Data(perSeason,perCrop)'!$C:$C,Reliability!S$3,'Data(perSeason,perCrop)'!$S:$S,Reliability!$A15,'Data(perSeason,perCrop)'!$R:$R,"IRRIGATED"),"")</f>
        <v/>
      </c>
      <c r="T15" s="46" t="str">
        <f>IF(AND(ISNUMBER(T6),T$4&lt;&gt;14,T$4&lt;&gt;15),AVERAGEIFS('Data(perSeason,perCrop)'!$M:$M,'Data(perSeason,perCrop)'!$K:$K,Reliability!$A$1,'Data(perSeason,perCrop)'!$C:$C,Reliability!T$3,'Data(perSeason,perCrop)'!$S:$S,Reliability!$A15,'Data(perSeason,perCrop)'!$R:$R,"IRRIGATED")-AVERAGEIFS('Data(perSeason,perCrop)'!$N:$N,'Data(perSeason,perCrop)'!$K:$K,Reliability!$A$1,'Data(perSeason,perCrop)'!$C:$C,Reliability!T$3,'Data(perSeason,perCrop)'!$S:$S,Reliability!$A15,'Data(perSeason,perCrop)'!$R:$R,"IRRIGATED"),"")</f>
        <v/>
      </c>
      <c r="U15" s="46">
        <f>IF(AND(ISNUMBER(U6),U$4&lt;&gt;14,U$4&lt;&gt;15),AVERAGEIFS('Data(perSeason,perCrop)'!$M:$M,'Data(perSeason,perCrop)'!$K:$K,Reliability!$A$1,'Data(perSeason,perCrop)'!$C:$C,Reliability!U$3,'Data(perSeason,perCrop)'!$S:$S,Reliability!$A15,'Data(perSeason,perCrop)'!$R:$R,"IRRIGATED")-AVERAGEIFS('Data(perSeason,perCrop)'!$N:$N,'Data(perSeason,perCrop)'!$K:$K,Reliability!$A$1,'Data(perSeason,perCrop)'!$C:$C,Reliability!U$3,'Data(perSeason,perCrop)'!$S:$S,Reliability!$A15,'Data(perSeason,perCrop)'!$R:$R,"IRRIGATED"),"")</f>
        <v>0.32109579247768505</v>
      </c>
      <c r="V15" s="46" t="str">
        <f>IF(AND(ISNUMBER(V6),V$4&lt;&gt;14,V$4&lt;&gt;15),AVERAGEIFS('Data(perSeason,perCrop)'!$M:$M,'Data(perSeason,perCrop)'!$K:$K,Reliability!$A$1,'Data(perSeason,perCrop)'!$C:$C,Reliability!V$3,'Data(perSeason,perCrop)'!$S:$S,Reliability!$A15,'Data(perSeason,perCrop)'!$R:$R,"IRRIGATED")-AVERAGEIFS('Data(perSeason,perCrop)'!$N:$N,'Data(perSeason,perCrop)'!$K:$K,Reliability!$A$1,'Data(perSeason,perCrop)'!$C:$C,Reliability!V$3,'Data(perSeason,perCrop)'!$S:$S,Reliability!$A15,'Data(perSeason,perCrop)'!$R:$R,"IRRIGATED"),"")</f>
        <v/>
      </c>
      <c r="W15" s="46" t="str">
        <f>IF(AND(ISNUMBER(W6),W$4&lt;&gt;14,W$4&lt;&gt;15),AVERAGEIFS('Data(perSeason,perCrop)'!$M:$M,'Data(perSeason,perCrop)'!$K:$K,Reliability!$A$1,'Data(perSeason,perCrop)'!$C:$C,Reliability!W$3,'Data(perSeason,perCrop)'!$S:$S,Reliability!$A15,'Data(perSeason,perCrop)'!$R:$R,"IRRIGATED")-AVERAGEIFS('Data(perSeason,perCrop)'!$N:$N,'Data(perSeason,perCrop)'!$K:$K,Reliability!$A$1,'Data(perSeason,perCrop)'!$C:$C,Reliability!W$3,'Data(perSeason,perCrop)'!$S:$S,Reliability!$A15,'Data(perSeason,perCrop)'!$R:$R,"IRRIGATED"),"")</f>
        <v/>
      </c>
      <c r="X15" s="46" t="str">
        <f>IF(AND(ISNUMBER(X6),X$4&lt;&gt;14,X$4&lt;&gt;15),AVERAGEIFS('Data(perSeason,perCrop)'!$M:$M,'Data(perSeason,perCrop)'!$K:$K,Reliability!$A$1,'Data(perSeason,perCrop)'!$C:$C,Reliability!X$3,'Data(perSeason,perCrop)'!$S:$S,Reliability!$A15,'Data(perSeason,perCrop)'!$R:$R,"IRRIGATED")-AVERAGEIFS('Data(perSeason,perCrop)'!$N:$N,'Data(perSeason,perCrop)'!$K:$K,Reliability!$A$1,'Data(perSeason,perCrop)'!$C:$C,Reliability!X$3,'Data(perSeason,perCrop)'!$S:$S,Reliability!$A15,'Data(perSeason,perCrop)'!$R:$R,"IRRIGATED"),"")</f>
        <v/>
      </c>
      <c r="Y15" s="46" t="str">
        <f>IF(AND(ISNUMBER(Y6),Y$4&lt;&gt;14,Y$4&lt;&gt;15),AVERAGEIFS('Data(perSeason,perCrop)'!$M:$M,'Data(perSeason,perCrop)'!$K:$K,Reliability!$A$1,'Data(perSeason,perCrop)'!$C:$C,Reliability!Y$3,'Data(perSeason,perCrop)'!$S:$S,Reliability!$A15,'Data(perSeason,perCrop)'!$R:$R,"IRRIGATED")-AVERAGEIFS('Data(perSeason,perCrop)'!$N:$N,'Data(perSeason,perCrop)'!$K:$K,Reliability!$A$1,'Data(perSeason,perCrop)'!$C:$C,Reliability!Y$3,'Data(perSeason,perCrop)'!$S:$S,Reliability!$A15,'Data(perSeason,perCrop)'!$R:$R,"IRRIGATED"),"")</f>
        <v/>
      </c>
      <c r="Z15" s="46" t="str">
        <f>IF(AND(ISNUMBER(Z6),Z$4&lt;&gt;14,Z$4&lt;&gt;15),AVERAGEIFS('Data(perSeason,perCrop)'!$M:$M,'Data(perSeason,perCrop)'!$K:$K,Reliability!$A$1,'Data(perSeason,perCrop)'!$C:$C,Reliability!Z$3,'Data(perSeason,perCrop)'!$S:$S,Reliability!$A15,'Data(perSeason,perCrop)'!$R:$R,"IRRIGATED")-AVERAGEIFS('Data(perSeason,perCrop)'!$N:$N,'Data(perSeason,perCrop)'!$K:$K,Reliability!$A$1,'Data(perSeason,perCrop)'!$C:$C,Reliability!Z$3,'Data(perSeason,perCrop)'!$S:$S,Reliability!$A15,'Data(perSeason,perCrop)'!$R:$R,"IRRIGATED"),"")</f>
        <v/>
      </c>
      <c r="AA15" s="46" t="str">
        <f>IF(AND(ISNUMBER(AA6),AA$4&lt;&gt;14,AA$4&lt;&gt;15),AVERAGEIFS('Data(perSeason,perCrop)'!$M:$M,'Data(perSeason,perCrop)'!$K:$K,Reliability!$A$1,'Data(perSeason,perCrop)'!$C:$C,Reliability!AA$3,'Data(perSeason,perCrop)'!$S:$S,Reliability!$A15,'Data(perSeason,perCrop)'!$R:$R,"IRRIGATED")-AVERAGEIFS('Data(perSeason,perCrop)'!$N:$N,'Data(perSeason,perCrop)'!$K:$K,Reliability!$A$1,'Data(perSeason,perCrop)'!$C:$C,Reliability!AA$3,'Data(perSeason,perCrop)'!$S:$S,Reliability!$A15,'Data(perSeason,perCrop)'!$R:$R,"IRRIGATED"),"")</f>
        <v/>
      </c>
      <c r="AB15" s="46" t="str">
        <f>IF(AND(ISNUMBER(AB6),AB$4&lt;&gt;14,AB$4&lt;&gt;15),AVERAGEIFS('Data(perSeason,perCrop)'!$M:$M,'Data(perSeason,perCrop)'!$K:$K,Reliability!$A$1,'Data(perSeason,perCrop)'!$C:$C,Reliability!AB$3,'Data(perSeason,perCrop)'!$S:$S,Reliability!$A15,'Data(perSeason,perCrop)'!$R:$R,"IRRIGATED")-AVERAGEIFS('Data(perSeason,perCrop)'!$N:$N,'Data(perSeason,perCrop)'!$K:$K,Reliability!$A$1,'Data(perSeason,perCrop)'!$C:$C,Reliability!AB$3,'Data(perSeason,perCrop)'!$S:$S,Reliability!$A15,'Data(perSeason,perCrop)'!$R:$R,"IRRIGATED"),"")</f>
        <v/>
      </c>
      <c r="AC15" s="46" t="str">
        <f>IF(AND(ISNUMBER(AC6),AC$4&lt;&gt;14,AC$4&lt;&gt;15),AVERAGEIFS('Data(perSeason,perCrop)'!$M:$M,'Data(perSeason,perCrop)'!$K:$K,Reliability!$A$1,'Data(perSeason,perCrop)'!$C:$C,Reliability!AC$3,'Data(perSeason,perCrop)'!$S:$S,Reliability!$A15,'Data(perSeason,perCrop)'!$R:$R,"IRRIGATED")-AVERAGEIFS('Data(perSeason,perCrop)'!$N:$N,'Data(perSeason,perCrop)'!$K:$K,Reliability!$A$1,'Data(perSeason,perCrop)'!$C:$C,Reliability!AC$3,'Data(perSeason,perCrop)'!$S:$S,Reliability!$A15,'Data(perSeason,perCrop)'!$R:$R,"IRRIGATED"),"")</f>
        <v/>
      </c>
      <c r="AD15" s="46" t="str">
        <f>IF(AND(ISNUMBER(AD6),AD$4&lt;&gt;14,AD$4&lt;&gt;15),AVERAGEIFS('Data(perSeason,perCrop)'!$M:$M,'Data(perSeason,perCrop)'!$K:$K,Reliability!$A$1,'Data(perSeason,perCrop)'!$C:$C,Reliability!AD$3,'Data(perSeason,perCrop)'!$S:$S,Reliability!$A15,'Data(perSeason,perCrop)'!$R:$R,"IRRIGATED")-AVERAGEIFS('Data(perSeason,perCrop)'!$N:$N,'Data(perSeason,perCrop)'!$K:$K,Reliability!$A$1,'Data(perSeason,perCrop)'!$C:$C,Reliability!AD$3,'Data(perSeason,perCrop)'!$S:$S,Reliability!$A15,'Data(perSeason,perCrop)'!$R:$R,"IRRIGATED"),"")</f>
        <v/>
      </c>
      <c r="AE15" s="46" t="str">
        <f>IF(AND(ISNUMBER(AE6),AE$4&lt;&gt;14,AE$4&lt;&gt;15),AVERAGEIFS('Data(perSeason,perCrop)'!$M:$M,'Data(perSeason,perCrop)'!$K:$K,Reliability!$A$1,'Data(perSeason,perCrop)'!$C:$C,Reliability!AE$3,'Data(perSeason,perCrop)'!$S:$S,Reliability!$A15,'Data(perSeason,perCrop)'!$R:$R,"IRRIGATED")-AVERAGEIFS('Data(perSeason,perCrop)'!$N:$N,'Data(perSeason,perCrop)'!$K:$K,Reliability!$A$1,'Data(perSeason,perCrop)'!$C:$C,Reliability!AE$3,'Data(perSeason,perCrop)'!$S:$S,Reliability!$A15,'Data(perSeason,perCrop)'!$R:$R,"IRRIGATED"),"")</f>
        <v/>
      </c>
      <c r="AF15" s="46" t="str">
        <f>IF(AND(ISNUMBER(AF6),AF$4&lt;&gt;14,AF$4&lt;&gt;15),AVERAGEIFS('Data(perSeason,perCrop)'!$M:$M,'Data(perSeason,perCrop)'!$K:$K,Reliability!$A$1,'Data(perSeason,perCrop)'!$C:$C,Reliability!AF$3,'Data(perSeason,perCrop)'!$S:$S,Reliability!$A15,'Data(perSeason,perCrop)'!$R:$R,"IRRIGATED")-AVERAGEIFS('Data(perSeason,perCrop)'!$N:$N,'Data(perSeason,perCrop)'!$K:$K,Reliability!$A$1,'Data(perSeason,perCrop)'!$C:$C,Reliability!AF$3,'Data(perSeason,perCrop)'!$S:$S,Reliability!$A15,'Data(perSeason,perCrop)'!$R:$R,"IRRIGATED"),"")</f>
        <v/>
      </c>
    </row>
    <row r="16" spans="1:40" ht="18.75" x14ac:dyDescent="0.3">
      <c r="A16" s="42">
        <v>2020</v>
      </c>
      <c r="B16" s="46" t="str">
        <f>IF(AND(ISNUMBER(#REF!),B$4&lt;&gt;14,B$4&lt;&gt;15),AVERAGEIFS('Data(perSeason,perCrop)'!$M:$M,'Data(perSeason,perCrop)'!$K:$K,Reliability!$A$1,'Data(perSeason,perCrop)'!$C:$C,Reliability!B$3,'Data(perSeason,perCrop)'!$S:$S,Reliability!$A16,'Data(perSeason,perCrop)'!$R:$R,"IRRIGATED")-AVERAGEIFS('Data(perSeason,perCrop)'!$N:$N,'Data(perSeason,perCrop)'!$K:$K,Reliability!$A$1,'Data(perSeason,perCrop)'!$C:$C,Reliability!B$3,'Data(perSeason,perCrop)'!$S:$S,Reliability!$A16,'Data(perSeason,perCrop)'!$R:$R,"IRRIGATED"),"")</f>
        <v/>
      </c>
      <c r="C16" s="51">
        <f>IF(AND(ISNUMBER(C7),C$4&lt;&gt;14,C$4&lt;&gt;15),AVERAGEIFS('Data(perSeason,perCrop)'!$M:$M,'Data(perSeason,perCrop)'!$K:$K,Reliability!$A$1,'Data(perSeason,perCrop)'!$C:$C,Reliability!C$3,'Data(perSeason,perCrop)'!$S:$S,Reliability!$A16,'Data(perSeason,perCrop)'!$R:$R,"IRRIGATED")-AVERAGEIFS('Data(perSeason,perCrop)'!$N:$N,'Data(perSeason,perCrop)'!$K:$K,Reliability!$A$1,'Data(perSeason,perCrop)'!$C:$C,Reliability!C$3,'Data(perSeason,perCrop)'!$S:$S,Reliability!$A16,'Data(perSeason,perCrop)'!$R:$R,"IRRIGATED"),"")</f>
        <v>0.21954009418254949</v>
      </c>
      <c r="D16" s="46" t="str">
        <f>IF(AND(ISNUMBER(D7),D$4&lt;&gt;14,D$4&lt;&gt;15),AVERAGEIFS('Data(perSeason,perCrop)'!$M:$M,'Data(perSeason,perCrop)'!$K:$K,Reliability!$A$1,'Data(perSeason,perCrop)'!$C:$C,Reliability!D$3,'Data(perSeason,perCrop)'!$S:$S,Reliability!$A16,'Data(perSeason,perCrop)'!$R:$R,"IRRIGATED")-AVERAGEIFS('Data(perSeason,perCrop)'!$N:$N,'Data(perSeason,perCrop)'!$K:$K,Reliability!$A$1,'Data(perSeason,perCrop)'!$C:$C,Reliability!D$3,'Data(perSeason,perCrop)'!$S:$S,Reliability!$A16,'Data(perSeason,perCrop)'!$R:$R,"IRRIGATED"),"")</f>
        <v/>
      </c>
      <c r="E16" s="46" t="str">
        <f>IF(AND(ISNUMBER(E7),E$4&lt;&gt;14,E$4&lt;&gt;15),AVERAGEIFS('Data(perSeason,perCrop)'!$M:$M,'Data(perSeason,perCrop)'!$K:$K,Reliability!$A$1,'Data(perSeason,perCrop)'!$C:$C,Reliability!E$3,'Data(perSeason,perCrop)'!$S:$S,Reliability!$A16,'Data(perSeason,perCrop)'!$R:$R,"IRRIGATED")-AVERAGEIFS('Data(perSeason,perCrop)'!$N:$N,'Data(perSeason,perCrop)'!$K:$K,Reliability!$A$1,'Data(perSeason,perCrop)'!$C:$C,Reliability!E$3,'Data(perSeason,perCrop)'!$S:$S,Reliability!$A16,'Data(perSeason,perCrop)'!$R:$R,"IRRIGATED"),"")</f>
        <v/>
      </c>
      <c r="F16" s="46" t="str">
        <f>IF(AND(ISNUMBER(F7),F$4&lt;&gt;14,F$4&lt;&gt;15),AVERAGEIFS('Data(perSeason,perCrop)'!$M:$M,'Data(perSeason,perCrop)'!$K:$K,Reliability!$A$1,'Data(perSeason,perCrop)'!$C:$C,Reliability!F$3,'Data(perSeason,perCrop)'!$S:$S,Reliability!$A16,'Data(perSeason,perCrop)'!$R:$R,"IRRIGATED")-AVERAGEIFS('Data(perSeason,perCrop)'!$N:$N,'Data(perSeason,perCrop)'!$K:$K,Reliability!$A$1,'Data(perSeason,perCrop)'!$C:$C,Reliability!F$3,'Data(perSeason,perCrop)'!$S:$S,Reliability!$A16,'Data(perSeason,perCrop)'!$R:$R,"IRRIGATED"),"")</f>
        <v/>
      </c>
      <c r="G16" s="46" t="str">
        <f>IF(AND(ISNUMBER(G7),G$4&lt;&gt;14,G$4&lt;&gt;15),AVERAGEIFS('Data(perSeason,perCrop)'!$M:$M,'Data(perSeason,perCrop)'!$K:$K,Reliability!$A$1,'Data(perSeason,perCrop)'!$C:$C,Reliability!G$3,'Data(perSeason,perCrop)'!$S:$S,Reliability!$A16,'Data(perSeason,perCrop)'!$R:$R,"IRRIGATED")-AVERAGEIFS('Data(perSeason,perCrop)'!$N:$N,'Data(perSeason,perCrop)'!$K:$K,Reliability!$A$1,'Data(perSeason,perCrop)'!$C:$C,Reliability!G$3,'Data(perSeason,perCrop)'!$S:$S,Reliability!$A16,'Data(perSeason,perCrop)'!$R:$R,"IRRIGATED"),"")</f>
        <v/>
      </c>
      <c r="H16" s="46" t="str">
        <f>IF(AND(ISNUMBER(H7),H$4&lt;&gt;14,H$4&lt;&gt;15),AVERAGEIFS('Data(perSeason,perCrop)'!$M:$M,'Data(perSeason,perCrop)'!$K:$K,Reliability!$A$1,'Data(perSeason,perCrop)'!$C:$C,Reliability!H$3,'Data(perSeason,perCrop)'!$S:$S,Reliability!$A16,'Data(perSeason,perCrop)'!$R:$R,"IRRIGATED")-AVERAGEIFS('Data(perSeason,perCrop)'!$N:$N,'Data(perSeason,perCrop)'!$K:$K,Reliability!$A$1,'Data(perSeason,perCrop)'!$C:$C,Reliability!H$3,'Data(perSeason,perCrop)'!$S:$S,Reliability!$A16,'Data(perSeason,perCrop)'!$R:$R,"IRRIGATED"),"")</f>
        <v/>
      </c>
      <c r="I16" s="46" t="str">
        <f>IF(AND(ISNUMBER(I7),I$4&lt;&gt;14,I$4&lt;&gt;15),AVERAGEIFS('Data(perSeason,perCrop)'!$M:$M,'Data(perSeason,perCrop)'!$K:$K,Reliability!$A$1,'Data(perSeason,perCrop)'!$C:$C,Reliability!I$3,'Data(perSeason,perCrop)'!$S:$S,Reliability!$A16,'Data(perSeason,perCrop)'!$R:$R,"IRRIGATED")-AVERAGEIFS('Data(perSeason,perCrop)'!$N:$N,'Data(perSeason,perCrop)'!$K:$K,Reliability!$A$1,'Data(perSeason,perCrop)'!$C:$C,Reliability!I$3,'Data(perSeason,perCrop)'!$S:$S,Reliability!$A16,'Data(perSeason,perCrop)'!$R:$R,"IRRIGATED"),"")</f>
        <v/>
      </c>
      <c r="J16" s="46" t="str">
        <f>IF(AND(ISNUMBER(J7),J$4&lt;&gt;14,J$4&lt;&gt;15),AVERAGEIFS('Data(perSeason,perCrop)'!$M:$M,'Data(perSeason,perCrop)'!$K:$K,Reliability!$A$1,'Data(perSeason,perCrop)'!$C:$C,Reliability!J$3,'Data(perSeason,perCrop)'!$S:$S,Reliability!$A16,'Data(perSeason,perCrop)'!$R:$R,"IRRIGATED")-AVERAGEIFS('Data(perSeason,perCrop)'!$N:$N,'Data(perSeason,perCrop)'!$K:$K,Reliability!$A$1,'Data(perSeason,perCrop)'!$C:$C,Reliability!J$3,'Data(perSeason,perCrop)'!$S:$S,Reliability!$A16,'Data(perSeason,perCrop)'!$R:$R,"IRRIGATED"),"")</f>
        <v/>
      </c>
      <c r="K16" s="46" t="str">
        <f>IF(AND(ISNUMBER(K7),K$4&lt;&gt;14,K$4&lt;&gt;15),AVERAGEIFS('Data(perSeason,perCrop)'!$M:$M,'Data(perSeason,perCrop)'!$K:$K,Reliability!$A$1,'Data(perSeason,perCrop)'!$C:$C,Reliability!K$3,'Data(perSeason,perCrop)'!$S:$S,Reliability!$A16,'Data(perSeason,perCrop)'!$R:$R,"IRRIGATED")-AVERAGEIFS('Data(perSeason,perCrop)'!$N:$N,'Data(perSeason,perCrop)'!$K:$K,Reliability!$A$1,'Data(perSeason,perCrop)'!$C:$C,Reliability!K$3,'Data(perSeason,perCrop)'!$S:$S,Reliability!$A16,'Data(perSeason,perCrop)'!$R:$R,"IRRIGATED"),"")</f>
        <v/>
      </c>
      <c r="L16" s="46" t="str">
        <f>IF(AND(ISNUMBER(L7),L$4&lt;&gt;14,L$4&lt;&gt;15),AVERAGEIFS('Data(perSeason,perCrop)'!$M:$M,'Data(perSeason,perCrop)'!$K:$K,Reliability!$A$1,'Data(perSeason,perCrop)'!$C:$C,Reliability!L$3,'Data(perSeason,perCrop)'!$S:$S,Reliability!$A16,'Data(perSeason,perCrop)'!$R:$R,"IRRIGATED")-AVERAGEIFS('Data(perSeason,perCrop)'!$N:$N,'Data(perSeason,perCrop)'!$K:$K,Reliability!$A$1,'Data(perSeason,perCrop)'!$C:$C,Reliability!L$3,'Data(perSeason,perCrop)'!$S:$S,Reliability!$A16,'Data(perSeason,perCrop)'!$R:$R,"IRRIGATED"),"")</f>
        <v/>
      </c>
      <c r="M16" s="46" t="str">
        <f>IF(AND(ISNUMBER(M7),M$4&lt;&gt;14,M$4&lt;&gt;15),AVERAGEIFS('Data(perSeason,perCrop)'!$M:$M,'Data(perSeason,perCrop)'!$K:$K,Reliability!$A$1,'Data(perSeason,perCrop)'!$C:$C,Reliability!M$3,'Data(perSeason,perCrop)'!$S:$S,Reliability!$A16,'Data(perSeason,perCrop)'!$R:$R,"IRRIGATED")-AVERAGEIFS('Data(perSeason,perCrop)'!$N:$N,'Data(perSeason,perCrop)'!$K:$K,Reliability!$A$1,'Data(perSeason,perCrop)'!$C:$C,Reliability!M$3,'Data(perSeason,perCrop)'!$S:$S,Reliability!$A16,'Data(perSeason,perCrop)'!$R:$R,"IRRIGATED"),"")</f>
        <v/>
      </c>
      <c r="N16" s="46" t="str">
        <f>IF(AND(ISNUMBER(N7),N$4&lt;&gt;14,N$4&lt;&gt;15),AVERAGEIFS('Data(perSeason,perCrop)'!$M:$M,'Data(perSeason,perCrop)'!$K:$K,Reliability!$A$1,'Data(perSeason,perCrop)'!$C:$C,Reliability!N$3,'Data(perSeason,perCrop)'!$S:$S,Reliability!$A16,'Data(perSeason,perCrop)'!$R:$R,"IRRIGATED")-AVERAGEIFS('Data(perSeason,perCrop)'!$N:$N,'Data(perSeason,perCrop)'!$K:$K,Reliability!$A$1,'Data(perSeason,perCrop)'!$C:$C,Reliability!N$3,'Data(perSeason,perCrop)'!$S:$S,Reliability!$A16,'Data(perSeason,perCrop)'!$R:$R,"IRRIGATED"),"")</f>
        <v/>
      </c>
      <c r="O16" s="46" t="str">
        <f>IF(AND(ISNUMBER(O7),O$4&lt;&gt;14,O$4&lt;&gt;15),AVERAGEIFS('Data(perSeason,perCrop)'!$M:$M,'Data(perSeason,perCrop)'!$K:$K,Reliability!$A$1,'Data(perSeason,perCrop)'!$C:$C,Reliability!O$3,'Data(perSeason,perCrop)'!$S:$S,Reliability!$A16,'Data(perSeason,perCrop)'!$R:$R,"IRRIGATED")-AVERAGEIFS('Data(perSeason,perCrop)'!$N:$N,'Data(perSeason,perCrop)'!$K:$K,Reliability!$A$1,'Data(perSeason,perCrop)'!$C:$C,Reliability!O$3,'Data(perSeason,perCrop)'!$S:$S,Reliability!$A16,'Data(perSeason,perCrop)'!$R:$R,"IRRIGATED"),"")</f>
        <v/>
      </c>
      <c r="P16" s="46" t="str">
        <f>IF(AND(ISNUMBER(P7),P$4&lt;&gt;14,P$4&lt;&gt;15),AVERAGEIFS('Data(perSeason,perCrop)'!$M:$M,'Data(perSeason,perCrop)'!$K:$K,Reliability!$A$1,'Data(perSeason,perCrop)'!$C:$C,Reliability!P$3,'Data(perSeason,perCrop)'!$S:$S,Reliability!$A16,'Data(perSeason,perCrop)'!$R:$R,"IRRIGATED")-AVERAGEIFS('Data(perSeason,perCrop)'!$N:$N,'Data(perSeason,perCrop)'!$K:$K,Reliability!$A$1,'Data(perSeason,perCrop)'!$C:$C,Reliability!P$3,'Data(perSeason,perCrop)'!$S:$S,Reliability!$A16,'Data(perSeason,perCrop)'!$R:$R,"IRRIGATED"),"")</f>
        <v/>
      </c>
      <c r="Q16" s="46" t="str">
        <f>IF(AND(ISNUMBER(Q7),Q$4&lt;&gt;14,Q$4&lt;&gt;15),AVERAGEIFS('Data(perSeason,perCrop)'!$M:$M,'Data(perSeason,perCrop)'!$K:$K,Reliability!$A$1,'Data(perSeason,perCrop)'!$C:$C,Reliability!Q$3,'Data(perSeason,perCrop)'!$S:$S,Reliability!$A16,'Data(perSeason,perCrop)'!$R:$R,"IRRIGATED")-AVERAGEIFS('Data(perSeason,perCrop)'!$N:$N,'Data(perSeason,perCrop)'!$K:$K,Reliability!$A$1,'Data(perSeason,perCrop)'!$C:$C,Reliability!Q$3,'Data(perSeason,perCrop)'!$S:$S,Reliability!$A16,'Data(perSeason,perCrop)'!$R:$R,"IRRIGATED"),"")</f>
        <v/>
      </c>
      <c r="R16" s="46">
        <f>IF(AND(ISNUMBER(R7),R$4&lt;&gt;14,R$4&lt;&gt;15),AVERAGEIFS('Data(perSeason,perCrop)'!$M:$M,'Data(perSeason,perCrop)'!$K:$K,Reliability!$A$1,'Data(perSeason,perCrop)'!$C:$C,Reliability!R$3,'Data(perSeason,perCrop)'!$S:$S,Reliability!$A16,'Data(perSeason,perCrop)'!$R:$R,"IRRIGATED")-AVERAGEIFS('Data(perSeason,perCrop)'!$N:$N,'Data(perSeason,perCrop)'!$K:$K,Reliability!$A$1,'Data(perSeason,perCrop)'!$C:$C,Reliability!R$3,'Data(perSeason,perCrop)'!$S:$S,Reliability!$A16,'Data(perSeason,perCrop)'!$R:$R,"IRRIGATED"),"")</f>
        <v>0.17802299179433945</v>
      </c>
      <c r="S16" s="46" t="str">
        <f>IF(AND(ISNUMBER(S7),S$4&lt;&gt;14,S$4&lt;&gt;15),AVERAGEIFS('Data(perSeason,perCrop)'!$M:$M,'Data(perSeason,perCrop)'!$K:$K,Reliability!$A$1,'Data(perSeason,perCrop)'!$C:$C,Reliability!S$3,'Data(perSeason,perCrop)'!$S:$S,Reliability!$A16,'Data(perSeason,perCrop)'!$R:$R,"IRRIGATED")-AVERAGEIFS('Data(perSeason,perCrop)'!$N:$N,'Data(perSeason,perCrop)'!$K:$K,Reliability!$A$1,'Data(perSeason,perCrop)'!$C:$C,Reliability!S$3,'Data(perSeason,perCrop)'!$S:$S,Reliability!$A16,'Data(perSeason,perCrop)'!$R:$R,"IRRIGATED"),"")</f>
        <v/>
      </c>
      <c r="T16" s="46" t="str">
        <f>IF(AND(ISNUMBER(T7),T$4&lt;&gt;14,T$4&lt;&gt;15),AVERAGEIFS('Data(perSeason,perCrop)'!$M:$M,'Data(perSeason,perCrop)'!$K:$K,Reliability!$A$1,'Data(perSeason,perCrop)'!$C:$C,Reliability!T$3,'Data(perSeason,perCrop)'!$S:$S,Reliability!$A16,'Data(perSeason,perCrop)'!$R:$R,"IRRIGATED")-AVERAGEIFS('Data(perSeason,perCrop)'!$N:$N,'Data(perSeason,perCrop)'!$K:$K,Reliability!$A$1,'Data(perSeason,perCrop)'!$C:$C,Reliability!T$3,'Data(perSeason,perCrop)'!$S:$S,Reliability!$A16,'Data(perSeason,perCrop)'!$R:$R,"IRRIGATED"),"")</f>
        <v/>
      </c>
      <c r="U16" s="46">
        <f>IF(AND(ISNUMBER(U7),U$4&lt;&gt;14,U$4&lt;&gt;15),AVERAGEIFS('Data(perSeason,perCrop)'!$M:$M,'Data(perSeason,perCrop)'!$K:$K,Reliability!$A$1,'Data(perSeason,perCrop)'!$C:$C,Reliability!U$3,'Data(perSeason,perCrop)'!$S:$S,Reliability!$A16,'Data(perSeason,perCrop)'!$R:$R,"IRRIGATED")-AVERAGEIFS('Data(perSeason,perCrop)'!$N:$N,'Data(perSeason,perCrop)'!$K:$K,Reliability!$A$1,'Data(perSeason,perCrop)'!$C:$C,Reliability!U$3,'Data(perSeason,perCrop)'!$S:$S,Reliability!$A16,'Data(perSeason,perCrop)'!$R:$R,"IRRIGATED"),"")</f>
        <v>0.16044739465015212</v>
      </c>
      <c r="V16" s="46" t="str">
        <f>IF(AND(ISNUMBER(V7),V$4&lt;&gt;14,V$4&lt;&gt;15),AVERAGEIFS('Data(perSeason,perCrop)'!$M:$M,'Data(perSeason,perCrop)'!$K:$K,Reliability!$A$1,'Data(perSeason,perCrop)'!$C:$C,Reliability!V$3,'Data(perSeason,perCrop)'!$S:$S,Reliability!$A16,'Data(perSeason,perCrop)'!$R:$R,"IRRIGATED")-AVERAGEIFS('Data(perSeason,perCrop)'!$N:$N,'Data(perSeason,perCrop)'!$K:$K,Reliability!$A$1,'Data(perSeason,perCrop)'!$C:$C,Reliability!V$3,'Data(perSeason,perCrop)'!$S:$S,Reliability!$A16,'Data(perSeason,perCrop)'!$R:$R,"IRRIGATED"),"")</f>
        <v/>
      </c>
      <c r="W16" s="46" t="str">
        <f>IF(AND(ISNUMBER(W7),W$4&lt;&gt;14,W$4&lt;&gt;15),AVERAGEIFS('Data(perSeason,perCrop)'!$M:$M,'Data(perSeason,perCrop)'!$K:$K,Reliability!$A$1,'Data(perSeason,perCrop)'!$C:$C,Reliability!W$3,'Data(perSeason,perCrop)'!$S:$S,Reliability!$A16,'Data(perSeason,perCrop)'!$R:$R,"IRRIGATED")-AVERAGEIFS('Data(perSeason,perCrop)'!$N:$N,'Data(perSeason,perCrop)'!$K:$K,Reliability!$A$1,'Data(perSeason,perCrop)'!$C:$C,Reliability!W$3,'Data(perSeason,perCrop)'!$S:$S,Reliability!$A16,'Data(perSeason,perCrop)'!$R:$R,"IRRIGATED"),"")</f>
        <v/>
      </c>
      <c r="X16" s="46" t="str">
        <f>IF(AND(ISNUMBER(X7),X$4&lt;&gt;14,X$4&lt;&gt;15),AVERAGEIFS('Data(perSeason,perCrop)'!$M:$M,'Data(perSeason,perCrop)'!$K:$K,Reliability!$A$1,'Data(perSeason,perCrop)'!$C:$C,Reliability!X$3,'Data(perSeason,perCrop)'!$S:$S,Reliability!$A16,'Data(perSeason,perCrop)'!$R:$R,"IRRIGATED")-AVERAGEIFS('Data(perSeason,perCrop)'!$N:$N,'Data(perSeason,perCrop)'!$K:$K,Reliability!$A$1,'Data(perSeason,perCrop)'!$C:$C,Reliability!X$3,'Data(perSeason,perCrop)'!$S:$S,Reliability!$A16,'Data(perSeason,perCrop)'!$R:$R,"IRRIGATED"),"")</f>
        <v/>
      </c>
      <c r="Y16" s="46" t="str">
        <f>IF(AND(ISNUMBER(Y7),Y$4&lt;&gt;14,Y$4&lt;&gt;15),AVERAGEIFS('Data(perSeason,perCrop)'!$M:$M,'Data(perSeason,perCrop)'!$K:$K,Reliability!$A$1,'Data(perSeason,perCrop)'!$C:$C,Reliability!Y$3,'Data(perSeason,perCrop)'!$S:$S,Reliability!$A16,'Data(perSeason,perCrop)'!$R:$R,"IRRIGATED")-AVERAGEIFS('Data(perSeason,perCrop)'!$N:$N,'Data(perSeason,perCrop)'!$K:$K,Reliability!$A$1,'Data(perSeason,perCrop)'!$C:$C,Reliability!Y$3,'Data(perSeason,perCrop)'!$S:$S,Reliability!$A16,'Data(perSeason,perCrop)'!$R:$R,"IRRIGATED"),"")</f>
        <v/>
      </c>
      <c r="Z16" s="46" t="str">
        <f>IF(AND(ISNUMBER(Z7),Z$4&lt;&gt;14,Z$4&lt;&gt;15),AVERAGEIFS('Data(perSeason,perCrop)'!$M:$M,'Data(perSeason,perCrop)'!$K:$K,Reliability!$A$1,'Data(perSeason,perCrop)'!$C:$C,Reliability!Z$3,'Data(perSeason,perCrop)'!$S:$S,Reliability!$A16,'Data(perSeason,perCrop)'!$R:$R,"IRRIGATED")-AVERAGEIFS('Data(perSeason,perCrop)'!$N:$N,'Data(perSeason,perCrop)'!$K:$K,Reliability!$A$1,'Data(perSeason,perCrop)'!$C:$C,Reliability!Z$3,'Data(perSeason,perCrop)'!$S:$S,Reliability!$A16,'Data(perSeason,perCrop)'!$R:$R,"IRRIGATED"),"")</f>
        <v/>
      </c>
      <c r="AA16" s="46" t="str">
        <f>IF(AND(ISNUMBER(AA7),AA$4&lt;&gt;14,AA$4&lt;&gt;15),AVERAGEIFS('Data(perSeason,perCrop)'!$M:$M,'Data(perSeason,perCrop)'!$K:$K,Reliability!$A$1,'Data(perSeason,perCrop)'!$C:$C,Reliability!AA$3,'Data(perSeason,perCrop)'!$S:$S,Reliability!$A16,'Data(perSeason,perCrop)'!$R:$R,"IRRIGATED")-AVERAGEIFS('Data(perSeason,perCrop)'!$N:$N,'Data(perSeason,perCrop)'!$K:$K,Reliability!$A$1,'Data(perSeason,perCrop)'!$C:$C,Reliability!AA$3,'Data(perSeason,perCrop)'!$S:$S,Reliability!$A16,'Data(perSeason,perCrop)'!$R:$R,"IRRIGATED"),"")</f>
        <v/>
      </c>
      <c r="AB16" s="46" t="str">
        <f>IF(AND(ISNUMBER(AB7),AB$4&lt;&gt;14,AB$4&lt;&gt;15),AVERAGEIFS('Data(perSeason,perCrop)'!$M:$M,'Data(perSeason,perCrop)'!$K:$K,Reliability!$A$1,'Data(perSeason,perCrop)'!$C:$C,Reliability!AB$3,'Data(perSeason,perCrop)'!$S:$S,Reliability!$A16,'Data(perSeason,perCrop)'!$R:$R,"IRRIGATED")-AVERAGEIFS('Data(perSeason,perCrop)'!$N:$N,'Data(perSeason,perCrop)'!$K:$K,Reliability!$A$1,'Data(perSeason,perCrop)'!$C:$C,Reliability!AB$3,'Data(perSeason,perCrop)'!$S:$S,Reliability!$A16,'Data(perSeason,perCrop)'!$R:$R,"IRRIGATED"),"")</f>
        <v/>
      </c>
      <c r="AC16" s="46" t="str">
        <f>IF(AND(ISNUMBER(AC7),AC$4&lt;&gt;14,AC$4&lt;&gt;15),AVERAGEIFS('Data(perSeason,perCrop)'!$M:$M,'Data(perSeason,perCrop)'!$K:$K,Reliability!$A$1,'Data(perSeason,perCrop)'!$C:$C,Reliability!AC$3,'Data(perSeason,perCrop)'!$S:$S,Reliability!$A16,'Data(perSeason,perCrop)'!$R:$R,"IRRIGATED")-AVERAGEIFS('Data(perSeason,perCrop)'!$N:$N,'Data(perSeason,perCrop)'!$K:$K,Reliability!$A$1,'Data(perSeason,perCrop)'!$C:$C,Reliability!AC$3,'Data(perSeason,perCrop)'!$S:$S,Reliability!$A16,'Data(perSeason,perCrop)'!$R:$R,"IRRIGATED"),"")</f>
        <v/>
      </c>
      <c r="AD16" s="46" t="str">
        <f>IF(AND(ISNUMBER(AD7),AD$4&lt;&gt;14,AD$4&lt;&gt;15),AVERAGEIFS('Data(perSeason,perCrop)'!$M:$M,'Data(perSeason,perCrop)'!$K:$K,Reliability!$A$1,'Data(perSeason,perCrop)'!$C:$C,Reliability!AD$3,'Data(perSeason,perCrop)'!$S:$S,Reliability!$A16,'Data(perSeason,perCrop)'!$R:$R,"IRRIGATED")-AVERAGEIFS('Data(perSeason,perCrop)'!$N:$N,'Data(perSeason,perCrop)'!$K:$K,Reliability!$A$1,'Data(perSeason,perCrop)'!$C:$C,Reliability!AD$3,'Data(perSeason,perCrop)'!$S:$S,Reliability!$A16,'Data(perSeason,perCrop)'!$R:$R,"IRRIGATED"),"")</f>
        <v/>
      </c>
      <c r="AE16" s="46" t="str">
        <f>IF(AND(ISNUMBER(AE7),AE$4&lt;&gt;14,AE$4&lt;&gt;15),AVERAGEIFS('Data(perSeason,perCrop)'!$M:$M,'Data(perSeason,perCrop)'!$K:$K,Reliability!$A$1,'Data(perSeason,perCrop)'!$C:$C,Reliability!AE$3,'Data(perSeason,perCrop)'!$S:$S,Reliability!$A16,'Data(perSeason,perCrop)'!$R:$R,"IRRIGATED")-AVERAGEIFS('Data(perSeason,perCrop)'!$N:$N,'Data(perSeason,perCrop)'!$K:$K,Reliability!$A$1,'Data(perSeason,perCrop)'!$C:$C,Reliability!AE$3,'Data(perSeason,perCrop)'!$S:$S,Reliability!$A16,'Data(perSeason,perCrop)'!$R:$R,"IRRIGATED"),"")</f>
        <v/>
      </c>
      <c r="AF16" s="46" t="str">
        <f>IF(AND(ISNUMBER(AF7),AF$4&lt;&gt;14,AF$4&lt;&gt;15),AVERAGEIFS('Data(perSeason,perCrop)'!$M:$M,'Data(perSeason,perCrop)'!$K:$K,Reliability!$A$1,'Data(perSeason,perCrop)'!$C:$C,Reliability!AF$3,'Data(perSeason,perCrop)'!$S:$S,Reliability!$A16,'Data(perSeason,perCrop)'!$R:$R,"IRRIGATED")-AVERAGEIFS('Data(perSeason,perCrop)'!$N:$N,'Data(perSeason,perCrop)'!$K:$K,Reliability!$A$1,'Data(perSeason,perCrop)'!$C:$C,Reliability!AF$3,'Data(perSeason,perCrop)'!$S:$S,Reliability!$A16,'Data(perSeason,perCrop)'!$R:$R,"IRRIGATED"),"")</f>
        <v/>
      </c>
    </row>
    <row r="17" spans="1:32" ht="18.75" x14ac:dyDescent="0.3">
      <c r="A17" s="42">
        <v>2021</v>
      </c>
      <c r="B17" s="46" t="str">
        <f>IF(AND(ISNUMBER(#REF!),B$4&lt;&gt;14,B$4&lt;&gt;15),AVERAGEIFS('Data(perSeason,perCrop)'!$M:$M,'Data(perSeason,perCrop)'!$K:$K,Reliability!$A$1,'Data(perSeason,perCrop)'!$C:$C,Reliability!B$3,'Data(perSeason,perCrop)'!$S:$S,Reliability!$A17,'Data(perSeason,perCrop)'!$R:$R,"IRRIGATED")-AVERAGEIFS('Data(perSeason,perCrop)'!$N:$N,'Data(perSeason,perCrop)'!$K:$K,Reliability!$A$1,'Data(perSeason,perCrop)'!$C:$C,Reliability!B$3,'Data(perSeason,perCrop)'!$S:$S,Reliability!$A17,'Data(perSeason,perCrop)'!$R:$R,"IRRIGATED"),"")</f>
        <v/>
      </c>
      <c r="C17" s="51">
        <f>IF(AND(ISNUMBER(C8),C$4&lt;&gt;14,C$4&lt;&gt;15),AVERAGEIFS('Data(perSeason,perCrop)'!$M:$M,'Data(perSeason,perCrop)'!$K:$K,Reliability!$A$1,'Data(perSeason,perCrop)'!$C:$C,Reliability!C$3,'Data(perSeason,perCrop)'!$S:$S,Reliability!$A17,'Data(perSeason,perCrop)'!$R:$R,"IRRIGATED")-AVERAGEIFS('Data(perSeason,perCrop)'!$N:$N,'Data(perSeason,perCrop)'!$K:$K,Reliability!$A$1,'Data(perSeason,perCrop)'!$C:$C,Reliability!C$3,'Data(perSeason,perCrop)'!$S:$S,Reliability!$A17,'Data(perSeason,perCrop)'!$R:$R,"IRRIGATED"),"")</f>
        <v>0.28775421899048048</v>
      </c>
      <c r="D17" s="46" t="str">
        <f>IF(AND(ISNUMBER(D8),D$4&lt;&gt;14,D$4&lt;&gt;15),AVERAGEIFS('Data(perSeason,perCrop)'!$M:$M,'Data(perSeason,perCrop)'!$K:$K,Reliability!$A$1,'Data(perSeason,perCrop)'!$C:$C,Reliability!D$3,'Data(perSeason,perCrop)'!$S:$S,Reliability!$A17,'Data(perSeason,perCrop)'!$R:$R,"IRRIGATED")-AVERAGEIFS('Data(perSeason,perCrop)'!$N:$N,'Data(perSeason,perCrop)'!$K:$K,Reliability!$A$1,'Data(perSeason,perCrop)'!$C:$C,Reliability!D$3,'Data(perSeason,perCrop)'!$S:$S,Reliability!$A17,'Data(perSeason,perCrop)'!$R:$R,"IRRIGATED"),"")</f>
        <v/>
      </c>
      <c r="E17" s="46" t="str">
        <f>IF(AND(ISNUMBER(E8),E$4&lt;&gt;14,E$4&lt;&gt;15),AVERAGEIFS('Data(perSeason,perCrop)'!$M:$M,'Data(perSeason,perCrop)'!$K:$K,Reliability!$A$1,'Data(perSeason,perCrop)'!$C:$C,Reliability!E$3,'Data(perSeason,perCrop)'!$S:$S,Reliability!$A17,'Data(perSeason,perCrop)'!$R:$R,"IRRIGATED")-AVERAGEIFS('Data(perSeason,perCrop)'!$N:$N,'Data(perSeason,perCrop)'!$K:$K,Reliability!$A$1,'Data(perSeason,perCrop)'!$C:$C,Reliability!E$3,'Data(perSeason,perCrop)'!$S:$S,Reliability!$A17,'Data(perSeason,perCrop)'!$R:$R,"IRRIGATED"),"")</f>
        <v/>
      </c>
      <c r="F17" s="46" t="str">
        <f>IF(AND(ISNUMBER(F8),F$4&lt;&gt;14,F$4&lt;&gt;15),AVERAGEIFS('Data(perSeason,perCrop)'!$M:$M,'Data(perSeason,perCrop)'!$K:$K,Reliability!$A$1,'Data(perSeason,perCrop)'!$C:$C,Reliability!F$3,'Data(perSeason,perCrop)'!$S:$S,Reliability!$A17,'Data(perSeason,perCrop)'!$R:$R,"IRRIGATED")-AVERAGEIFS('Data(perSeason,perCrop)'!$N:$N,'Data(perSeason,perCrop)'!$K:$K,Reliability!$A$1,'Data(perSeason,perCrop)'!$C:$C,Reliability!F$3,'Data(perSeason,perCrop)'!$S:$S,Reliability!$A17,'Data(perSeason,perCrop)'!$R:$R,"IRRIGATED"),"")</f>
        <v/>
      </c>
      <c r="G17" s="46" t="str">
        <f>IF(AND(ISNUMBER(G8),G$4&lt;&gt;14,G$4&lt;&gt;15),AVERAGEIFS('Data(perSeason,perCrop)'!$M:$M,'Data(perSeason,perCrop)'!$K:$K,Reliability!$A$1,'Data(perSeason,perCrop)'!$C:$C,Reliability!G$3,'Data(perSeason,perCrop)'!$S:$S,Reliability!$A17,'Data(perSeason,perCrop)'!$R:$R,"IRRIGATED")-AVERAGEIFS('Data(perSeason,perCrop)'!$N:$N,'Data(perSeason,perCrop)'!$K:$K,Reliability!$A$1,'Data(perSeason,perCrop)'!$C:$C,Reliability!G$3,'Data(perSeason,perCrop)'!$S:$S,Reliability!$A17,'Data(perSeason,perCrop)'!$R:$R,"IRRIGATED"),"")</f>
        <v/>
      </c>
      <c r="H17" s="46" t="str">
        <f>IF(AND(ISNUMBER(H8),H$4&lt;&gt;14,H$4&lt;&gt;15),AVERAGEIFS('Data(perSeason,perCrop)'!$M:$M,'Data(perSeason,perCrop)'!$K:$K,Reliability!$A$1,'Data(perSeason,perCrop)'!$C:$C,Reliability!H$3,'Data(perSeason,perCrop)'!$S:$S,Reliability!$A17,'Data(perSeason,perCrop)'!$R:$R,"IRRIGATED")-AVERAGEIFS('Data(perSeason,perCrop)'!$N:$N,'Data(perSeason,perCrop)'!$K:$K,Reliability!$A$1,'Data(perSeason,perCrop)'!$C:$C,Reliability!H$3,'Data(perSeason,perCrop)'!$S:$S,Reliability!$A17,'Data(perSeason,perCrop)'!$R:$R,"IRRIGATED"),"")</f>
        <v/>
      </c>
      <c r="I17" s="46" t="str">
        <f>IF(AND(ISNUMBER(I8),I$4&lt;&gt;14,I$4&lt;&gt;15),AVERAGEIFS('Data(perSeason,perCrop)'!$M:$M,'Data(perSeason,perCrop)'!$K:$K,Reliability!$A$1,'Data(perSeason,perCrop)'!$C:$C,Reliability!I$3,'Data(perSeason,perCrop)'!$S:$S,Reliability!$A17,'Data(perSeason,perCrop)'!$R:$R,"IRRIGATED")-AVERAGEIFS('Data(perSeason,perCrop)'!$N:$N,'Data(perSeason,perCrop)'!$K:$K,Reliability!$A$1,'Data(perSeason,perCrop)'!$C:$C,Reliability!I$3,'Data(perSeason,perCrop)'!$S:$S,Reliability!$A17,'Data(perSeason,perCrop)'!$R:$R,"IRRIGATED"),"")</f>
        <v/>
      </c>
      <c r="J17" s="46" t="str">
        <f>IF(AND(ISNUMBER(J8),J$4&lt;&gt;14,J$4&lt;&gt;15),AVERAGEIFS('Data(perSeason,perCrop)'!$M:$M,'Data(perSeason,perCrop)'!$K:$K,Reliability!$A$1,'Data(perSeason,perCrop)'!$C:$C,Reliability!J$3,'Data(perSeason,perCrop)'!$S:$S,Reliability!$A17,'Data(perSeason,perCrop)'!$R:$R,"IRRIGATED")-AVERAGEIFS('Data(perSeason,perCrop)'!$N:$N,'Data(perSeason,perCrop)'!$K:$K,Reliability!$A$1,'Data(perSeason,perCrop)'!$C:$C,Reliability!J$3,'Data(perSeason,perCrop)'!$S:$S,Reliability!$A17,'Data(perSeason,perCrop)'!$R:$R,"IRRIGATED"),"")</f>
        <v/>
      </c>
      <c r="K17" s="46" t="str">
        <f>IF(AND(ISNUMBER(K8),K$4&lt;&gt;14,K$4&lt;&gt;15),AVERAGEIFS('Data(perSeason,perCrop)'!$M:$M,'Data(perSeason,perCrop)'!$K:$K,Reliability!$A$1,'Data(perSeason,perCrop)'!$C:$C,Reliability!K$3,'Data(perSeason,perCrop)'!$S:$S,Reliability!$A17,'Data(perSeason,perCrop)'!$R:$R,"IRRIGATED")-AVERAGEIFS('Data(perSeason,perCrop)'!$N:$N,'Data(perSeason,perCrop)'!$K:$K,Reliability!$A$1,'Data(perSeason,perCrop)'!$C:$C,Reliability!K$3,'Data(perSeason,perCrop)'!$S:$S,Reliability!$A17,'Data(perSeason,perCrop)'!$R:$R,"IRRIGATED"),"")</f>
        <v/>
      </c>
      <c r="L17" s="46" t="str">
        <f>IF(AND(ISNUMBER(L8),L$4&lt;&gt;14,L$4&lt;&gt;15),AVERAGEIFS('Data(perSeason,perCrop)'!$M:$M,'Data(perSeason,perCrop)'!$K:$K,Reliability!$A$1,'Data(perSeason,perCrop)'!$C:$C,Reliability!L$3,'Data(perSeason,perCrop)'!$S:$S,Reliability!$A17,'Data(perSeason,perCrop)'!$R:$R,"IRRIGATED")-AVERAGEIFS('Data(perSeason,perCrop)'!$N:$N,'Data(perSeason,perCrop)'!$K:$K,Reliability!$A$1,'Data(perSeason,perCrop)'!$C:$C,Reliability!L$3,'Data(perSeason,perCrop)'!$S:$S,Reliability!$A17,'Data(perSeason,perCrop)'!$R:$R,"IRRIGATED"),"")</f>
        <v/>
      </c>
      <c r="M17" s="46" t="str">
        <f>IF(AND(ISNUMBER(M8),M$4&lt;&gt;14,M$4&lt;&gt;15),AVERAGEIFS('Data(perSeason,perCrop)'!$M:$M,'Data(perSeason,perCrop)'!$K:$K,Reliability!$A$1,'Data(perSeason,perCrop)'!$C:$C,Reliability!M$3,'Data(perSeason,perCrop)'!$S:$S,Reliability!$A17,'Data(perSeason,perCrop)'!$R:$R,"IRRIGATED")-AVERAGEIFS('Data(perSeason,perCrop)'!$N:$N,'Data(perSeason,perCrop)'!$K:$K,Reliability!$A$1,'Data(perSeason,perCrop)'!$C:$C,Reliability!M$3,'Data(perSeason,perCrop)'!$S:$S,Reliability!$A17,'Data(perSeason,perCrop)'!$R:$R,"IRRIGATED"),"")</f>
        <v/>
      </c>
      <c r="N17" s="46" t="str">
        <f>IF(AND(ISNUMBER(N8),N$4&lt;&gt;14,N$4&lt;&gt;15),AVERAGEIFS('Data(perSeason,perCrop)'!$M:$M,'Data(perSeason,perCrop)'!$K:$K,Reliability!$A$1,'Data(perSeason,perCrop)'!$C:$C,Reliability!N$3,'Data(perSeason,perCrop)'!$S:$S,Reliability!$A17,'Data(perSeason,perCrop)'!$R:$R,"IRRIGATED")-AVERAGEIFS('Data(perSeason,perCrop)'!$N:$N,'Data(perSeason,perCrop)'!$K:$K,Reliability!$A$1,'Data(perSeason,perCrop)'!$C:$C,Reliability!N$3,'Data(perSeason,perCrop)'!$S:$S,Reliability!$A17,'Data(perSeason,perCrop)'!$R:$R,"IRRIGATED"),"")</f>
        <v/>
      </c>
      <c r="O17" s="46" t="str">
        <f>IF(AND(ISNUMBER(O8),O$4&lt;&gt;14,O$4&lt;&gt;15),AVERAGEIFS('Data(perSeason,perCrop)'!$M:$M,'Data(perSeason,perCrop)'!$K:$K,Reliability!$A$1,'Data(perSeason,perCrop)'!$C:$C,Reliability!O$3,'Data(perSeason,perCrop)'!$S:$S,Reliability!$A17,'Data(perSeason,perCrop)'!$R:$R,"IRRIGATED")-AVERAGEIFS('Data(perSeason,perCrop)'!$N:$N,'Data(perSeason,perCrop)'!$K:$K,Reliability!$A$1,'Data(perSeason,perCrop)'!$C:$C,Reliability!O$3,'Data(perSeason,perCrop)'!$S:$S,Reliability!$A17,'Data(perSeason,perCrop)'!$R:$R,"IRRIGATED"),"")</f>
        <v/>
      </c>
      <c r="P17" s="46" t="str">
        <f>IF(AND(ISNUMBER(P8),P$4&lt;&gt;14,P$4&lt;&gt;15),AVERAGEIFS('Data(perSeason,perCrop)'!$M:$M,'Data(perSeason,perCrop)'!$K:$K,Reliability!$A$1,'Data(perSeason,perCrop)'!$C:$C,Reliability!P$3,'Data(perSeason,perCrop)'!$S:$S,Reliability!$A17,'Data(perSeason,perCrop)'!$R:$R,"IRRIGATED")-AVERAGEIFS('Data(perSeason,perCrop)'!$N:$N,'Data(perSeason,perCrop)'!$K:$K,Reliability!$A$1,'Data(perSeason,perCrop)'!$C:$C,Reliability!P$3,'Data(perSeason,perCrop)'!$S:$S,Reliability!$A17,'Data(perSeason,perCrop)'!$R:$R,"IRRIGATED"),"")</f>
        <v/>
      </c>
      <c r="Q17" s="46" t="str">
        <f>IF(AND(ISNUMBER(Q8),Q$4&lt;&gt;14,Q$4&lt;&gt;15),AVERAGEIFS('Data(perSeason,perCrop)'!$M:$M,'Data(perSeason,perCrop)'!$K:$K,Reliability!$A$1,'Data(perSeason,perCrop)'!$C:$C,Reliability!Q$3,'Data(perSeason,perCrop)'!$S:$S,Reliability!$A17,'Data(perSeason,perCrop)'!$R:$R,"IRRIGATED")-AVERAGEIFS('Data(perSeason,perCrop)'!$N:$N,'Data(perSeason,perCrop)'!$K:$K,Reliability!$A$1,'Data(perSeason,perCrop)'!$C:$C,Reliability!Q$3,'Data(perSeason,perCrop)'!$S:$S,Reliability!$A17,'Data(perSeason,perCrop)'!$R:$R,"IRRIGATED"),"")</f>
        <v/>
      </c>
      <c r="R17" s="46">
        <f>IF(AND(ISNUMBER(R8),R$4&lt;&gt;14,R$4&lt;&gt;15),AVERAGEIFS('Data(perSeason,perCrop)'!$M:$M,'Data(perSeason,perCrop)'!$K:$K,Reliability!$A$1,'Data(perSeason,perCrop)'!$C:$C,Reliability!R$3,'Data(perSeason,perCrop)'!$S:$S,Reliability!$A17,'Data(perSeason,perCrop)'!$R:$R,"IRRIGATED")-AVERAGEIFS('Data(perSeason,perCrop)'!$N:$N,'Data(perSeason,perCrop)'!$K:$K,Reliability!$A$1,'Data(perSeason,perCrop)'!$C:$C,Reliability!R$3,'Data(perSeason,perCrop)'!$S:$S,Reliability!$A17,'Data(perSeason,perCrop)'!$R:$R,"IRRIGATED"),"")</f>
        <v>0.27275260510191945</v>
      </c>
      <c r="S17" s="46" t="str">
        <f>IF(AND(ISNUMBER(S8),S$4&lt;&gt;14,S$4&lt;&gt;15),AVERAGEIFS('Data(perSeason,perCrop)'!$M:$M,'Data(perSeason,perCrop)'!$K:$K,Reliability!$A$1,'Data(perSeason,perCrop)'!$C:$C,Reliability!S$3,'Data(perSeason,perCrop)'!$S:$S,Reliability!$A17,'Data(perSeason,perCrop)'!$R:$R,"IRRIGATED")-AVERAGEIFS('Data(perSeason,perCrop)'!$N:$N,'Data(perSeason,perCrop)'!$K:$K,Reliability!$A$1,'Data(perSeason,perCrop)'!$C:$C,Reliability!S$3,'Data(perSeason,perCrop)'!$S:$S,Reliability!$A17,'Data(perSeason,perCrop)'!$R:$R,"IRRIGATED"),"")</f>
        <v/>
      </c>
      <c r="T17" s="46" t="str">
        <f>IF(AND(ISNUMBER(T8),T$4&lt;&gt;14,T$4&lt;&gt;15),AVERAGEIFS('Data(perSeason,perCrop)'!$M:$M,'Data(perSeason,perCrop)'!$K:$K,Reliability!$A$1,'Data(perSeason,perCrop)'!$C:$C,Reliability!T$3,'Data(perSeason,perCrop)'!$S:$S,Reliability!$A17,'Data(perSeason,perCrop)'!$R:$R,"IRRIGATED")-AVERAGEIFS('Data(perSeason,perCrop)'!$N:$N,'Data(perSeason,perCrop)'!$K:$K,Reliability!$A$1,'Data(perSeason,perCrop)'!$C:$C,Reliability!T$3,'Data(perSeason,perCrop)'!$S:$S,Reliability!$A17,'Data(perSeason,perCrop)'!$R:$R,"IRRIGATED"),"")</f>
        <v/>
      </c>
      <c r="U17" s="46">
        <f>IF(AND(ISNUMBER(U8),U$4&lt;&gt;14,U$4&lt;&gt;15),AVERAGEIFS('Data(perSeason,perCrop)'!$M:$M,'Data(perSeason,perCrop)'!$K:$K,Reliability!$A$1,'Data(perSeason,perCrop)'!$C:$C,Reliability!U$3,'Data(perSeason,perCrop)'!$S:$S,Reliability!$A17,'Data(perSeason,perCrop)'!$R:$R,"IRRIGATED")-AVERAGEIFS('Data(perSeason,perCrop)'!$N:$N,'Data(perSeason,perCrop)'!$K:$K,Reliability!$A$1,'Data(perSeason,perCrop)'!$C:$C,Reliability!U$3,'Data(perSeason,perCrop)'!$S:$S,Reliability!$A17,'Data(perSeason,perCrop)'!$R:$R,"IRRIGATED"),"")</f>
        <v>0.28134345550819395</v>
      </c>
      <c r="V17" s="46" t="str">
        <f>IF(AND(ISNUMBER(V8),V$4&lt;&gt;14,V$4&lt;&gt;15),AVERAGEIFS('Data(perSeason,perCrop)'!$M:$M,'Data(perSeason,perCrop)'!$K:$K,Reliability!$A$1,'Data(perSeason,perCrop)'!$C:$C,Reliability!V$3,'Data(perSeason,perCrop)'!$S:$S,Reliability!$A17,'Data(perSeason,perCrop)'!$R:$R,"IRRIGATED")-AVERAGEIFS('Data(perSeason,perCrop)'!$N:$N,'Data(perSeason,perCrop)'!$K:$K,Reliability!$A$1,'Data(perSeason,perCrop)'!$C:$C,Reliability!V$3,'Data(perSeason,perCrop)'!$S:$S,Reliability!$A17,'Data(perSeason,perCrop)'!$R:$R,"IRRIGATED"),"")</f>
        <v/>
      </c>
      <c r="W17" s="46" t="str">
        <f>IF(AND(ISNUMBER(W8),W$4&lt;&gt;14,W$4&lt;&gt;15),AVERAGEIFS('Data(perSeason,perCrop)'!$M:$M,'Data(perSeason,perCrop)'!$K:$K,Reliability!$A$1,'Data(perSeason,perCrop)'!$C:$C,Reliability!W$3,'Data(perSeason,perCrop)'!$S:$S,Reliability!$A17,'Data(perSeason,perCrop)'!$R:$R,"IRRIGATED")-AVERAGEIFS('Data(perSeason,perCrop)'!$N:$N,'Data(perSeason,perCrop)'!$K:$K,Reliability!$A$1,'Data(perSeason,perCrop)'!$C:$C,Reliability!W$3,'Data(perSeason,perCrop)'!$S:$S,Reliability!$A17,'Data(perSeason,perCrop)'!$R:$R,"IRRIGATED"),"")</f>
        <v/>
      </c>
      <c r="X17" s="46" t="str">
        <f>IF(AND(ISNUMBER(X8),X$4&lt;&gt;14,X$4&lt;&gt;15),AVERAGEIFS('Data(perSeason,perCrop)'!$M:$M,'Data(perSeason,perCrop)'!$K:$K,Reliability!$A$1,'Data(perSeason,perCrop)'!$C:$C,Reliability!X$3,'Data(perSeason,perCrop)'!$S:$S,Reliability!$A17,'Data(perSeason,perCrop)'!$R:$R,"IRRIGATED")-AVERAGEIFS('Data(perSeason,perCrop)'!$N:$N,'Data(perSeason,perCrop)'!$K:$K,Reliability!$A$1,'Data(perSeason,perCrop)'!$C:$C,Reliability!X$3,'Data(perSeason,perCrop)'!$S:$S,Reliability!$A17,'Data(perSeason,perCrop)'!$R:$R,"IRRIGATED"),"")</f>
        <v/>
      </c>
      <c r="Y17" s="46" t="str">
        <f>IF(AND(ISNUMBER(Y8),Y$4&lt;&gt;14,Y$4&lt;&gt;15),AVERAGEIFS('Data(perSeason,perCrop)'!$M:$M,'Data(perSeason,perCrop)'!$K:$K,Reliability!$A$1,'Data(perSeason,perCrop)'!$C:$C,Reliability!Y$3,'Data(perSeason,perCrop)'!$S:$S,Reliability!$A17,'Data(perSeason,perCrop)'!$R:$R,"IRRIGATED")-AVERAGEIFS('Data(perSeason,perCrop)'!$N:$N,'Data(perSeason,perCrop)'!$K:$K,Reliability!$A$1,'Data(perSeason,perCrop)'!$C:$C,Reliability!Y$3,'Data(perSeason,perCrop)'!$S:$S,Reliability!$A17,'Data(perSeason,perCrop)'!$R:$R,"IRRIGATED"),"")</f>
        <v/>
      </c>
      <c r="Z17" s="46" t="str">
        <f>IF(AND(ISNUMBER(Z8),Z$4&lt;&gt;14,Z$4&lt;&gt;15),AVERAGEIFS('Data(perSeason,perCrop)'!$M:$M,'Data(perSeason,perCrop)'!$K:$K,Reliability!$A$1,'Data(perSeason,perCrop)'!$C:$C,Reliability!Z$3,'Data(perSeason,perCrop)'!$S:$S,Reliability!$A17,'Data(perSeason,perCrop)'!$R:$R,"IRRIGATED")-AVERAGEIFS('Data(perSeason,perCrop)'!$N:$N,'Data(perSeason,perCrop)'!$K:$K,Reliability!$A$1,'Data(perSeason,perCrop)'!$C:$C,Reliability!Z$3,'Data(perSeason,perCrop)'!$S:$S,Reliability!$A17,'Data(perSeason,perCrop)'!$R:$R,"IRRIGATED"),"")</f>
        <v/>
      </c>
      <c r="AA17" s="46" t="str">
        <f>IF(AND(ISNUMBER(AA8),AA$4&lt;&gt;14,AA$4&lt;&gt;15),AVERAGEIFS('Data(perSeason,perCrop)'!$M:$M,'Data(perSeason,perCrop)'!$K:$K,Reliability!$A$1,'Data(perSeason,perCrop)'!$C:$C,Reliability!AA$3,'Data(perSeason,perCrop)'!$S:$S,Reliability!$A17,'Data(perSeason,perCrop)'!$R:$R,"IRRIGATED")-AVERAGEIFS('Data(perSeason,perCrop)'!$N:$N,'Data(perSeason,perCrop)'!$K:$K,Reliability!$A$1,'Data(perSeason,perCrop)'!$C:$C,Reliability!AA$3,'Data(perSeason,perCrop)'!$S:$S,Reliability!$A17,'Data(perSeason,perCrop)'!$R:$R,"IRRIGATED"),"")</f>
        <v/>
      </c>
      <c r="AB17" s="46" t="str">
        <f>IF(AND(ISNUMBER(AB8),AB$4&lt;&gt;14,AB$4&lt;&gt;15),AVERAGEIFS('Data(perSeason,perCrop)'!$M:$M,'Data(perSeason,perCrop)'!$K:$K,Reliability!$A$1,'Data(perSeason,perCrop)'!$C:$C,Reliability!AB$3,'Data(perSeason,perCrop)'!$S:$S,Reliability!$A17,'Data(perSeason,perCrop)'!$R:$R,"IRRIGATED")-AVERAGEIFS('Data(perSeason,perCrop)'!$N:$N,'Data(perSeason,perCrop)'!$K:$K,Reliability!$A$1,'Data(perSeason,perCrop)'!$C:$C,Reliability!AB$3,'Data(perSeason,perCrop)'!$S:$S,Reliability!$A17,'Data(perSeason,perCrop)'!$R:$R,"IRRIGATED"),"")</f>
        <v/>
      </c>
      <c r="AC17" s="46" t="str">
        <f>IF(AND(ISNUMBER(AC8),AC$4&lt;&gt;14,AC$4&lt;&gt;15),AVERAGEIFS('Data(perSeason,perCrop)'!$M:$M,'Data(perSeason,perCrop)'!$K:$K,Reliability!$A$1,'Data(perSeason,perCrop)'!$C:$C,Reliability!AC$3,'Data(perSeason,perCrop)'!$S:$S,Reliability!$A17,'Data(perSeason,perCrop)'!$R:$R,"IRRIGATED")-AVERAGEIFS('Data(perSeason,perCrop)'!$N:$N,'Data(perSeason,perCrop)'!$K:$K,Reliability!$A$1,'Data(perSeason,perCrop)'!$C:$C,Reliability!AC$3,'Data(perSeason,perCrop)'!$S:$S,Reliability!$A17,'Data(perSeason,perCrop)'!$R:$R,"IRRIGATED"),"")</f>
        <v/>
      </c>
      <c r="AD17" s="46" t="str">
        <f>IF(AND(ISNUMBER(AD8),AD$4&lt;&gt;14,AD$4&lt;&gt;15),AVERAGEIFS('Data(perSeason,perCrop)'!$M:$M,'Data(perSeason,perCrop)'!$K:$K,Reliability!$A$1,'Data(perSeason,perCrop)'!$C:$C,Reliability!AD$3,'Data(perSeason,perCrop)'!$S:$S,Reliability!$A17,'Data(perSeason,perCrop)'!$R:$R,"IRRIGATED")-AVERAGEIFS('Data(perSeason,perCrop)'!$N:$N,'Data(perSeason,perCrop)'!$K:$K,Reliability!$A$1,'Data(perSeason,perCrop)'!$C:$C,Reliability!AD$3,'Data(perSeason,perCrop)'!$S:$S,Reliability!$A17,'Data(perSeason,perCrop)'!$R:$R,"IRRIGATED"),"")</f>
        <v/>
      </c>
      <c r="AE17" s="46" t="str">
        <f>IF(AND(ISNUMBER(AE8),AE$4&lt;&gt;14,AE$4&lt;&gt;15),AVERAGEIFS('Data(perSeason,perCrop)'!$M:$M,'Data(perSeason,perCrop)'!$K:$K,Reliability!$A$1,'Data(perSeason,perCrop)'!$C:$C,Reliability!AE$3,'Data(perSeason,perCrop)'!$S:$S,Reliability!$A17,'Data(perSeason,perCrop)'!$R:$R,"IRRIGATED")-AVERAGEIFS('Data(perSeason,perCrop)'!$N:$N,'Data(perSeason,perCrop)'!$K:$K,Reliability!$A$1,'Data(perSeason,perCrop)'!$C:$C,Reliability!AE$3,'Data(perSeason,perCrop)'!$S:$S,Reliability!$A17,'Data(perSeason,perCrop)'!$R:$R,"IRRIGATED"),"")</f>
        <v/>
      </c>
      <c r="AF17" s="46" t="str">
        <f>IF(AND(ISNUMBER(AF8),AF$4&lt;&gt;14,AF$4&lt;&gt;15),AVERAGEIFS('Data(perSeason,perCrop)'!$M:$M,'Data(perSeason,perCrop)'!$K:$K,Reliability!$A$1,'Data(perSeason,perCrop)'!$C:$C,Reliability!AF$3,'Data(perSeason,perCrop)'!$S:$S,Reliability!$A17,'Data(perSeason,perCrop)'!$R:$R,"IRRIGATED")-AVERAGEIFS('Data(perSeason,perCrop)'!$N:$N,'Data(perSeason,perCrop)'!$K:$K,Reliability!$A$1,'Data(perSeason,perCrop)'!$C:$C,Reliability!AF$3,'Data(perSeason,perCrop)'!$S:$S,Reliability!$A17,'Data(perSeason,perCrop)'!$R:$R,"IRRIGATED"),"")</f>
        <v/>
      </c>
    </row>
    <row r="18" spans="1:32" ht="18.75" x14ac:dyDescent="0.3">
      <c r="A18" s="42">
        <v>2022</v>
      </c>
      <c r="B18" s="46" t="str">
        <f>IF(AND(ISNUMBER(#REF!),B$4&lt;&gt;14,B$4&lt;&gt;15),AVERAGEIFS('Data(perSeason,perCrop)'!$M:$M,'Data(perSeason,perCrop)'!$K:$K,Reliability!$A$1,'Data(perSeason,perCrop)'!$C:$C,Reliability!B$3,'Data(perSeason,perCrop)'!$S:$S,Reliability!$A18,'Data(perSeason,perCrop)'!$R:$R,"IRRIGATED")-AVERAGEIFS('Data(perSeason,perCrop)'!$N:$N,'Data(perSeason,perCrop)'!$K:$K,Reliability!$A$1,'Data(perSeason,perCrop)'!$C:$C,Reliability!B$3,'Data(perSeason,perCrop)'!$S:$S,Reliability!$A18,'Data(perSeason,perCrop)'!$R:$R,"IRRIGATED"),"")</f>
        <v/>
      </c>
      <c r="C18" s="51">
        <f>IF(AND(ISNUMBER(C9),C$4&lt;&gt;14,C$4&lt;&gt;15),AVERAGEIFS('Data(perSeason,perCrop)'!$M:$M,'Data(perSeason,perCrop)'!$K:$K,Reliability!$A$1,'Data(perSeason,perCrop)'!$C:$C,Reliability!C$3,'Data(perSeason,perCrop)'!$S:$S,Reliability!$A18,'Data(perSeason,perCrop)'!$R:$R,"IRRIGATED")-AVERAGEIFS('Data(perSeason,perCrop)'!$N:$N,'Data(perSeason,perCrop)'!$K:$K,Reliability!$A$1,'Data(perSeason,perCrop)'!$C:$C,Reliability!C$3,'Data(perSeason,perCrop)'!$S:$S,Reliability!$A18,'Data(perSeason,perCrop)'!$R:$R,"IRRIGATED"),"")</f>
        <v>0.26520606172335348</v>
      </c>
      <c r="D18" s="46" t="str">
        <f>IF(AND(ISNUMBER(D9),D$4&lt;&gt;14,D$4&lt;&gt;15),AVERAGEIFS('Data(perSeason,perCrop)'!$M:$M,'Data(perSeason,perCrop)'!$K:$K,Reliability!$A$1,'Data(perSeason,perCrop)'!$C:$C,Reliability!D$3,'Data(perSeason,perCrop)'!$S:$S,Reliability!$A18,'Data(perSeason,perCrop)'!$R:$R,"IRRIGATED")-AVERAGEIFS('Data(perSeason,perCrop)'!$N:$N,'Data(perSeason,perCrop)'!$K:$K,Reliability!$A$1,'Data(perSeason,perCrop)'!$C:$C,Reliability!D$3,'Data(perSeason,perCrop)'!$S:$S,Reliability!$A18,'Data(perSeason,perCrop)'!$R:$R,"IRRIGATED"),"")</f>
        <v/>
      </c>
      <c r="E18" s="46" t="str">
        <f>IF(AND(ISNUMBER(E9),E$4&lt;&gt;14,E$4&lt;&gt;15),AVERAGEIFS('Data(perSeason,perCrop)'!$M:$M,'Data(perSeason,perCrop)'!$K:$K,Reliability!$A$1,'Data(perSeason,perCrop)'!$C:$C,Reliability!E$3,'Data(perSeason,perCrop)'!$S:$S,Reliability!$A18,'Data(perSeason,perCrop)'!$R:$R,"IRRIGATED")-AVERAGEIFS('Data(perSeason,perCrop)'!$N:$N,'Data(perSeason,perCrop)'!$K:$K,Reliability!$A$1,'Data(perSeason,perCrop)'!$C:$C,Reliability!E$3,'Data(perSeason,perCrop)'!$S:$S,Reliability!$A18,'Data(perSeason,perCrop)'!$R:$R,"IRRIGATED"),"")</f>
        <v/>
      </c>
      <c r="F18" s="46" t="str">
        <f>IF(AND(ISNUMBER(F9),F$4&lt;&gt;14,F$4&lt;&gt;15),AVERAGEIFS('Data(perSeason,perCrop)'!$M:$M,'Data(perSeason,perCrop)'!$K:$K,Reliability!$A$1,'Data(perSeason,perCrop)'!$C:$C,Reliability!F$3,'Data(perSeason,perCrop)'!$S:$S,Reliability!$A18,'Data(perSeason,perCrop)'!$R:$R,"IRRIGATED")-AVERAGEIFS('Data(perSeason,perCrop)'!$N:$N,'Data(perSeason,perCrop)'!$K:$K,Reliability!$A$1,'Data(perSeason,perCrop)'!$C:$C,Reliability!F$3,'Data(perSeason,perCrop)'!$S:$S,Reliability!$A18,'Data(perSeason,perCrop)'!$R:$R,"IRRIGATED"),"")</f>
        <v/>
      </c>
      <c r="G18" s="46" t="str">
        <f>IF(AND(ISNUMBER(G9),G$4&lt;&gt;14,G$4&lt;&gt;15),AVERAGEIFS('Data(perSeason,perCrop)'!$M:$M,'Data(perSeason,perCrop)'!$K:$K,Reliability!$A$1,'Data(perSeason,perCrop)'!$C:$C,Reliability!G$3,'Data(perSeason,perCrop)'!$S:$S,Reliability!$A18,'Data(perSeason,perCrop)'!$R:$R,"IRRIGATED")-AVERAGEIFS('Data(perSeason,perCrop)'!$N:$N,'Data(perSeason,perCrop)'!$K:$K,Reliability!$A$1,'Data(perSeason,perCrop)'!$C:$C,Reliability!G$3,'Data(perSeason,perCrop)'!$S:$S,Reliability!$A18,'Data(perSeason,perCrop)'!$R:$R,"IRRIGATED"),"")</f>
        <v/>
      </c>
      <c r="H18" s="46" t="str">
        <f>IF(AND(ISNUMBER(H9),H$4&lt;&gt;14,H$4&lt;&gt;15),AVERAGEIFS('Data(perSeason,perCrop)'!$M:$M,'Data(perSeason,perCrop)'!$K:$K,Reliability!$A$1,'Data(perSeason,perCrop)'!$C:$C,Reliability!H$3,'Data(perSeason,perCrop)'!$S:$S,Reliability!$A18,'Data(perSeason,perCrop)'!$R:$R,"IRRIGATED")-AVERAGEIFS('Data(perSeason,perCrop)'!$N:$N,'Data(perSeason,perCrop)'!$K:$K,Reliability!$A$1,'Data(perSeason,perCrop)'!$C:$C,Reliability!H$3,'Data(perSeason,perCrop)'!$S:$S,Reliability!$A18,'Data(perSeason,perCrop)'!$R:$R,"IRRIGATED"),"")</f>
        <v/>
      </c>
      <c r="I18" s="46" t="str">
        <f>IF(AND(ISNUMBER(I9),I$4&lt;&gt;14,I$4&lt;&gt;15),AVERAGEIFS('Data(perSeason,perCrop)'!$M:$M,'Data(perSeason,perCrop)'!$K:$K,Reliability!$A$1,'Data(perSeason,perCrop)'!$C:$C,Reliability!I$3,'Data(perSeason,perCrop)'!$S:$S,Reliability!$A18,'Data(perSeason,perCrop)'!$R:$R,"IRRIGATED")-AVERAGEIFS('Data(perSeason,perCrop)'!$N:$N,'Data(perSeason,perCrop)'!$K:$K,Reliability!$A$1,'Data(perSeason,perCrop)'!$C:$C,Reliability!I$3,'Data(perSeason,perCrop)'!$S:$S,Reliability!$A18,'Data(perSeason,perCrop)'!$R:$R,"IRRIGATED"),"")</f>
        <v/>
      </c>
      <c r="J18" s="46" t="str">
        <f>IF(AND(ISNUMBER(J9),J$4&lt;&gt;14,J$4&lt;&gt;15),AVERAGEIFS('Data(perSeason,perCrop)'!$M:$M,'Data(perSeason,perCrop)'!$K:$K,Reliability!$A$1,'Data(perSeason,perCrop)'!$C:$C,Reliability!J$3,'Data(perSeason,perCrop)'!$S:$S,Reliability!$A18,'Data(perSeason,perCrop)'!$R:$R,"IRRIGATED")-AVERAGEIFS('Data(perSeason,perCrop)'!$N:$N,'Data(perSeason,perCrop)'!$K:$K,Reliability!$A$1,'Data(perSeason,perCrop)'!$C:$C,Reliability!J$3,'Data(perSeason,perCrop)'!$S:$S,Reliability!$A18,'Data(perSeason,perCrop)'!$R:$R,"IRRIGATED"),"")</f>
        <v/>
      </c>
      <c r="K18" s="46" t="str">
        <f>IF(AND(ISNUMBER(K9),K$4&lt;&gt;14,K$4&lt;&gt;15),AVERAGEIFS('Data(perSeason,perCrop)'!$M:$M,'Data(perSeason,perCrop)'!$K:$K,Reliability!$A$1,'Data(perSeason,perCrop)'!$C:$C,Reliability!K$3,'Data(perSeason,perCrop)'!$S:$S,Reliability!$A18,'Data(perSeason,perCrop)'!$R:$R,"IRRIGATED")-AVERAGEIFS('Data(perSeason,perCrop)'!$N:$N,'Data(perSeason,perCrop)'!$K:$K,Reliability!$A$1,'Data(perSeason,perCrop)'!$C:$C,Reliability!K$3,'Data(perSeason,perCrop)'!$S:$S,Reliability!$A18,'Data(perSeason,perCrop)'!$R:$R,"IRRIGATED"),"")</f>
        <v/>
      </c>
      <c r="L18" s="46" t="str">
        <f>IF(AND(ISNUMBER(L9),L$4&lt;&gt;14,L$4&lt;&gt;15),AVERAGEIFS('Data(perSeason,perCrop)'!$M:$M,'Data(perSeason,perCrop)'!$K:$K,Reliability!$A$1,'Data(perSeason,perCrop)'!$C:$C,Reliability!L$3,'Data(perSeason,perCrop)'!$S:$S,Reliability!$A18,'Data(perSeason,perCrop)'!$R:$R,"IRRIGATED")-AVERAGEIFS('Data(perSeason,perCrop)'!$N:$N,'Data(perSeason,perCrop)'!$K:$K,Reliability!$A$1,'Data(perSeason,perCrop)'!$C:$C,Reliability!L$3,'Data(perSeason,perCrop)'!$S:$S,Reliability!$A18,'Data(perSeason,perCrop)'!$R:$R,"IRRIGATED"),"")</f>
        <v/>
      </c>
      <c r="M18" s="46" t="str">
        <f>IF(AND(ISNUMBER(M9),M$4&lt;&gt;14,M$4&lt;&gt;15),AVERAGEIFS('Data(perSeason,perCrop)'!$M:$M,'Data(perSeason,perCrop)'!$K:$K,Reliability!$A$1,'Data(perSeason,perCrop)'!$C:$C,Reliability!M$3,'Data(perSeason,perCrop)'!$S:$S,Reliability!$A18,'Data(perSeason,perCrop)'!$R:$R,"IRRIGATED")-AVERAGEIFS('Data(perSeason,perCrop)'!$N:$N,'Data(perSeason,perCrop)'!$K:$K,Reliability!$A$1,'Data(perSeason,perCrop)'!$C:$C,Reliability!M$3,'Data(perSeason,perCrop)'!$S:$S,Reliability!$A18,'Data(perSeason,perCrop)'!$R:$R,"IRRIGATED"),"")</f>
        <v/>
      </c>
      <c r="N18" s="46" t="str">
        <f>IF(AND(ISNUMBER(N9),N$4&lt;&gt;14,N$4&lt;&gt;15),AVERAGEIFS('Data(perSeason,perCrop)'!$M:$M,'Data(perSeason,perCrop)'!$K:$K,Reliability!$A$1,'Data(perSeason,perCrop)'!$C:$C,Reliability!N$3,'Data(perSeason,perCrop)'!$S:$S,Reliability!$A18,'Data(perSeason,perCrop)'!$R:$R,"IRRIGATED")-AVERAGEIFS('Data(perSeason,perCrop)'!$N:$N,'Data(perSeason,perCrop)'!$K:$K,Reliability!$A$1,'Data(perSeason,perCrop)'!$C:$C,Reliability!N$3,'Data(perSeason,perCrop)'!$S:$S,Reliability!$A18,'Data(perSeason,perCrop)'!$R:$R,"IRRIGATED"),"")</f>
        <v/>
      </c>
      <c r="O18" s="46" t="str">
        <f>IF(AND(ISNUMBER(O9),O$4&lt;&gt;14,O$4&lt;&gt;15),AVERAGEIFS('Data(perSeason,perCrop)'!$M:$M,'Data(perSeason,perCrop)'!$K:$K,Reliability!$A$1,'Data(perSeason,perCrop)'!$C:$C,Reliability!O$3,'Data(perSeason,perCrop)'!$S:$S,Reliability!$A18,'Data(perSeason,perCrop)'!$R:$R,"IRRIGATED")-AVERAGEIFS('Data(perSeason,perCrop)'!$N:$N,'Data(perSeason,perCrop)'!$K:$K,Reliability!$A$1,'Data(perSeason,perCrop)'!$C:$C,Reliability!O$3,'Data(perSeason,perCrop)'!$S:$S,Reliability!$A18,'Data(perSeason,perCrop)'!$R:$R,"IRRIGATED"),"")</f>
        <v/>
      </c>
      <c r="P18" s="46" t="str">
        <f>IF(AND(ISNUMBER(P9),P$4&lt;&gt;14,P$4&lt;&gt;15),AVERAGEIFS('Data(perSeason,perCrop)'!$M:$M,'Data(perSeason,perCrop)'!$K:$K,Reliability!$A$1,'Data(perSeason,perCrop)'!$C:$C,Reliability!P$3,'Data(perSeason,perCrop)'!$S:$S,Reliability!$A18,'Data(perSeason,perCrop)'!$R:$R,"IRRIGATED")-AVERAGEIFS('Data(perSeason,perCrop)'!$N:$N,'Data(perSeason,perCrop)'!$K:$K,Reliability!$A$1,'Data(perSeason,perCrop)'!$C:$C,Reliability!P$3,'Data(perSeason,perCrop)'!$S:$S,Reliability!$A18,'Data(perSeason,perCrop)'!$R:$R,"IRRIGATED"),"")</f>
        <v/>
      </c>
      <c r="Q18" s="46" t="str">
        <f>IF(AND(ISNUMBER(Q9),Q$4&lt;&gt;14,Q$4&lt;&gt;15),AVERAGEIFS('Data(perSeason,perCrop)'!$M:$M,'Data(perSeason,perCrop)'!$K:$K,Reliability!$A$1,'Data(perSeason,perCrop)'!$C:$C,Reliability!Q$3,'Data(perSeason,perCrop)'!$S:$S,Reliability!$A18,'Data(perSeason,perCrop)'!$R:$R,"IRRIGATED")-AVERAGEIFS('Data(perSeason,perCrop)'!$N:$N,'Data(perSeason,perCrop)'!$K:$K,Reliability!$A$1,'Data(perSeason,perCrop)'!$C:$C,Reliability!Q$3,'Data(perSeason,perCrop)'!$S:$S,Reliability!$A18,'Data(perSeason,perCrop)'!$R:$R,"IRRIGATED"),"")</f>
        <v/>
      </c>
      <c r="R18" s="46">
        <f>IF(AND(ISNUMBER(R9),R$4&lt;&gt;14,R$4&lt;&gt;15),AVERAGEIFS('Data(perSeason,perCrop)'!$M:$M,'Data(perSeason,perCrop)'!$K:$K,Reliability!$A$1,'Data(perSeason,perCrop)'!$C:$C,Reliability!R$3,'Data(perSeason,perCrop)'!$S:$S,Reliability!$A18,'Data(perSeason,perCrop)'!$R:$R,"IRRIGATED")-AVERAGEIFS('Data(perSeason,perCrop)'!$N:$N,'Data(perSeason,perCrop)'!$K:$K,Reliability!$A$1,'Data(perSeason,perCrop)'!$C:$C,Reliability!R$3,'Data(perSeason,perCrop)'!$S:$S,Reliability!$A18,'Data(perSeason,perCrop)'!$R:$R,"IRRIGATED"),"")</f>
        <v>0.21450527414647447</v>
      </c>
      <c r="S18" s="46" t="str">
        <f>IF(AND(ISNUMBER(S9),S$4&lt;&gt;14,S$4&lt;&gt;15),AVERAGEIFS('Data(perSeason,perCrop)'!$M:$M,'Data(perSeason,perCrop)'!$K:$K,Reliability!$A$1,'Data(perSeason,perCrop)'!$C:$C,Reliability!S$3,'Data(perSeason,perCrop)'!$S:$S,Reliability!$A18,'Data(perSeason,perCrop)'!$R:$R,"IRRIGATED")-AVERAGEIFS('Data(perSeason,perCrop)'!$N:$N,'Data(perSeason,perCrop)'!$K:$K,Reliability!$A$1,'Data(perSeason,perCrop)'!$C:$C,Reliability!S$3,'Data(perSeason,perCrop)'!$S:$S,Reliability!$A18,'Data(perSeason,perCrop)'!$R:$R,"IRRIGATED"),"")</f>
        <v/>
      </c>
      <c r="T18" s="46" t="str">
        <f>IF(AND(ISNUMBER(T9),T$4&lt;&gt;14,T$4&lt;&gt;15),AVERAGEIFS('Data(perSeason,perCrop)'!$M:$M,'Data(perSeason,perCrop)'!$K:$K,Reliability!$A$1,'Data(perSeason,perCrop)'!$C:$C,Reliability!T$3,'Data(perSeason,perCrop)'!$S:$S,Reliability!$A18,'Data(perSeason,perCrop)'!$R:$R,"IRRIGATED")-AVERAGEIFS('Data(perSeason,perCrop)'!$N:$N,'Data(perSeason,perCrop)'!$K:$K,Reliability!$A$1,'Data(perSeason,perCrop)'!$C:$C,Reliability!T$3,'Data(perSeason,perCrop)'!$S:$S,Reliability!$A18,'Data(perSeason,perCrop)'!$R:$R,"IRRIGATED"),"")</f>
        <v/>
      </c>
      <c r="U18" s="46">
        <f>IF(AND(ISNUMBER(U9),U$4&lt;&gt;14,U$4&lt;&gt;15),AVERAGEIFS('Data(perSeason,perCrop)'!$M:$M,'Data(perSeason,perCrop)'!$K:$K,Reliability!$A$1,'Data(perSeason,perCrop)'!$C:$C,Reliability!U$3,'Data(perSeason,perCrop)'!$S:$S,Reliability!$A18,'Data(perSeason,perCrop)'!$R:$R,"IRRIGATED")-AVERAGEIFS('Data(perSeason,perCrop)'!$N:$N,'Data(perSeason,perCrop)'!$K:$K,Reliability!$A$1,'Data(perSeason,perCrop)'!$C:$C,Reliability!U$3,'Data(perSeason,perCrop)'!$S:$S,Reliability!$A18,'Data(perSeason,perCrop)'!$R:$R,"IRRIGATED"),"")</f>
        <v>0.24520766782173109</v>
      </c>
      <c r="V18" s="46" t="str">
        <f>IF(AND(ISNUMBER(V9),V$4&lt;&gt;14,V$4&lt;&gt;15),AVERAGEIFS('Data(perSeason,perCrop)'!$M:$M,'Data(perSeason,perCrop)'!$K:$K,Reliability!$A$1,'Data(perSeason,perCrop)'!$C:$C,Reliability!V$3,'Data(perSeason,perCrop)'!$S:$S,Reliability!$A18,'Data(perSeason,perCrop)'!$R:$R,"IRRIGATED")-AVERAGEIFS('Data(perSeason,perCrop)'!$N:$N,'Data(perSeason,perCrop)'!$K:$K,Reliability!$A$1,'Data(perSeason,perCrop)'!$C:$C,Reliability!V$3,'Data(perSeason,perCrop)'!$S:$S,Reliability!$A18,'Data(perSeason,perCrop)'!$R:$R,"IRRIGATED"),"")</f>
        <v/>
      </c>
      <c r="W18" s="46" t="str">
        <f>IF(AND(ISNUMBER(W9),W$4&lt;&gt;14,W$4&lt;&gt;15),AVERAGEIFS('Data(perSeason,perCrop)'!$M:$M,'Data(perSeason,perCrop)'!$K:$K,Reliability!$A$1,'Data(perSeason,perCrop)'!$C:$C,Reliability!W$3,'Data(perSeason,perCrop)'!$S:$S,Reliability!$A18,'Data(perSeason,perCrop)'!$R:$R,"IRRIGATED")-AVERAGEIFS('Data(perSeason,perCrop)'!$N:$N,'Data(perSeason,perCrop)'!$K:$K,Reliability!$A$1,'Data(perSeason,perCrop)'!$C:$C,Reliability!W$3,'Data(perSeason,perCrop)'!$S:$S,Reliability!$A18,'Data(perSeason,perCrop)'!$R:$R,"IRRIGATED"),"")</f>
        <v/>
      </c>
      <c r="X18" s="46" t="str">
        <f>IF(AND(ISNUMBER(X9),X$4&lt;&gt;14,X$4&lt;&gt;15),AVERAGEIFS('Data(perSeason,perCrop)'!$M:$M,'Data(perSeason,perCrop)'!$K:$K,Reliability!$A$1,'Data(perSeason,perCrop)'!$C:$C,Reliability!X$3,'Data(perSeason,perCrop)'!$S:$S,Reliability!$A18,'Data(perSeason,perCrop)'!$R:$R,"IRRIGATED")-AVERAGEIFS('Data(perSeason,perCrop)'!$N:$N,'Data(perSeason,perCrop)'!$K:$K,Reliability!$A$1,'Data(perSeason,perCrop)'!$C:$C,Reliability!X$3,'Data(perSeason,perCrop)'!$S:$S,Reliability!$A18,'Data(perSeason,perCrop)'!$R:$R,"IRRIGATED"),"")</f>
        <v/>
      </c>
      <c r="Y18" s="46" t="str">
        <f>IF(AND(ISNUMBER(Y9),Y$4&lt;&gt;14,Y$4&lt;&gt;15),AVERAGEIFS('Data(perSeason,perCrop)'!$M:$M,'Data(perSeason,perCrop)'!$K:$K,Reliability!$A$1,'Data(perSeason,perCrop)'!$C:$C,Reliability!Y$3,'Data(perSeason,perCrop)'!$S:$S,Reliability!$A18,'Data(perSeason,perCrop)'!$R:$R,"IRRIGATED")-AVERAGEIFS('Data(perSeason,perCrop)'!$N:$N,'Data(perSeason,perCrop)'!$K:$K,Reliability!$A$1,'Data(perSeason,perCrop)'!$C:$C,Reliability!Y$3,'Data(perSeason,perCrop)'!$S:$S,Reliability!$A18,'Data(perSeason,perCrop)'!$R:$R,"IRRIGATED"),"")</f>
        <v/>
      </c>
      <c r="Z18" s="46" t="str">
        <f>IF(AND(ISNUMBER(Z9),Z$4&lt;&gt;14,Z$4&lt;&gt;15),AVERAGEIFS('Data(perSeason,perCrop)'!$M:$M,'Data(perSeason,perCrop)'!$K:$K,Reliability!$A$1,'Data(perSeason,perCrop)'!$C:$C,Reliability!Z$3,'Data(perSeason,perCrop)'!$S:$S,Reliability!$A18,'Data(perSeason,perCrop)'!$R:$R,"IRRIGATED")-AVERAGEIFS('Data(perSeason,perCrop)'!$N:$N,'Data(perSeason,perCrop)'!$K:$K,Reliability!$A$1,'Data(perSeason,perCrop)'!$C:$C,Reliability!Z$3,'Data(perSeason,perCrop)'!$S:$S,Reliability!$A18,'Data(perSeason,perCrop)'!$R:$R,"IRRIGATED"),"")</f>
        <v/>
      </c>
      <c r="AA18" s="46" t="str">
        <f>IF(AND(ISNUMBER(AA9),AA$4&lt;&gt;14,AA$4&lt;&gt;15),AVERAGEIFS('Data(perSeason,perCrop)'!$M:$M,'Data(perSeason,perCrop)'!$K:$K,Reliability!$A$1,'Data(perSeason,perCrop)'!$C:$C,Reliability!AA$3,'Data(perSeason,perCrop)'!$S:$S,Reliability!$A18,'Data(perSeason,perCrop)'!$R:$R,"IRRIGATED")-AVERAGEIFS('Data(perSeason,perCrop)'!$N:$N,'Data(perSeason,perCrop)'!$K:$K,Reliability!$A$1,'Data(perSeason,perCrop)'!$C:$C,Reliability!AA$3,'Data(perSeason,perCrop)'!$S:$S,Reliability!$A18,'Data(perSeason,perCrop)'!$R:$R,"IRRIGATED"),"")</f>
        <v/>
      </c>
      <c r="AB18" s="46" t="str">
        <f>IF(AND(ISNUMBER(AB9),AB$4&lt;&gt;14,AB$4&lt;&gt;15),AVERAGEIFS('Data(perSeason,perCrop)'!$M:$M,'Data(perSeason,perCrop)'!$K:$K,Reliability!$A$1,'Data(perSeason,perCrop)'!$C:$C,Reliability!AB$3,'Data(perSeason,perCrop)'!$S:$S,Reliability!$A18,'Data(perSeason,perCrop)'!$R:$R,"IRRIGATED")-AVERAGEIFS('Data(perSeason,perCrop)'!$N:$N,'Data(perSeason,perCrop)'!$K:$K,Reliability!$A$1,'Data(perSeason,perCrop)'!$C:$C,Reliability!AB$3,'Data(perSeason,perCrop)'!$S:$S,Reliability!$A18,'Data(perSeason,perCrop)'!$R:$R,"IRRIGATED"),"")</f>
        <v/>
      </c>
      <c r="AC18" s="46" t="str">
        <f>IF(AND(ISNUMBER(AC9),AC$4&lt;&gt;14,AC$4&lt;&gt;15),AVERAGEIFS('Data(perSeason,perCrop)'!$M:$M,'Data(perSeason,perCrop)'!$K:$K,Reliability!$A$1,'Data(perSeason,perCrop)'!$C:$C,Reliability!AC$3,'Data(perSeason,perCrop)'!$S:$S,Reliability!$A18,'Data(perSeason,perCrop)'!$R:$R,"IRRIGATED")-AVERAGEIFS('Data(perSeason,perCrop)'!$N:$N,'Data(perSeason,perCrop)'!$K:$K,Reliability!$A$1,'Data(perSeason,perCrop)'!$C:$C,Reliability!AC$3,'Data(perSeason,perCrop)'!$S:$S,Reliability!$A18,'Data(perSeason,perCrop)'!$R:$R,"IRRIGATED"),"")</f>
        <v/>
      </c>
      <c r="AD18" s="46" t="str">
        <f>IF(AND(ISNUMBER(AD9),AD$4&lt;&gt;14,AD$4&lt;&gt;15),AVERAGEIFS('Data(perSeason,perCrop)'!$M:$M,'Data(perSeason,perCrop)'!$K:$K,Reliability!$A$1,'Data(perSeason,perCrop)'!$C:$C,Reliability!AD$3,'Data(perSeason,perCrop)'!$S:$S,Reliability!$A18,'Data(perSeason,perCrop)'!$R:$R,"IRRIGATED")-AVERAGEIFS('Data(perSeason,perCrop)'!$N:$N,'Data(perSeason,perCrop)'!$K:$K,Reliability!$A$1,'Data(perSeason,perCrop)'!$C:$C,Reliability!AD$3,'Data(perSeason,perCrop)'!$S:$S,Reliability!$A18,'Data(perSeason,perCrop)'!$R:$R,"IRRIGATED"),"")</f>
        <v/>
      </c>
      <c r="AE18" s="46" t="str">
        <f>IF(AND(ISNUMBER(AE9),AE$4&lt;&gt;14,AE$4&lt;&gt;15),AVERAGEIFS('Data(perSeason,perCrop)'!$M:$M,'Data(perSeason,perCrop)'!$K:$K,Reliability!$A$1,'Data(perSeason,perCrop)'!$C:$C,Reliability!AE$3,'Data(perSeason,perCrop)'!$S:$S,Reliability!$A18,'Data(perSeason,perCrop)'!$R:$R,"IRRIGATED")-AVERAGEIFS('Data(perSeason,perCrop)'!$N:$N,'Data(perSeason,perCrop)'!$K:$K,Reliability!$A$1,'Data(perSeason,perCrop)'!$C:$C,Reliability!AE$3,'Data(perSeason,perCrop)'!$S:$S,Reliability!$A18,'Data(perSeason,perCrop)'!$R:$R,"IRRIGATED"),"")</f>
        <v/>
      </c>
      <c r="AF18" s="46" t="str">
        <f>IF(AND(ISNUMBER(AF9),AF$4&lt;&gt;14,AF$4&lt;&gt;15),AVERAGEIFS('Data(perSeason,perCrop)'!$M:$M,'Data(perSeason,perCrop)'!$K:$K,Reliability!$A$1,'Data(perSeason,perCrop)'!$C:$C,Reliability!AF$3,'Data(perSeason,perCrop)'!$S:$S,Reliability!$A18,'Data(perSeason,perCrop)'!$R:$R,"IRRIGATED")-AVERAGEIFS('Data(perSeason,perCrop)'!$N:$N,'Data(perSeason,perCrop)'!$K:$K,Reliability!$A$1,'Data(perSeason,perCrop)'!$C:$C,Reliability!AF$3,'Data(perSeason,perCrop)'!$S:$S,Reliability!$A18,'Data(perSeason,perCrop)'!$R:$R,"IRRIGATED"),"")</f>
        <v/>
      </c>
    </row>
    <row r="19" spans="1:32" ht="18.75" x14ac:dyDescent="0.3">
      <c r="A19" s="52" t="s">
        <v>184</v>
      </c>
      <c r="B19" s="52"/>
      <c r="C19" s="52">
        <f t="shared" ref="C19:AF19" si="1">IF(ISNUMBER(AVERAGE(C14:C18)),AVERAGE(C14:C18),"")</f>
        <v>0.27343549481628504</v>
      </c>
      <c r="D19" s="48" t="str">
        <f t="shared" si="1"/>
        <v/>
      </c>
      <c r="E19" s="48" t="str">
        <f t="shared" si="1"/>
        <v/>
      </c>
      <c r="F19" s="48" t="str">
        <f t="shared" si="1"/>
        <v/>
      </c>
      <c r="G19" s="48" t="str">
        <f t="shared" si="1"/>
        <v/>
      </c>
      <c r="H19" s="48" t="str">
        <f t="shared" si="1"/>
        <v/>
      </c>
      <c r="I19" s="48" t="str">
        <f t="shared" si="1"/>
        <v/>
      </c>
      <c r="J19" s="48" t="str">
        <f t="shared" si="1"/>
        <v/>
      </c>
      <c r="K19" s="48" t="str">
        <f t="shared" si="1"/>
        <v/>
      </c>
      <c r="L19" s="48" t="str">
        <f t="shared" si="1"/>
        <v/>
      </c>
      <c r="M19" s="48" t="str">
        <f t="shared" si="1"/>
        <v/>
      </c>
      <c r="N19" s="48" t="str">
        <f t="shared" si="1"/>
        <v/>
      </c>
      <c r="O19" s="48" t="str">
        <f t="shared" si="1"/>
        <v/>
      </c>
      <c r="P19" s="48" t="str">
        <f t="shared" si="1"/>
        <v/>
      </c>
      <c r="Q19" s="48" t="str">
        <f t="shared" si="1"/>
        <v/>
      </c>
      <c r="R19" s="48">
        <f t="shared" si="1"/>
        <v>0.23993596942094353</v>
      </c>
      <c r="S19" s="48" t="str">
        <f t="shared" si="1"/>
        <v/>
      </c>
      <c r="T19" s="48" t="str">
        <f t="shared" si="1"/>
        <v/>
      </c>
      <c r="U19" s="48">
        <f t="shared" si="1"/>
        <v>0.24660853020162804</v>
      </c>
      <c r="V19" s="48" t="str">
        <f t="shared" si="1"/>
        <v/>
      </c>
      <c r="W19" s="48" t="str">
        <f t="shared" si="1"/>
        <v/>
      </c>
      <c r="X19" s="48" t="str">
        <f t="shared" si="1"/>
        <v/>
      </c>
      <c r="Y19" s="48" t="str">
        <f t="shared" si="1"/>
        <v/>
      </c>
      <c r="Z19" s="48" t="str">
        <f t="shared" si="1"/>
        <v/>
      </c>
      <c r="AA19" s="48" t="str">
        <f t="shared" si="1"/>
        <v/>
      </c>
      <c r="AB19" s="48" t="str">
        <f t="shared" si="1"/>
        <v/>
      </c>
      <c r="AC19" s="48" t="str">
        <f t="shared" si="1"/>
        <v/>
      </c>
      <c r="AD19" s="48" t="str">
        <f t="shared" si="1"/>
        <v/>
      </c>
      <c r="AE19" s="48" t="str">
        <f t="shared" si="1"/>
        <v/>
      </c>
      <c r="AF19" s="48" t="str">
        <f t="shared" si="1"/>
        <v/>
      </c>
    </row>
    <row r="21" spans="1:32" ht="18.75" x14ac:dyDescent="0.3">
      <c r="A21" s="42" t="s">
        <v>1</v>
      </c>
      <c r="B21" s="42" t="s">
        <v>120</v>
      </c>
    </row>
    <row r="22" spans="1:32" ht="18.75" x14ac:dyDescent="0.3">
      <c r="A22" s="42">
        <v>2018</v>
      </c>
      <c r="B22" s="51">
        <f>SUMPRODUCT(B14:AF14,B5:AF5)/SUM(B5:AF5)</f>
        <v>0.27271164328178576</v>
      </c>
    </row>
    <row r="23" spans="1:32" ht="18.75" x14ac:dyDescent="0.3">
      <c r="A23" s="42">
        <v>2019</v>
      </c>
      <c r="B23" s="51">
        <f>SUMPRODUCT(B15:AF15,B6:AF6)/SUM(B6:AF6)</f>
        <v>0.31350035330928422</v>
      </c>
    </row>
    <row r="24" spans="1:32" ht="18.75" x14ac:dyDescent="0.3">
      <c r="A24" s="42">
        <v>2020</v>
      </c>
      <c r="B24" s="51">
        <f>SUMPRODUCT(B16:AF16,B7:AF7)/SUM(B7:AF7)</f>
        <v>0.2075321953932269</v>
      </c>
    </row>
    <row r="25" spans="1:32" ht="18.75" x14ac:dyDescent="0.3">
      <c r="A25" s="42">
        <v>2021</v>
      </c>
      <c r="B25" s="51">
        <f>SUMPRODUCT(B17:AF17,B8:AF8)/SUM(B8:AF8)</f>
        <v>0.28468755685851393</v>
      </c>
    </row>
    <row r="26" spans="1:32" ht="18.75" x14ac:dyDescent="0.3">
      <c r="A26" s="42">
        <v>2022</v>
      </c>
      <c r="B26" s="51">
        <f>SUMPRODUCT(B18:AF18,B9:AF9)/SUM(B9:AF9)</f>
        <v>0.25699745838289012</v>
      </c>
    </row>
    <row r="27" spans="1:32" ht="18.75" x14ac:dyDescent="0.3">
      <c r="A27" s="52" t="s">
        <v>184</v>
      </c>
      <c r="B27" s="52">
        <f>AVERAGE(B22:B26)</f>
        <v>0.26708584144514019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13A3-09E9-4A18-BE6F-065218CACBA3}">
  <dimension ref="A1:AN37"/>
  <sheetViews>
    <sheetView zoomScale="70" zoomScaleNormal="70" workbookViewId="0">
      <selection activeCell="C14" sqref="C14"/>
    </sheetView>
  </sheetViews>
  <sheetFormatPr defaultRowHeight="15.75" x14ac:dyDescent="0.25"/>
  <cols>
    <col min="1" max="1" width="33.125" customWidth="1"/>
    <col min="9" max="9" width="11.25" style="6" customWidth="1"/>
    <col min="10" max="13" width="9" style="6"/>
  </cols>
  <sheetData>
    <row r="1" spans="1:40" s="6" customFormat="1" x14ac:dyDescent="0.25">
      <c r="A1" s="6" t="s">
        <v>173</v>
      </c>
      <c r="C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6" t="s">
        <v>21</v>
      </c>
      <c r="AD1" s="6" t="s">
        <v>21</v>
      </c>
      <c r="AE1" s="6" t="s">
        <v>21</v>
      </c>
      <c r="AI1" s="6" t="s">
        <v>60</v>
      </c>
      <c r="AJ1" s="6" t="s">
        <v>61</v>
      </c>
      <c r="AK1" s="6" t="s">
        <v>62</v>
      </c>
      <c r="AL1" s="6" t="s">
        <v>10</v>
      </c>
      <c r="AM1" s="6" t="s">
        <v>10</v>
      </c>
      <c r="AN1" s="6" t="s">
        <v>204</v>
      </c>
    </row>
    <row r="2" spans="1:40" x14ac:dyDescent="0.25">
      <c r="A2" s="72" t="s">
        <v>1</v>
      </c>
    </row>
    <row r="3" spans="1:40" ht="18.75" x14ac:dyDescent="0.3">
      <c r="A3" s="42" t="s">
        <v>205</v>
      </c>
      <c r="B3" s="58" t="s">
        <v>47</v>
      </c>
      <c r="C3" s="58" t="s">
        <v>57</v>
      </c>
      <c r="D3" s="58" t="s">
        <v>110</v>
      </c>
      <c r="E3" s="58" t="s">
        <v>50</v>
      </c>
      <c r="F3" s="58" t="s">
        <v>58</v>
      </c>
      <c r="G3" s="58" t="s">
        <v>51</v>
      </c>
      <c r="H3" s="58" t="s">
        <v>97</v>
      </c>
      <c r="I3" s="58" t="s">
        <v>52</v>
      </c>
      <c r="J3" s="58" t="s">
        <v>59</v>
      </c>
      <c r="K3" s="58" t="s">
        <v>111</v>
      </c>
      <c r="L3" s="58" t="s">
        <v>54</v>
      </c>
      <c r="M3" s="58" t="s">
        <v>112</v>
      </c>
      <c r="N3" s="58" t="s">
        <v>48</v>
      </c>
      <c r="O3" s="58" t="s">
        <v>53</v>
      </c>
      <c r="P3" s="58" t="s">
        <v>49</v>
      </c>
      <c r="Q3" s="58" t="s">
        <v>56</v>
      </c>
      <c r="R3" s="58" t="s">
        <v>102</v>
      </c>
      <c r="S3" s="58" t="s">
        <v>103</v>
      </c>
      <c r="T3" s="58" t="s">
        <v>101</v>
      </c>
      <c r="U3" s="58" t="s">
        <v>106</v>
      </c>
      <c r="V3" s="58" t="s">
        <v>113</v>
      </c>
      <c r="W3" s="58" t="s">
        <v>114</v>
      </c>
      <c r="X3" s="58" t="s">
        <v>115</v>
      </c>
      <c r="Y3" s="58" t="s">
        <v>116</v>
      </c>
      <c r="Z3" s="58" t="s">
        <v>107</v>
      </c>
      <c r="AA3" s="58" t="s">
        <v>104</v>
      </c>
      <c r="AB3" s="58" t="s">
        <v>117</v>
      </c>
      <c r="AC3" s="58" t="s">
        <v>118</v>
      </c>
      <c r="AD3" s="58" t="s">
        <v>119</v>
      </c>
      <c r="AE3" s="58" t="s">
        <v>108</v>
      </c>
      <c r="AF3" s="58" t="s">
        <v>105</v>
      </c>
    </row>
    <row r="4" spans="1:40" ht="18.75" x14ac:dyDescent="0.3">
      <c r="A4" s="42" t="s">
        <v>183</v>
      </c>
      <c r="B4" s="42">
        <v>1</v>
      </c>
      <c r="C4" s="42">
        <v>2</v>
      </c>
      <c r="D4" s="42">
        <v>3</v>
      </c>
      <c r="E4" s="42">
        <v>4</v>
      </c>
      <c r="F4" s="42">
        <v>5</v>
      </c>
      <c r="G4" s="42">
        <v>6</v>
      </c>
      <c r="H4" s="42">
        <v>7</v>
      </c>
      <c r="I4" s="42">
        <v>8</v>
      </c>
      <c r="J4" s="42">
        <v>9</v>
      </c>
      <c r="K4" s="42">
        <v>10</v>
      </c>
      <c r="L4" s="42">
        <v>11</v>
      </c>
      <c r="M4" s="42">
        <v>12</v>
      </c>
      <c r="N4" s="42">
        <v>13</v>
      </c>
      <c r="O4" s="42">
        <v>14</v>
      </c>
      <c r="P4" s="42">
        <v>15</v>
      </c>
      <c r="Q4" s="42">
        <v>16</v>
      </c>
      <c r="R4" s="42">
        <v>17</v>
      </c>
      <c r="S4" s="42">
        <v>18</v>
      </c>
      <c r="T4" s="42">
        <v>19</v>
      </c>
      <c r="U4" s="42">
        <v>20</v>
      </c>
      <c r="V4" s="42">
        <v>21</v>
      </c>
      <c r="W4" s="42">
        <v>22</v>
      </c>
      <c r="X4" s="42">
        <v>23</v>
      </c>
      <c r="Y4" s="42">
        <v>24</v>
      </c>
      <c r="Z4" s="42">
        <v>25</v>
      </c>
      <c r="AA4" s="42">
        <v>40</v>
      </c>
      <c r="AB4" s="42">
        <v>41</v>
      </c>
      <c r="AC4" s="42">
        <v>42</v>
      </c>
      <c r="AD4" s="42">
        <v>43</v>
      </c>
      <c r="AE4" s="42">
        <v>44</v>
      </c>
      <c r="AF4" s="42">
        <v>45</v>
      </c>
    </row>
    <row r="5" spans="1:40" ht="18.75" x14ac:dyDescent="0.3">
      <c r="A5" s="42">
        <v>2018</v>
      </c>
      <c r="B5" s="46" t="str">
        <f>IF(AND(ISNUMBER(AVERAGEIFS('Data(perCrop)'!$A:$A,'Data(perCrop)'!$B:$B,B$3,'Data(perCrop)'!$H:$H,$A$1,'Data(perCrop)'!$O:$O,$A5)),B$4&lt;&gt;14,B$4&lt;&gt;15),AVERAGEIFS('Data(perCrop)'!$A:$A,'Data(perCrop)'!$B:$B,B$3,'Data(perCrop)'!$H:$H,$A$1,'Data(perCrop)'!$O:$O,$A5),"")</f>
        <v/>
      </c>
      <c r="C5" s="46">
        <f>IF(AND(ISNUMBER(AVERAGEIFS('Data(perCrop)'!$A:$A,'Data(perCrop)'!$B:$B,C$3,'Data(perCrop)'!$H:$H,$A$1,'Data(perCrop)'!$O:$O,$A5)),C$4&lt;&gt;14,C$4&lt;&gt;15),AVERAGEIFS('Data(perCrop)'!$A:$A,'Data(perCrop)'!$B:$B,C$3,'Data(perCrop)'!$H:$H,$A$1,'Data(perCrop)'!$O:$O,$A5),"")</f>
        <v>6350.0256780341497</v>
      </c>
      <c r="D5" s="46" t="str">
        <f>IF(AND(ISNUMBER(AVERAGEIFS('Data(perCrop)'!$A:$A,'Data(perCrop)'!$B:$B,D$3,'Data(perCrop)'!$H:$H,$A$1,'Data(perCrop)'!$O:$O,$A5)),D$4&lt;&gt;14,D$4&lt;&gt;15),AVERAGEIFS('Data(perCrop)'!$A:$A,'Data(perCrop)'!$B:$B,D$3,'Data(perCrop)'!$H:$H,$A$1,'Data(perCrop)'!$O:$O,$A5),"")</f>
        <v/>
      </c>
      <c r="E5" s="46" t="str">
        <f>IF(AND(ISNUMBER(AVERAGEIFS('Data(perCrop)'!$A:$A,'Data(perCrop)'!$B:$B,E$3,'Data(perCrop)'!$H:$H,$A$1,'Data(perCrop)'!$O:$O,$A5)),E$4&lt;&gt;14,E$4&lt;&gt;15),AVERAGEIFS('Data(perCrop)'!$A:$A,'Data(perCrop)'!$B:$B,E$3,'Data(perCrop)'!$H:$H,$A$1,'Data(perCrop)'!$O:$O,$A5),"")</f>
        <v/>
      </c>
      <c r="F5" s="46" t="str">
        <f>IF(AND(ISNUMBER(AVERAGEIFS('Data(perCrop)'!$A:$A,'Data(perCrop)'!$B:$B,F$3,'Data(perCrop)'!$H:$H,$A$1,'Data(perCrop)'!$O:$O,$A5)),F$4&lt;&gt;14,F$4&lt;&gt;15),AVERAGEIFS('Data(perCrop)'!$A:$A,'Data(perCrop)'!$B:$B,F$3,'Data(perCrop)'!$H:$H,$A$1,'Data(perCrop)'!$O:$O,$A5),"")</f>
        <v/>
      </c>
      <c r="G5" s="46" t="str">
        <f>IF(AND(ISNUMBER(AVERAGEIFS('Data(perCrop)'!$A:$A,'Data(perCrop)'!$B:$B,G$3,'Data(perCrop)'!$H:$H,$A$1,'Data(perCrop)'!$O:$O,$A5)),G$4&lt;&gt;14,G$4&lt;&gt;15),AVERAGEIFS('Data(perCrop)'!$A:$A,'Data(perCrop)'!$B:$B,G$3,'Data(perCrop)'!$H:$H,$A$1,'Data(perCrop)'!$O:$O,$A5),"")</f>
        <v/>
      </c>
      <c r="H5" s="46" t="str">
        <f>IF(AND(ISNUMBER(AVERAGEIFS('Data(perCrop)'!$A:$A,'Data(perCrop)'!$B:$B,H$3,'Data(perCrop)'!$H:$H,$A$1,'Data(perCrop)'!$O:$O,$A5)),H$4&lt;&gt;14,H$4&lt;&gt;15),AVERAGEIFS('Data(perCrop)'!$A:$A,'Data(perCrop)'!$B:$B,H$3,'Data(perCrop)'!$H:$H,$A$1,'Data(perCrop)'!$O:$O,$A5),"")</f>
        <v/>
      </c>
      <c r="I5" s="46" t="str">
        <f>IF(AND(ISNUMBER(AVERAGEIFS('Data(perCrop)'!$A:$A,'Data(perCrop)'!$B:$B,I$3,'Data(perCrop)'!$H:$H,$A$1,'Data(perCrop)'!$O:$O,$A5)),I$4&lt;&gt;14,I$4&lt;&gt;15),AVERAGEIFS('Data(perCrop)'!$A:$A,'Data(perCrop)'!$B:$B,I$3,'Data(perCrop)'!$H:$H,$A$1,'Data(perCrop)'!$O:$O,$A5),"")</f>
        <v/>
      </c>
      <c r="J5" s="46" t="str">
        <f>IF(AND(ISNUMBER(AVERAGEIFS('Data(perCrop)'!$A:$A,'Data(perCrop)'!$B:$B,J$3,'Data(perCrop)'!$H:$H,$A$1,'Data(perCrop)'!$O:$O,$A5)),J$4&lt;&gt;14,J$4&lt;&gt;15),AVERAGEIFS('Data(perCrop)'!$A:$A,'Data(perCrop)'!$B:$B,J$3,'Data(perCrop)'!$H:$H,$A$1,'Data(perCrop)'!$O:$O,$A5),"")</f>
        <v/>
      </c>
      <c r="K5" s="46" t="str">
        <f>IF(AND(ISNUMBER(AVERAGEIFS('Data(perCrop)'!$A:$A,'Data(perCrop)'!$B:$B,K$3,'Data(perCrop)'!$H:$H,$A$1,'Data(perCrop)'!$O:$O,$A5)),K$4&lt;&gt;14,K$4&lt;&gt;15),AVERAGEIFS('Data(perCrop)'!$A:$A,'Data(perCrop)'!$B:$B,K$3,'Data(perCrop)'!$H:$H,$A$1,'Data(perCrop)'!$O:$O,$A5),"")</f>
        <v/>
      </c>
      <c r="L5" s="46" t="str">
        <f>IF(AND(ISNUMBER(AVERAGEIFS('Data(perCrop)'!$A:$A,'Data(perCrop)'!$B:$B,L$3,'Data(perCrop)'!$H:$H,$A$1,'Data(perCrop)'!$O:$O,$A5)),L$4&lt;&gt;14,L$4&lt;&gt;15),AVERAGEIFS('Data(perCrop)'!$A:$A,'Data(perCrop)'!$B:$B,L$3,'Data(perCrop)'!$H:$H,$A$1,'Data(perCrop)'!$O:$O,$A5),"")</f>
        <v/>
      </c>
      <c r="M5" s="46" t="str">
        <f>IF(AND(ISNUMBER(AVERAGEIFS('Data(perCrop)'!$A:$A,'Data(perCrop)'!$B:$B,M$3,'Data(perCrop)'!$H:$H,$A$1,'Data(perCrop)'!$O:$O,$A5)),M$4&lt;&gt;14,M$4&lt;&gt;15),AVERAGEIFS('Data(perCrop)'!$A:$A,'Data(perCrop)'!$B:$B,M$3,'Data(perCrop)'!$H:$H,$A$1,'Data(perCrop)'!$O:$O,$A5),"")</f>
        <v/>
      </c>
      <c r="N5" s="46" t="str">
        <f>IF(AND(ISNUMBER(AVERAGEIFS('Data(perCrop)'!$A:$A,'Data(perCrop)'!$B:$B,N$3,'Data(perCrop)'!$H:$H,$A$1,'Data(perCrop)'!$O:$O,$A5)),N$4&lt;&gt;14,N$4&lt;&gt;15),AVERAGEIFS('Data(perCrop)'!$A:$A,'Data(perCrop)'!$B:$B,N$3,'Data(perCrop)'!$H:$H,$A$1,'Data(perCrop)'!$O:$O,$A5),"")</f>
        <v/>
      </c>
      <c r="O5" s="46" t="str">
        <f>IF(AND(ISNUMBER(AVERAGEIFS('Data(perCrop)'!$A:$A,'Data(perCrop)'!$B:$B,O$3,'Data(perCrop)'!$H:$H,$A$1,'Data(perCrop)'!$O:$O,$A5)),O$4&lt;&gt;14,O$4&lt;&gt;15),AVERAGEIFS('Data(perCrop)'!$A:$A,'Data(perCrop)'!$B:$B,O$3,'Data(perCrop)'!$H:$H,$A$1,'Data(perCrop)'!$O:$O,$A5),"")</f>
        <v/>
      </c>
      <c r="P5" s="46" t="str">
        <f>IF(AND(ISNUMBER(AVERAGEIFS('Data(perCrop)'!$A:$A,'Data(perCrop)'!$B:$B,P$3,'Data(perCrop)'!$H:$H,$A$1,'Data(perCrop)'!$O:$O,$A5)),P$4&lt;&gt;14,P$4&lt;&gt;15),AVERAGEIFS('Data(perCrop)'!$A:$A,'Data(perCrop)'!$B:$B,P$3,'Data(perCrop)'!$H:$H,$A$1,'Data(perCrop)'!$O:$O,$A5),"")</f>
        <v/>
      </c>
      <c r="Q5" s="46" t="str">
        <f>IF(AND(ISNUMBER(AVERAGEIFS('Data(perCrop)'!$A:$A,'Data(perCrop)'!$B:$B,Q$3,'Data(perCrop)'!$H:$H,$A$1,'Data(perCrop)'!$O:$O,$A5)),Q$4&lt;&gt;14,Q$4&lt;&gt;15),AVERAGEIFS('Data(perCrop)'!$A:$A,'Data(perCrop)'!$B:$B,Q$3,'Data(perCrop)'!$H:$H,$A$1,'Data(perCrop)'!$O:$O,$A5),"")</f>
        <v/>
      </c>
      <c r="R5" s="46">
        <f>IF(AND(ISNUMBER(AVERAGEIFS('Data(perCrop)'!$A:$A,'Data(perCrop)'!$B:$B,R$3,'Data(perCrop)'!$H:$H,$A$1,'Data(perCrop)'!$O:$O,$A5)),R$4&lt;&gt;14,R$4&lt;&gt;15),AVERAGEIFS('Data(perCrop)'!$A:$A,'Data(perCrop)'!$B:$B,R$3,'Data(perCrop)'!$H:$H,$A$1,'Data(perCrop)'!$O:$O,$A5),"")</f>
        <v>1017.18025966717</v>
      </c>
      <c r="S5" s="46" t="str">
        <f>IF(AND(ISNUMBER(AVERAGEIFS('Data(perCrop)'!$A:$A,'Data(perCrop)'!$B:$B,S$3,'Data(perCrop)'!$H:$H,$A$1,'Data(perCrop)'!$O:$O,$A5)),S$4&lt;&gt;14,S$4&lt;&gt;15),AVERAGEIFS('Data(perCrop)'!$A:$A,'Data(perCrop)'!$B:$B,S$3,'Data(perCrop)'!$H:$H,$A$1,'Data(perCrop)'!$O:$O,$A5),"")</f>
        <v/>
      </c>
      <c r="T5" s="46" t="str">
        <f>IF(AND(ISNUMBER(AVERAGEIFS('Data(perCrop)'!$A:$A,'Data(perCrop)'!$B:$B,T$3,'Data(perCrop)'!$H:$H,$A$1,'Data(perCrop)'!$O:$O,$A5)),T$4&lt;&gt;14,T$4&lt;&gt;15),AVERAGEIFS('Data(perCrop)'!$A:$A,'Data(perCrop)'!$B:$B,T$3,'Data(perCrop)'!$H:$H,$A$1,'Data(perCrop)'!$O:$O,$A5),"")</f>
        <v/>
      </c>
      <c r="U5" s="46">
        <f>IF(AND(ISNUMBER(AVERAGEIFS('Data(perCrop)'!$A:$A,'Data(perCrop)'!$B:$B,U$3,'Data(perCrop)'!$H:$H,$A$1,'Data(perCrop)'!$O:$O,$A5)),U$4&lt;&gt;14,U$4&lt;&gt;15),AVERAGEIFS('Data(perCrop)'!$A:$A,'Data(perCrop)'!$B:$B,U$3,'Data(perCrop)'!$H:$H,$A$1,'Data(perCrop)'!$O:$O,$A5),"")</f>
        <v>1372.5328209895799</v>
      </c>
      <c r="V5" s="46" t="str">
        <f>IF(AND(ISNUMBER(AVERAGEIFS('Data(perCrop)'!$A:$A,'Data(perCrop)'!$B:$B,V$3,'Data(perCrop)'!$H:$H,$A$1,'Data(perCrop)'!$O:$O,$A5)),V$4&lt;&gt;14,V$4&lt;&gt;15),AVERAGEIFS('Data(perCrop)'!$A:$A,'Data(perCrop)'!$B:$B,V$3,'Data(perCrop)'!$H:$H,$A$1,'Data(perCrop)'!$O:$O,$A5),"")</f>
        <v/>
      </c>
      <c r="W5" s="46" t="str">
        <f>IF(AND(ISNUMBER(AVERAGEIFS('Data(perCrop)'!$A:$A,'Data(perCrop)'!$B:$B,W$3,'Data(perCrop)'!$H:$H,$A$1,'Data(perCrop)'!$O:$O,$A5)),W$4&lt;&gt;14,W$4&lt;&gt;15),AVERAGEIFS('Data(perCrop)'!$A:$A,'Data(perCrop)'!$B:$B,W$3,'Data(perCrop)'!$H:$H,$A$1,'Data(perCrop)'!$O:$O,$A5),"")</f>
        <v/>
      </c>
      <c r="X5" s="46" t="str">
        <f>IF(AND(ISNUMBER(AVERAGEIFS('Data(perCrop)'!$A:$A,'Data(perCrop)'!$B:$B,X$3,'Data(perCrop)'!$H:$H,$A$1,'Data(perCrop)'!$O:$O,$A5)),X$4&lt;&gt;14,X$4&lt;&gt;15),AVERAGEIFS('Data(perCrop)'!$A:$A,'Data(perCrop)'!$B:$B,X$3,'Data(perCrop)'!$H:$H,$A$1,'Data(perCrop)'!$O:$O,$A5),"")</f>
        <v/>
      </c>
      <c r="Y5" s="46" t="str">
        <f>IF(AND(ISNUMBER(AVERAGEIFS('Data(perCrop)'!$A:$A,'Data(perCrop)'!$B:$B,Y$3,'Data(perCrop)'!$H:$H,$A$1,'Data(perCrop)'!$O:$O,$A5)),Y$4&lt;&gt;14,Y$4&lt;&gt;15),AVERAGEIFS('Data(perCrop)'!$A:$A,'Data(perCrop)'!$B:$B,Y$3,'Data(perCrop)'!$H:$H,$A$1,'Data(perCrop)'!$O:$O,$A5),"")</f>
        <v/>
      </c>
      <c r="Z5" s="46" t="str">
        <f>IF(AND(ISNUMBER(AVERAGEIFS('Data(perCrop)'!$A:$A,'Data(perCrop)'!$B:$B,Z$3,'Data(perCrop)'!$H:$H,$A$1,'Data(perCrop)'!$O:$O,$A5)),Z$4&lt;&gt;14,Z$4&lt;&gt;15),AVERAGEIFS('Data(perCrop)'!$A:$A,'Data(perCrop)'!$B:$B,Z$3,'Data(perCrop)'!$H:$H,$A$1,'Data(perCrop)'!$O:$O,$A5),"")</f>
        <v/>
      </c>
      <c r="AA5" s="46" t="str">
        <f>IF(AND(ISNUMBER(AVERAGEIFS('Data(perCrop)'!$A:$A,'Data(perCrop)'!$B:$B,AA$3,'Data(perCrop)'!$H:$H,$A$1,'Data(perCrop)'!$O:$O,$A5)),AA$4&lt;&gt;14,AA$4&lt;&gt;15),AVERAGEIFS('Data(perCrop)'!$A:$A,'Data(perCrop)'!$B:$B,AA$3,'Data(perCrop)'!$H:$H,$A$1,'Data(perCrop)'!$O:$O,$A5),"")</f>
        <v/>
      </c>
      <c r="AB5" s="46" t="str">
        <f>IF(AND(ISNUMBER(AVERAGEIFS('Data(perCrop)'!$A:$A,'Data(perCrop)'!$B:$B,AB$3,'Data(perCrop)'!$H:$H,$A$1,'Data(perCrop)'!$O:$O,$A5)),AB$4&lt;&gt;14,AB$4&lt;&gt;15),AVERAGEIFS('Data(perCrop)'!$A:$A,'Data(perCrop)'!$B:$B,AB$3,'Data(perCrop)'!$H:$H,$A$1,'Data(perCrop)'!$O:$O,$A5),"")</f>
        <v/>
      </c>
      <c r="AC5" s="46" t="str">
        <f>IF(AND(ISNUMBER(AVERAGEIFS('Data(perCrop)'!$A:$A,'Data(perCrop)'!$B:$B,AC$3,'Data(perCrop)'!$H:$H,$A$1,'Data(perCrop)'!$O:$O,$A5)),AC$4&lt;&gt;14,AC$4&lt;&gt;15),AVERAGEIFS('Data(perCrop)'!$A:$A,'Data(perCrop)'!$B:$B,AC$3,'Data(perCrop)'!$H:$H,$A$1,'Data(perCrop)'!$O:$O,$A5),"")</f>
        <v/>
      </c>
      <c r="AD5" s="46" t="str">
        <f>IF(AND(ISNUMBER(AVERAGEIFS('Data(perCrop)'!$A:$A,'Data(perCrop)'!$B:$B,AD$3,'Data(perCrop)'!$H:$H,$A$1,'Data(perCrop)'!$O:$O,$A5)),AD$4&lt;&gt;14,AD$4&lt;&gt;15),AVERAGEIFS('Data(perCrop)'!$A:$A,'Data(perCrop)'!$B:$B,AD$3,'Data(perCrop)'!$H:$H,$A$1,'Data(perCrop)'!$O:$O,$A5),"")</f>
        <v/>
      </c>
      <c r="AE5" s="46" t="str">
        <f>IF(AND(ISNUMBER(AVERAGEIFS('Data(perCrop)'!$A:$A,'Data(perCrop)'!$B:$B,AE$3,'Data(perCrop)'!$H:$H,$A$1,'Data(perCrop)'!$O:$O,$A5)),AE$4&lt;&gt;14,AE$4&lt;&gt;15),AVERAGEIFS('Data(perCrop)'!$A:$A,'Data(perCrop)'!$B:$B,AE$3,'Data(perCrop)'!$H:$H,$A$1,'Data(perCrop)'!$O:$O,$A5),"")</f>
        <v/>
      </c>
      <c r="AF5" s="46" t="str">
        <f>IF(AND(ISNUMBER(AVERAGEIFS('Data(perCrop)'!$A:$A,'Data(perCrop)'!$B:$B,AF$3,'Data(perCrop)'!$H:$H,$A$1,'Data(perCrop)'!$O:$O,$A5)),AF$4&lt;&gt;14,AF$4&lt;&gt;15),AVERAGEIFS('Data(perCrop)'!$A:$A,'Data(perCrop)'!$B:$B,AF$3,'Data(perCrop)'!$H:$H,$A$1,'Data(perCrop)'!$O:$O,$A5),"")</f>
        <v/>
      </c>
    </row>
    <row r="6" spans="1:40" ht="18.75" x14ac:dyDescent="0.3">
      <c r="A6" s="42">
        <v>2019</v>
      </c>
      <c r="B6" s="46" t="str">
        <f>IF(AND(ISNUMBER(AVERAGEIFS('Data(perCrop)'!$A:$A,'Data(perCrop)'!$B:$B,B$3,'Data(perCrop)'!$H:$H,$A$1,'Data(perCrop)'!$O:$O,$A6)),B$4&lt;&gt;14,B$4&lt;&gt;15),AVERAGEIFS('Data(perCrop)'!$A:$A,'Data(perCrop)'!$B:$B,B$3,'Data(perCrop)'!$H:$H,$A$1,'Data(perCrop)'!$O:$O,$A6),"")</f>
        <v/>
      </c>
      <c r="C6" s="46">
        <f>IF(AND(ISNUMBER(AVERAGEIFS('Data(perCrop)'!$A:$A,'Data(perCrop)'!$B:$B,C$3,'Data(perCrop)'!$H:$H,$A$1,'Data(perCrop)'!$O:$O,$A6)),C$4&lt;&gt;14,C$4&lt;&gt;15),AVERAGEIFS('Data(perCrop)'!$A:$A,'Data(perCrop)'!$B:$B,C$3,'Data(perCrop)'!$H:$H,$A$1,'Data(perCrop)'!$O:$O,$A6),"")</f>
        <v>3323.70095410557</v>
      </c>
      <c r="D6" s="46" t="str">
        <f>IF(AND(ISNUMBER(AVERAGEIFS('Data(perCrop)'!$A:$A,'Data(perCrop)'!$B:$B,D$3,'Data(perCrop)'!$H:$H,$A$1,'Data(perCrop)'!$O:$O,$A6)),D$4&lt;&gt;14,D$4&lt;&gt;15),AVERAGEIFS('Data(perCrop)'!$A:$A,'Data(perCrop)'!$B:$B,D$3,'Data(perCrop)'!$H:$H,$A$1,'Data(perCrop)'!$O:$O,$A6),"")</f>
        <v/>
      </c>
      <c r="E6" s="46" t="str">
        <f>IF(AND(ISNUMBER(AVERAGEIFS('Data(perCrop)'!$A:$A,'Data(perCrop)'!$B:$B,E$3,'Data(perCrop)'!$H:$H,$A$1,'Data(perCrop)'!$O:$O,$A6)),E$4&lt;&gt;14,E$4&lt;&gt;15),AVERAGEIFS('Data(perCrop)'!$A:$A,'Data(perCrop)'!$B:$B,E$3,'Data(perCrop)'!$H:$H,$A$1,'Data(perCrop)'!$O:$O,$A6),"")</f>
        <v/>
      </c>
      <c r="F6" s="46" t="str">
        <f>IF(AND(ISNUMBER(AVERAGEIFS('Data(perCrop)'!$A:$A,'Data(perCrop)'!$B:$B,F$3,'Data(perCrop)'!$H:$H,$A$1,'Data(perCrop)'!$O:$O,$A6)),F$4&lt;&gt;14,F$4&lt;&gt;15),AVERAGEIFS('Data(perCrop)'!$A:$A,'Data(perCrop)'!$B:$B,F$3,'Data(perCrop)'!$H:$H,$A$1,'Data(perCrop)'!$O:$O,$A6),"")</f>
        <v/>
      </c>
      <c r="G6" s="46" t="str">
        <f>IF(AND(ISNUMBER(AVERAGEIFS('Data(perCrop)'!$A:$A,'Data(perCrop)'!$B:$B,G$3,'Data(perCrop)'!$H:$H,$A$1,'Data(perCrop)'!$O:$O,$A6)),G$4&lt;&gt;14,G$4&lt;&gt;15),AVERAGEIFS('Data(perCrop)'!$A:$A,'Data(perCrop)'!$B:$B,G$3,'Data(perCrop)'!$H:$H,$A$1,'Data(perCrop)'!$O:$O,$A6),"")</f>
        <v/>
      </c>
      <c r="H6" s="46" t="str">
        <f>IF(AND(ISNUMBER(AVERAGEIFS('Data(perCrop)'!$A:$A,'Data(perCrop)'!$B:$B,H$3,'Data(perCrop)'!$H:$H,$A$1,'Data(perCrop)'!$O:$O,$A6)),H$4&lt;&gt;14,H$4&lt;&gt;15),AVERAGEIFS('Data(perCrop)'!$A:$A,'Data(perCrop)'!$B:$B,H$3,'Data(perCrop)'!$H:$H,$A$1,'Data(perCrop)'!$O:$O,$A6),"")</f>
        <v/>
      </c>
      <c r="I6" s="46" t="str">
        <f>IF(AND(ISNUMBER(AVERAGEIFS('Data(perCrop)'!$A:$A,'Data(perCrop)'!$B:$B,I$3,'Data(perCrop)'!$H:$H,$A$1,'Data(perCrop)'!$O:$O,$A6)),I$4&lt;&gt;14,I$4&lt;&gt;15),AVERAGEIFS('Data(perCrop)'!$A:$A,'Data(perCrop)'!$B:$B,I$3,'Data(perCrop)'!$H:$H,$A$1,'Data(perCrop)'!$O:$O,$A6),"")</f>
        <v/>
      </c>
      <c r="J6" s="46" t="str">
        <f>IF(AND(ISNUMBER(AVERAGEIFS('Data(perCrop)'!$A:$A,'Data(perCrop)'!$B:$B,J$3,'Data(perCrop)'!$H:$H,$A$1,'Data(perCrop)'!$O:$O,$A6)),J$4&lt;&gt;14,J$4&lt;&gt;15),AVERAGEIFS('Data(perCrop)'!$A:$A,'Data(perCrop)'!$B:$B,J$3,'Data(perCrop)'!$H:$H,$A$1,'Data(perCrop)'!$O:$O,$A6),"")</f>
        <v/>
      </c>
      <c r="K6" s="46" t="str">
        <f>IF(AND(ISNUMBER(AVERAGEIFS('Data(perCrop)'!$A:$A,'Data(perCrop)'!$B:$B,K$3,'Data(perCrop)'!$H:$H,$A$1,'Data(perCrop)'!$O:$O,$A6)),K$4&lt;&gt;14,K$4&lt;&gt;15),AVERAGEIFS('Data(perCrop)'!$A:$A,'Data(perCrop)'!$B:$B,K$3,'Data(perCrop)'!$H:$H,$A$1,'Data(perCrop)'!$O:$O,$A6),"")</f>
        <v/>
      </c>
      <c r="L6" s="46" t="str">
        <f>IF(AND(ISNUMBER(AVERAGEIFS('Data(perCrop)'!$A:$A,'Data(perCrop)'!$B:$B,L$3,'Data(perCrop)'!$H:$H,$A$1,'Data(perCrop)'!$O:$O,$A6)),L$4&lt;&gt;14,L$4&lt;&gt;15),AVERAGEIFS('Data(perCrop)'!$A:$A,'Data(perCrop)'!$B:$B,L$3,'Data(perCrop)'!$H:$H,$A$1,'Data(perCrop)'!$O:$O,$A6),"")</f>
        <v/>
      </c>
      <c r="M6" s="46" t="str">
        <f>IF(AND(ISNUMBER(AVERAGEIFS('Data(perCrop)'!$A:$A,'Data(perCrop)'!$B:$B,M$3,'Data(perCrop)'!$H:$H,$A$1,'Data(perCrop)'!$O:$O,$A6)),M$4&lt;&gt;14,M$4&lt;&gt;15),AVERAGEIFS('Data(perCrop)'!$A:$A,'Data(perCrop)'!$B:$B,M$3,'Data(perCrop)'!$H:$H,$A$1,'Data(perCrop)'!$O:$O,$A6),"")</f>
        <v/>
      </c>
      <c r="N6" s="46" t="str">
        <f>IF(AND(ISNUMBER(AVERAGEIFS('Data(perCrop)'!$A:$A,'Data(perCrop)'!$B:$B,N$3,'Data(perCrop)'!$H:$H,$A$1,'Data(perCrop)'!$O:$O,$A6)),N$4&lt;&gt;14,N$4&lt;&gt;15),AVERAGEIFS('Data(perCrop)'!$A:$A,'Data(perCrop)'!$B:$B,N$3,'Data(perCrop)'!$H:$H,$A$1,'Data(perCrop)'!$O:$O,$A6),"")</f>
        <v/>
      </c>
      <c r="O6" s="46" t="str">
        <f>IF(AND(ISNUMBER(AVERAGEIFS('Data(perCrop)'!$A:$A,'Data(perCrop)'!$B:$B,O$3,'Data(perCrop)'!$H:$H,$A$1,'Data(perCrop)'!$O:$O,$A6)),O$4&lt;&gt;14,O$4&lt;&gt;15),AVERAGEIFS('Data(perCrop)'!$A:$A,'Data(perCrop)'!$B:$B,O$3,'Data(perCrop)'!$H:$H,$A$1,'Data(perCrop)'!$O:$O,$A6),"")</f>
        <v/>
      </c>
      <c r="P6" s="46" t="str">
        <f>IF(AND(ISNUMBER(AVERAGEIFS('Data(perCrop)'!$A:$A,'Data(perCrop)'!$B:$B,P$3,'Data(perCrop)'!$H:$H,$A$1,'Data(perCrop)'!$O:$O,$A6)),P$4&lt;&gt;14,P$4&lt;&gt;15),AVERAGEIFS('Data(perCrop)'!$A:$A,'Data(perCrop)'!$B:$B,P$3,'Data(perCrop)'!$H:$H,$A$1,'Data(perCrop)'!$O:$O,$A6),"")</f>
        <v/>
      </c>
      <c r="Q6" s="46" t="str">
        <f>IF(AND(ISNUMBER(AVERAGEIFS('Data(perCrop)'!$A:$A,'Data(perCrop)'!$B:$B,Q$3,'Data(perCrop)'!$H:$H,$A$1,'Data(perCrop)'!$O:$O,$A6)),Q$4&lt;&gt;14,Q$4&lt;&gt;15),AVERAGEIFS('Data(perCrop)'!$A:$A,'Data(perCrop)'!$B:$B,Q$3,'Data(perCrop)'!$H:$H,$A$1,'Data(perCrop)'!$O:$O,$A6),"")</f>
        <v/>
      </c>
      <c r="R6" s="46">
        <f>IF(AND(ISNUMBER(AVERAGEIFS('Data(perCrop)'!$A:$A,'Data(perCrop)'!$B:$B,R$3,'Data(perCrop)'!$H:$H,$A$1,'Data(perCrop)'!$O:$O,$A6)),R$4&lt;&gt;14,R$4&lt;&gt;15),AVERAGEIFS('Data(perCrop)'!$A:$A,'Data(perCrop)'!$B:$B,R$3,'Data(perCrop)'!$H:$H,$A$1,'Data(perCrop)'!$O:$O,$A6),"")</f>
        <v>1019.71806979807</v>
      </c>
      <c r="S6" s="46" t="str">
        <f>IF(AND(ISNUMBER(AVERAGEIFS('Data(perCrop)'!$A:$A,'Data(perCrop)'!$B:$B,S$3,'Data(perCrop)'!$H:$H,$A$1,'Data(perCrop)'!$O:$O,$A6)),S$4&lt;&gt;14,S$4&lt;&gt;15),AVERAGEIFS('Data(perCrop)'!$A:$A,'Data(perCrop)'!$B:$B,S$3,'Data(perCrop)'!$H:$H,$A$1,'Data(perCrop)'!$O:$O,$A6),"")</f>
        <v/>
      </c>
      <c r="T6" s="46" t="str">
        <f>IF(AND(ISNUMBER(AVERAGEIFS('Data(perCrop)'!$A:$A,'Data(perCrop)'!$B:$B,T$3,'Data(perCrop)'!$H:$H,$A$1,'Data(perCrop)'!$O:$O,$A6)),T$4&lt;&gt;14,T$4&lt;&gt;15),AVERAGEIFS('Data(perCrop)'!$A:$A,'Data(perCrop)'!$B:$B,T$3,'Data(perCrop)'!$H:$H,$A$1,'Data(perCrop)'!$O:$O,$A6),"")</f>
        <v/>
      </c>
      <c r="U6" s="46">
        <f>IF(AND(ISNUMBER(AVERAGEIFS('Data(perCrop)'!$A:$A,'Data(perCrop)'!$B:$B,U$3,'Data(perCrop)'!$H:$H,$A$1,'Data(perCrop)'!$O:$O,$A6)),U$4&lt;&gt;14,U$4&lt;&gt;15),AVERAGEIFS('Data(perCrop)'!$A:$A,'Data(perCrop)'!$B:$B,U$3,'Data(perCrop)'!$H:$H,$A$1,'Data(perCrop)'!$O:$O,$A6),"")</f>
        <v>5645.1071199767503</v>
      </c>
      <c r="V6" s="46" t="str">
        <f>IF(AND(ISNUMBER(AVERAGEIFS('Data(perCrop)'!$A:$A,'Data(perCrop)'!$B:$B,V$3,'Data(perCrop)'!$H:$H,$A$1,'Data(perCrop)'!$O:$O,$A6)),V$4&lt;&gt;14,V$4&lt;&gt;15),AVERAGEIFS('Data(perCrop)'!$A:$A,'Data(perCrop)'!$B:$B,V$3,'Data(perCrop)'!$H:$H,$A$1,'Data(perCrop)'!$O:$O,$A6),"")</f>
        <v/>
      </c>
      <c r="W6" s="46" t="str">
        <f>IF(AND(ISNUMBER(AVERAGEIFS('Data(perCrop)'!$A:$A,'Data(perCrop)'!$B:$B,W$3,'Data(perCrop)'!$H:$H,$A$1,'Data(perCrop)'!$O:$O,$A6)),W$4&lt;&gt;14,W$4&lt;&gt;15),AVERAGEIFS('Data(perCrop)'!$A:$A,'Data(perCrop)'!$B:$B,W$3,'Data(perCrop)'!$H:$H,$A$1,'Data(perCrop)'!$O:$O,$A6),"")</f>
        <v/>
      </c>
      <c r="X6" s="46" t="str">
        <f>IF(AND(ISNUMBER(AVERAGEIFS('Data(perCrop)'!$A:$A,'Data(perCrop)'!$B:$B,X$3,'Data(perCrop)'!$H:$H,$A$1,'Data(perCrop)'!$O:$O,$A6)),X$4&lt;&gt;14,X$4&lt;&gt;15),AVERAGEIFS('Data(perCrop)'!$A:$A,'Data(perCrop)'!$B:$B,X$3,'Data(perCrop)'!$H:$H,$A$1,'Data(perCrop)'!$O:$O,$A6),"")</f>
        <v/>
      </c>
      <c r="Y6" s="46" t="str">
        <f>IF(AND(ISNUMBER(AVERAGEIFS('Data(perCrop)'!$A:$A,'Data(perCrop)'!$B:$B,Y$3,'Data(perCrop)'!$H:$H,$A$1,'Data(perCrop)'!$O:$O,$A6)),Y$4&lt;&gt;14,Y$4&lt;&gt;15),AVERAGEIFS('Data(perCrop)'!$A:$A,'Data(perCrop)'!$B:$B,Y$3,'Data(perCrop)'!$H:$H,$A$1,'Data(perCrop)'!$O:$O,$A6),"")</f>
        <v/>
      </c>
      <c r="Z6" s="46" t="str">
        <f>IF(AND(ISNUMBER(AVERAGEIFS('Data(perCrop)'!$A:$A,'Data(perCrop)'!$B:$B,Z$3,'Data(perCrop)'!$H:$H,$A$1,'Data(perCrop)'!$O:$O,$A6)),Z$4&lt;&gt;14,Z$4&lt;&gt;15),AVERAGEIFS('Data(perCrop)'!$A:$A,'Data(perCrop)'!$B:$B,Z$3,'Data(perCrop)'!$H:$H,$A$1,'Data(perCrop)'!$O:$O,$A6),"")</f>
        <v/>
      </c>
      <c r="AA6" s="46" t="str">
        <f>IF(AND(ISNUMBER(AVERAGEIFS('Data(perCrop)'!$A:$A,'Data(perCrop)'!$B:$B,AA$3,'Data(perCrop)'!$H:$H,$A$1,'Data(perCrop)'!$O:$O,$A6)),AA$4&lt;&gt;14,AA$4&lt;&gt;15),AVERAGEIFS('Data(perCrop)'!$A:$A,'Data(perCrop)'!$B:$B,AA$3,'Data(perCrop)'!$H:$H,$A$1,'Data(perCrop)'!$O:$O,$A6),"")</f>
        <v/>
      </c>
      <c r="AB6" s="46" t="str">
        <f>IF(AND(ISNUMBER(AVERAGEIFS('Data(perCrop)'!$A:$A,'Data(perCrop)'!$B:$B,AB$3,'Data(perCrop)'!$H:$H,$A$1,'Data(perCrop)'!$O:$O,$A6)),AB$4&lt;&gt;14,AB$4&lt;&gt;15),AVERAGEIFS('Data(perCrop)'!$A:$A,'Data(perCrop)'!$B:$B,AB$3,'Data(perCrop)'!$H:$H,$A$1,'Data(perCrop)'!$O:$O,$A6),"")</f>
        <v/>
      </c>
      <c r="AC6" s="46" t="str">
        <f>IF(AND(ISNUMBER(AVERAGEIFS('Data(perCrop)'!$A:$A,'Data(perCrop)'!$B:$B,AC$3,'Data(perCrop)'!$H:$H,$A$1,'Data(perCrop)'!$O:$O,$A6)),AC$4&lt;&gt;14,AC$4&lt;&gt;15),AVERAGEIFS('Data(perCrop)'!$A:$A,'Data(perCrop)'!$B:$B,AC$3,'Data(perCrop)'!$H:$H,$A$1,'Data(perCrop)'!$O:$O,$A6),"")</f>
        <v/>
      </c>
      <c r="AD6" s="46" t="str">
        <f>IF(AND(ISNUMBER(AVERAGEIFS('Data(perCrop)'!$A:$A,'Data(perCrop)'!$B:$B,AD$3,'Data(perCrop)'!$H:$H,$A$1,'Data(perCrop)'!$O:$O,$A6)),AD$4&lt;&gt;14,AD$4&lt;&gt;15),AVERAGEIFS('Data(perCrop)'!$A:$A,'Data(perCrop)'!$B:$B,AD$3,'Data(perCrop)'!$H:$H,$A$1,'Data(perCrop)'!$O:$O,$A6),"")</f>
        <v/>
      </c>
      <c r="AE6" s="46" t="str">
        <f>IF(AND(ISNUMBER(AVERAGEIFS('Data(perCrop)'!$A:$A,'Data(perCrop)'!$B:$B,AE$3,'Data(perCrop)'!$H:$H,$A$1,'Data(perCrop)'!$O:$O,$A6)),AE$4&lt;&gt;14,AE$4&lt;&gt;15),AVERAGEIFS('Data(perCrop)'!$A:$A,'Data(perCrop)'!$B:$B,AE$3,'Data(perCrop)'!$H:$H,$A$1,'Data(perCrop)'!$O:$O,$A6),"")</f>
        <v/>
      </c>
      <c r="AF6" s="46" t="str">
        <f>IF(AND(ISNUMBER(AVERAGEIFS('Data(perCrop)'!$A:$A,'Data(perCrop)'!$B:$B,AF$3,'Data(perCrop)'!$H:$H,$A$1,'Data(perCrop)'!$O:$O,$A6)),AF$4&lt;&gt;14,AF$4&lt;&gt;15),AVERAGEIFS('Data(perCrop)'!$A:$A,'Data(perCrop)'!$B:$B,AF$3,'Data(perCrop)'!$H:$H,$A$1,'Data(perCrop)'!$O:$O,$A6),"")</f>
        <v/>
      </c>
    </row>
    <row r="7" spans="1:40" ht="18.75" x14ac:dyDescent="0.3">
      <c r="A7" s="42">
        <v>2020</v>
      </c>
      <c r="B7" s="46" t="str">
        <f>IF(AND(ISNUMBER(AVERAGEIFS('Data(perCrop)'!$A:$A,'Data(perCrop)'!$B:$B,B$3,'Data(perCrop)'!$H:$H,$A$1,'Data(perCrop)'!$O:$O,$A7)),B$4&lt;&gt;14,B$4&lt;&gt;15),AVERAGEIFS('Data(perCrop)'!$A:$A,'Data(perCrop)'!$B:$B,B$3,'Data(perCrop)'!$H:$H,$A$1,'Data(perCrop)'!$O:$O,$A7),"")</f>
        <v/>
      </c>
      <c r="C7" s="46">
        <f>IF(AND(ISNUMBER(AVERAGEIFS('Data(perCrop)'!$A:$A,'Data(perCrop)'!$B:$B,C$3,'Data(perCrop)'!$H:$H,$A$1,'Data(perCrop)'!$O:$O,$A7)),C$4&lt;&gt;14,C$4&lt;&gt;15),AVERAGEIFS('Data(perCrop)'!$A:$A,'Data(perCrop)'!$B:$B,C$3,'Data(perCrop)'!$H:$H,$A$1,'Data(perCrop)'!$O:$O,$A7),"")</f>
        <v>4042.2027212005</v>
      </c>
      <c r="D7" s="46" t="str">
        <f>IF(AND(ISNUMBER(AVERAGEIFS('Data(perCrop)'!$A:$A,'Data(perCrop)'!$B:$B,D$3,'Data(perCrop)'!$H:$H,$A$1,'Data(perCrop)'!$O:$O,$A7)),D$4&lt;&gt;14,D$4&lt;&gt;15),AVERAGEIFS('Data(perCrop)'!$A:$A,'Data(perCrop)'!$B:$B,D$3,'Data(perCrop)'!$H:$H,$A$1,'Data(perCrop)'!$O:$O,$A7),"")</f>
        <v/>
      </c>
      <c r="E7" s="46" t="str">
        <f>IF(AND(ISNUMBER(AVERAGEIFS('Data(perCrop)'!$A:$A,'Data(perCrop)'!$B:$B,E$3,'Data(perCrop)'!$H:$H,$A$1,'Data(perCrop)'!$O:$O,$A7)),E$4&lt;&gt;14,E$4&lt;&gt;15),AVERAGEIFS('Data(perCrop)'!$A:$A,'Data(perCrop)'!$B:$B,E$3,'Data(perCrop)'!$H:$H,$A$1,'Data(perCrop)'!$O:$O,$A7),"")</f>
        <v/>
      </c>
      <c r="F7" s="46" t="str">
        <f>IF(AND(ISNUMBER(AVERAGEIFS('Data(perCrop)'!$A:$A,'Data(perCrop)'!$B:$B,F$3,'Data(perCrop)'!$H:$H,$A$1,'Data(perCrop)'!$O:$O,$A7)),F$4&lt;&gt;14,F$4&lt;&gt;15),AVERAGEIFS('Data(perCrop)'!$A:$A,'Data(perCrop)'!$B:$B,F$3,'Data(perCrop)'!$H:$H,$A$1,'Data(perCrop)'!$O:$O,$A7),"")</f>
        <v/>
      </c>
      <c r="G7" s="46" t="str">
        <f>IF(AND(ISNUMBER(AVERAGEIFS('Data(perCrop)'!$A:$A,'Data(perCrop)'!$B:$B,G$3,'Data(perCrop)'!$H:$H,$A$1,'Data(perCrop)'!$O:$O,$A7)),G$4&lt;&gt;14,G$4&lt;&gt;15),AVERAGEIFS('Data(perCrop)'!$A:$A,'Data(perCrop)'!$B:$B,G$3,'Data(perCrop)'!$H:$H,$A$1,'Data(perCrop)'!$O:$O,$A7),"")</f>
        <v/>
      </c>
      <c r="H7" s="46" t="str">
        <f>IF(AND(ISNUMBER(AVERAGEIFS('Data(perCrop)'!$A:$A,'Data(perCrop)'!$B:$B,H$3,'Data(perCrop)'!$H:$H,$A$1,'Data(perCrop)'!$O:$O,$A7)),H$4&lt;&gt;14,H$4&lt;&gt;15),AVERAGEIFS('Data(perCrop)'!$A:$A,'Data(perCrop)'!$B:$B,H$3,'Data(perCrop)'!$H:$H,$A$1,'Data(perCrop)'!$O:$O,$A7),"")</f>
        <v/>
      </c>
      <c r="I7" s="46" t="str">
        <f>IF(AND(ISNUMBER(AVERAGEIFS('Data(perCrop)'!$A:$A,'Data(perCrop)'!$B:$B,I$3,'Data(perCrop)'!$H:$H,$A$1,'Data(perCrop)'!$O:$O,$A7)),I$4&lt;&gt;14,I$4&lt;&gt;15),AVERAGEIFS('Data(perCrop)'!$A:$A,'Data(perCrop)'!$B:$B,I$3,'Data(perCrop)'!$H:$H,$A$1,'Data(perCrop)'!$O:$O,$A7),"")</f>
        <v/>
      </c>
      <c r="J7" s="46" t="str">
        <f>IF(AND(ISNUMBER(AVERAGEIFS('Data(perCrop)'!$A:$A,'Data(perCrop)'!$B:$B,J$3,'Data(perCrop)'!$H:$H,$A$1,'Data(perCrop)'!$O:$O,$A7)),J$4&lt;&gt;14,J$4&lt;&gt;15),AVERAGEIFS('Data(perCrop)'!$A:$A,'Data(perCrop)'!$B:$B,J$3,'Data(perCrop)'!$H:$H,$A$1,'Data(perCrop)'!$O:$O,$A7),"")</f>
        <v/>
      </c>
      <c r="K7" s="46" t="str">
        <f>IF(AND(ISNUMBER(AVERAGEIFS('Data(perCrop)'!$A:$A,'Data(perCrop)'!$B:$B,K$3,'Data(perCrop)'!$H:$H,$A$1,'Data(perCrop)'!$O:$O,$A7)),K$4&lt;&gt;14,K$4&lt;&gt;15),AVERAGEIFS('Data(perCrop)'!$A:$A,'Data(perCrop)'!$B:$B,K$3,'Data(perCrop)'!$H:$H,$A$1,'Data(perCrop)'!$O:$O,$A7),"")</f>
        <v/>
      </c>
      <c r="L7" s="46" t="str">
        <f>IF(AND(ISNUMBER(AVERAGEIFS('Data(perCrop)'!$A:$A,'Data(perCrop)'!$B:$B,L$3,'Data(perCrop)'!$H:$H,$A$1,'Data(perCrop)'!$O:$O,$A7)),L$4&lt;&gt;14,L$4&lt;&gt;15),AVERAGEIFS('Data(perCrop)'!$A:$A,'Data(perCrop)'!$B:$B,L$3,'Data(perCrop)'!$H:$H,$A$1,'Data(perCrop)'!$O:$O,$A7),"")</f>
        <v/>
      </c>
      <c r="M7" s="46" t="str">
        <f>IF(AND(ISNUMBER(AVERAGEIFS('Data(perCrop)'!$A:$A,'Data(perCrop)'!$B:$B,M$3,'Data(perCrop)'!$H:$H,$A$1,'Data(perCrop)'!$O:$O,$A7)),M$4&lt;&gt;14,M$4&lt;&gt;15),AVERAGEIFS('Data(perCrop)'!$A:$A,'Data(perCrop)'!$B:$B,M$3,'Data(perCrop)'!$H:$H,$A$1,'Data(perCrop)'!$O:$O,$A7),"")</f>
        <v/>
      </c>
      <c r="N7" s="46" t="str">
        <f>IF(AND(ISNUMBER(AVERAGEIFS('Data(perCrop)'!$A:$A,'Data(perCrop)'!$B:$B,N$3,'Data(perCrop)'!$H:$H,$A$1,'Data(perCrop)'!$O:$O,$A7)),N$4&lt;&gt;14,N$4&lt;&gt;15),AVERAGEIFS('Data(perCrop)'!$A:$A,'Data(perCrop)'!$B:$B,N$3,'Data(perCrop)'!$H:$H,$A$1,'Data(perCrop)'!$O:$O,$A7),"")</f>
        <v/>
      </c>
      <c r="O7" s="46" t="str">
        <f>IF(AND(ISNUMBER(AVERAGEIFS('Data(perCrop)'!$A:$A,'Data(perCrop)'!$B:$B,O$3,'Data(perCrop)'!$H:$H,$A$1,'Data(perCrop)'!$O:$O,$A7)),O$4&lt;&gt;14,O$4&lt;&gt;15),AVERAGEIFS('Data(perCrop)'!$A:$A,'Data(perCrop)'!$B:$B,O$3,'Data(perCrop)'!$H:$H,$A$1,'Data(perCrop)'!$O:$O,$A7),"")</f>
        <v/>
      </c>
      <c r="P7" s="46" t="str">
        <f>IF(AND(ISNUMBER(AVERAGEIFS('Data(perCrop)'!$A:$A,'Data(perCrop)'!$B:$B,P$3,'Data(perCrop)'!$H:$H,$A$1,'Data(perCrop)'!$O:$O,$A7)),P$4&lt;&gt;14,P$4&lt;&gt;15),AVERAGEIFS('Data(perCrop)'!$A:$A,'Data(perCrop)'!$B:$B,P$3,'Data(perCrop)'!$H:$H,$A$1,'Data(perCrop)'!$O:$O,$A7),"")</f>
        <v/>
      </c>
      <c r="Q7" s="46" t="str">
        <f>IF(AND(ISNUMBER(AVERAGEIFS('Data(perCrop)'!$A:$A,'Data(perCrop)'!$B:$B,Q$3,'Data(perCrop)'!$H:$H,$A$1,'Data(perCrop)'!$O:$O,$A7)),Q$4&lt;&gt;14,Q$4&lt;&gt;15),AVERAGEIFS('Data(perCrop)'!$A:$A,'Data(perCrop)'!$B:$B,Q$3,'Data(perCrop)'!$H:$H,$A$1,'Data(perCrop)'!$O:$O,$A7),"")</f>
        <v/>
      </c>
      <c r="R7" s="46">
        <f>IF(AND(ISNUMBER(AVERAGEIFS('Data(perCrop)'!$A:$A,'Data(perCrop)'!$B:$B,R$3,'Data(perCrop)'!$H:$H,$A$1,'Data(perCrop)'!$O:$O,$A7)),R$4&lt;&gt;14,R$4&lt;&gt;15),AVERAGEIFS('Data(perCrop)'!$A:$A,'Data(perCrop)'!$B:$B,R$3,'Data(perCrop)'!$H:$H,$A$1,'Data(perCrop)'!$O:$O,$A7),"")</f>
        <v>783.95727865414597</v>
      </c>
      <c r="S7" s="46" t="str">
        <f>IF(AND(ISNUMBER(AVERAGEIFS('Data(perCrop)'!$A:$A,'Data(perCrop)'!$B:$B,S$3,'Data(perCrop)'!$H:$H,$A$1,'Data(perCrop)'!$O:$O,$A7)),S$4&lt;&gt;14,S$4&lt;&gt;15),AVERAGEIFS('Data(perCrop)'!$A:$A,'Data(perCrop)'!$B:$B,S$3,'Data(perCrop)'!$H:$H,$A$1,'Data(perCrop)'!$O:$O,$A7),"")</f>
        <v/>
      </c>
      <c r="T7" s="46" t="str">
        <f>IF(AND(ISNUMBER(AVERAGEIFS('Data(perCrop)'!$A:$A,'Data(perCrop)'!$B:$B,T$3,'Data(perCrop)'!$H:$H,$A$1,'Data(perCrop)'!$O:$O,$A7)),T$4&lt;&gt;14,T$4&lt;&gt;15),AVERAGEIFS('Data(perCrop)'!$A:$A,'Data(perCrop)'!$B:$B,T$3,'Data(perCrop)'!$H:$H,$A$1,'Data(perCrop)'!$O:$O,$A7),"")</f>
        <v/>
      </c>
      <c r="U7" s="46">
        <f>IF(AND(ISNUMBER(AVERAGEIFS('Data(perCrop)'!$A:$A,'Data(perCrop)'!$B:$B,U$3,'Data(perCrop)'!$H:$H,$A$1,'Data(perCrop)'!$O:$O,$A7)),U$4&lt;&gt;14,U$4&lt;&gt;15),AVERAGEIFS('Data(perCrop)'!$A:$A,'Data(perCrop)'!$B:$B,U$3,'Data(perCrop)'!$H:$H,$A$1,'Data(perCrop)'!$O:$O,$A7),"")</f>
        <v>539.54579423809798</v>
      </c>
      <c r="V7" s="46" t="str">
        <f>IF(AND(ISNUMBER(AVERAGEIFS('Data(perCrop)'!$A:$A,'Data(perCrop)'!$B:$B,V$3,'Data(perCrop)'!$H:$H,$A$1,'Data(perCrop)'!$O:$O,$A7)),V$4&lt;&gt;14,V$4&lt;&gt;15),AVERAGEIFS('Data(perCrop)'!$A:$A,'Data(perCrop)'!$B:$B,V$3,'Data(perCrop)'!$H:$H,$A$1,'Data(perCrop)'!$O:$O,$A7),"")</f>
        <v/>
      </c>
      <c r="W7" s="46" t="str">
        <f>IF(AND(ISNUMBER(AVERAGEIFS('Data(perCrop)'!$A:$A,'Data(perCrop)'!$B:$B,W$3,'Data(perCrop)'!$H:$H,$A$1,'Data(perCrop)'!$O:$O,$A7)),W$4&lt;&gt;14,W$4&lt;&gt;15),AVERAGEIFS('Data(perCrop)'!$A:$A,'Data(perCrop)'!$B:$B,W$3,'Data(perCrop)'!$H:$H,$A$1,'Data(perCrop)'!$O:$O,$A7),"")</f>
        <v/>
      </c>
      <c r="X7" s="46" t="str">
        <f>IF(AND(ISNUMBER(AVERAGEIFS('Data(perCrop)'!$A:$A,'Data(perCrop)'!$B:$B,X$3,'Data(perCrop)'!$H:$H,$A$1,'Data(perCrop)'!$O:$O,$A7)),X$4&lt;&gt;14,X$4&lt;&gt;15),AVERAGEIFS('Data(perCrop)'!$A:$A,'Data(perCrop)'!$B:$B,X$3,'Data(perCrop)'!$H:$H,$A$1,'Data(perCrop)'!$O:$O,$A7),"")</f>
        <v/>
      </c>
      <c r="Y7" s="46" t="str">
        <f>IF(AND(ISNUMBER(AVERAGEIFS('Data(perCrop)'!$A:$A,'Data(perCrop)'!$B:$B,Y$3,'Data(perCrop)'!$H:$H,$A$1,'Data(perCrop)'!$O:$O,$A7)),Y$4&lt;&gt;14,Y$4&lt;&gt;15),AVERAGEIFS('Data(perCrop)'!$A:$A,'Data(perCrop)'!$B:$B,Y$3,'Data(perCrop)'!$H:$H,$A$1,'Data(perCrop)'!$O:$O,$A7),"")</f>
        <v/>
      </c>
      <c r="Z7" s="46" t="str">
        <f>IF(AND(ISNUMBER(AVERAGEIFS('Data(perCrop)'!$A:$A,'Data(perCrop)'!$B:$B,Z$3,'Data(perCrop)'!$H:$H,$A$1,'Data(perCrop)'!$O:$O,$A7)),Z$4&lt;&gt;14,Z$4&lt;&gt;15),AVERAGEIFS('Data(perCrop)'!$A:$A,'Data(perCrop)'!$B:$B,Z$3,'Data(perCrop)'!$H:$H,$A$1,'Data(perCrop)'!$O:$O,$A7),"")</f>
        <v/>
      </c>
      <c r="AA7" s="46" t="str">
        <f>IF(AND(ISNUMBER(AVERAGEIFS('Data(perCrop)'!$A:$A,'Data(perCrop)'!$B:$B,AA$3,'Data(perCrop)'!$H:$H,$A$1,'Data(perCrop)'!$O:$O,$A7)),AA$4&lt;&gt;14,AA$4&lt;&gt;15),AVERAGEIFS('Data(perCrop)'!$A:$A,'Data(perCrop)'!$B:$B,AA$3,'Data(perCrop)'!$H:$H,$A$1,'Data(perCrop)'!$O:$O,$A7),"")</f>
        <v/>
      </c>
      <c r="AB7" s="46" t="str">
        <f>IF(AND(ISNUMBER(AVERAGEIFS('Data(perCrop)'!$A:$A,'Data(perCrop)'!$B:$B,AB$3,'Data(perCrop)'!$H:$H,$A$1,'Data(perCrop)'!$O:$O,$A7)),AB$4&lt;&gt;14,AB$4&lt;&gt;15),AVERAGEIFS('Data(perCrop)'!$A:$A,'Data(perCrop)'!$B:$B,AB$3,'Data(perCrop)'!$H:$H,$A$1,'Data(perCrop)'!$O:$O,$A7),"")</f>
        <v/>
      </c>
      <c r="AC7" s="46" t="str">
        <f>IF(AND(ISNUMBER(AVERAGEIFS('Data(perCrop)'!$A:$A,'Data(perCrop)'!$B:$B,AC$3,'Data(perCrop)'!$H:$H,$A$1,'Data(perCrop)'!$O:$O,$A7)),AC$4&lt;&gt;14,AC$4&lt;&gt;15),AVERAGEIFS('Data(perCrop)'!$A:$A,'Data(perCrop)'!$B:$B,AC$3,'Data(perCrop)'!$H:$H,$A$1,'Data(perCrop)'!$O:$O,$A7),"")</f>
        <v/>
      </c>
      <c r="AD7" s="46" t="str">
        <f>IF(AND(ISNUMBER(AVERAGEIFS('Data(perCrop)'!$A:$A,'Data(perCrop)'!$B:$B,AD$3,'Data(perCrop)'!$H:$H,$A$1,'Data(perCrop)'!$O:$O,$A7)),AD$4&lt;&gt;14,AD$4&lt;&gt;15),AVERAGEIFS('Data(perCrop)'!$A:$A,'Data(perCrop)'!$B:$B,AD$3,'Data(perCrop)'!$H:$H,$A$1,'Data(perCrop)'!$O:$O,$A7),"")</f>
        <v/>
      </c>
      <c r="AE7" s="46" t="str">
        <f>IF(AND(ISNUMBER(AVERAGEIFS('Data(perCrop)'!$A:$A,'Data(perCrop)'!$B:$B,AE$3,'Data(perCrop)'!$H:$H,$A$1,'Data(perCrop)'!$O:$O,$A7)),AE$4&lt;&gt;14,AE$4&lt;&gt;15),AVERAGEIFS('Data(perCrop)'!$A:$A,'Data(perCrop)'!$B:$B,AE$3,'Data(perCrop)'!$H:$H,$A$1,'Data(perCrop)'!$O:$O,$A7),"")</f>
        <v/>
      </c>
      <c r="AF7" s="46" t="str">
        <f>IF(AND(ISNUMBER(AVERAGEIFS('Data(perCrop)'!$A:$A,'Data(perCrop)'!$B:$B,AF$3,'Data(perCrop)'!$H:$H,$A$1,'Data(perCrop)'!$O:$O,$A7)),AF$4&lt;&gt;14,AF$4&lt;&gt;15),AVERAGEIFS('Data(perCrop)'!$A:$A,'Data(perCrop)'!$B:$B,AF$3,'Data(perCrop)'!$H:$H,$A$1,'Data(perCrop)'!$O:$O,$A7),"")</f>
        <v/>
      </c>
    </row>
    <row r="8" spans="1:40" ht="18.75" x14ac:dyDescent="0.3">
      <c r="A8" s="42">
        <v>2021</v>
      </c>
      <c r="B8" s="46" t="str">
        <f>IF(AND(ISNUMBER(AVERAGEIFS('Data(perCrop)'!$A:$A,'Data(perCrop)'!$B:$B,B$3,'Data(perCrop)'!$H:$H,$A$1,'Data(perCrop)'!$O:$O,$A8)),B$4&lt;&gt;14,B$4&lt;&gt;15),AVERAGEIFS('Data(perCrop)'!$A:$A,'Data(perCrop)'!$B:$B,B$3,'Data(perCrop)'!$H:$H,$A$1,'Data(perCrop)'!$O:$O,$A8),"")</f>
        <v/>
      </c>
      <c r="C8" s="46">
        <f>IF(AND(ISNUMBER(AVERAGEIFS('Data(perCrop)'!$A:$A,'Data(perCrop)'!$B:$B,C$3,'Data(perCrop)'!$H:$H,$A$1,'Data(perCrop)'!$O:$O,$A8)),C$4&lt;&gt;14,C$4&lt;&gt;15),AVERAGEIFS('Data(perCrop)'!$A:$A,'Data(perCrop)'!$B:$B,C$3,'Data(perCrop)'!$H:$H,$A$1,'Data(perCrop)'!$O:$O,$A8),"")</f>
        <v>4722.5405967596198</v>
      </c>
      <c r="D8" s="46" t="str">
        <f>IF(AND(ISNUMBER(AVERAGEIFS('Data(perCrop)'!$A:$A,'Data(perCrop)'!$B:$B,D$3,'Data(perCrop)'!$H:$H,$A$1,'Data(perCrop)'!$O:$O,$A8)),D$4&lt;&gt;14,D$4&lt;&gt;15),AVERAGEIFS('Data(perCrop)'!$A:$A,'Data(perCrop)'!$B:$B,D$3,'Data(perCrop)'!$H:$H,$A$1,'Data(perCrop)'!$O:$O,$A8),"")</f>
        <v/>
      </c>
      <c r="E8" s="46" t="str">
        <f>IF(AND(ISNUMBER(AVERAGEIFS('Data(perCrop)'!$A:$A,'Data(perCrop)'!$B:$B,E$3,'Data(perCrop)'!$H:$H,$A$1,'Data(perCrop)'!$O:$O,$A8)),E$4&lt;&gt;14,E$4&lt;&gt;15),AVERAGEIFS('Data(perCrop)'!$A:$A,'Data(perCrop)'!$B:$B,E$3,'Data(perCrop)'!$H:$H,$A$1,'Data(perCrop)'!$O:$O,$A8),"")</f>
        <v/>
      </c>
      <c r="F8" s="46" t="str">
        <f>IF(AND(ISNUMBER(AVERAGEIFS('Data(perCrop)'!$A:$A,'Data(perCrop)'!$B:$B,F$3,'Data(perCrop)'!$H:$H,$A$1,'Data(perCrop)'!$O:$O,$A8)),F$4&lt;&gt;14,F$4&lt;&gt;15),AVERAGEIFS('Data(perCrop)'!$A:$A,'Data(perCrop)'!$B:$B,F$3,'Data(perCrop)'!$H:$H,$A$1,'Data(perCrop)'!$O:$O,$A8),"")</f>
        <v/>
      </c>
      <c r="G8" s="46" t="str">
        <f>IF(AND(ISNUMBER(AVERAGEIFS('Data(perCrop)'!$A:$A,'Data(perCrop)'!$B:$B,G$3,'Data(perCrop)'!$H:$H,$A$1,'Data(perCrop)'!$O:$O,$A8)),G$4&lt;&gt;14,G$4&lt;&gt;15),AVERAGEIFS('Data(perCrop)'!$A:$A,'Data(perCrop)'!$B:$B,G$3,'Data(perCrop)'!$H:$H,$A$1,'Data(perCrop)'!$O:$O,$A8),"")</f>
        <v/>
      </c>
      <c r="H8" s="46" t="str">
        <f>IF(AND(ISNUMBER(AVERAGEIFS('Data(perCrop)'!$A:$A,'Data(perCrop)'!$B:$B,H$3,'Data(perCrop)'!$H:$H,$A$1,'Data(perCrop)'!$O:$O,$A8)),H$4&lt;&gt;14,H$4&lt;&gt;15),AVERAGEIFS('Data(perCrop)'!$A:$A,'Data(perCrop)'!$B:$B,H$3,'Data(perCrop)'!$H:$H,$A$1,'Data(perCrop)'!$O:$O,$A8),"")</f>
        <v/>
      </c>
      <c r="I8" s="46" t="str">
        <f>IF(AND(ISNUMBER(AVERAGEIFS('Data(perCrop)'!$A:$A,'Data(perCrop)'!$B:$B,I$3,'Data(perCrop)'!$H:$H,$A$1,'Data(perCrop)'!$O:$O,$A8)),I$4&lt;&gt;14,I$4&lt;&gt;15),AVERAGEIFS('Data(perCrop)'!$A:$A,'Data(perCrop)'!$B:$B,I$3,'Data(perCrop)'!$H:$H,$A$1,'Data(perCrop)'!$O:$O,$A8),"")</f>
        <v/>
      </c>
      <c r="J8" s="46" t="str">
        <f>IF(AND(ISNUMBER(AVERAGEIFS('Data(perCrop)'!$A:$A,'Data(perCrop)'!$B:$B,J$3,'Data(perCrop)'!$H:$H,$A$1,'Data(perCrop)'!$O:$O,$A8)),J$4&lt;&gt;14,J$4&lt;&gt;15),AVERAGEIFS('Data(perCrop)'!$A:$A,'Data(perCrop)'!$B:$B,J$3,'Data(perCrop)'!$H:$H,$A$1,'Data(perCrop)'!$O:$O,$A8),"")</f>
        <v/>
      </c>
      <c r="K8" s="46" t="str">
        <f>IF(AND(ISNUMBER(AVERAGEIFS('Data(perCrop)'!$A:$A,'Data(perCrop)'!$B:$B,K$3,'Data(perCrop)'!$H:$H,$A$1,'Data(perCrop)'!$O:$O,$A8)),K$4&lt;&gt;14,K$4&lt;&gt;15),AVERAGEIFS('Data(perCrop)'!$A:$A,'Data(perCrop)'!$B:$B,K$3,'Data(perCrop)'!$H:$H,$A$1,'Data(perCrop)'!$O:$O,$A8),"")</f>
        <v/>
      </c>
      <c r="L8" s="46" t="str">
        <f>IF(AND(ISNUMBER(AVERAGEIFS('Data(perCrop)'!$A:$A,'Data(perCrop)'!$B:$B,L$3,'Data(perCrop)'!$H:$H,$A$1,'Data(perCrop)'!$O:$O,$A8)),L$4&lt;&gt;14,L$4&lt;&gt;15),AVERAGEIFS('Data(perCrop)'!$A:$A,'Data(perCrop)'!$B:$B,L$3,'Data(perCrop)'!$H:$H,$A$1,'Data(perCrop)'!$O:$O,$A8),"")</f>
        <v/>
      </c>
      <c r="M8" s="46" t="str">
        <f>IF(AND(ISNUMBER(AVERAGEIFS('Data(perCrop)'!$A:$A,'Data(perCrop)'!$B:$B,M$3,'Data(perCrop)'!$H:$H,$A$1,'Data(perCrop)'!$O:$O,$A8)),M$4&lt;&gt;14,M$4&lt;&gt;15),AVERAGEIFS('Data(perCrop)'!$A:$A,'Data(perCrop)'!$B:$B,M$3,'Data(perCrop)'!$H:$H,$A$1,'Data(perCrop)'!$O:$O,$A8),"")</f>
        <v/>
      </c>
      <c r="N8" s="46" t="str">
        <f>IF(AND(ISNUMBER(AVERAGEIFS('Data(perCrop)'!$A:$A,'Data(perCrop)'!$B:$B,N$3,'Data(perCrop)'!$H:$H,$A$1,'Data(perCrop)'!$O:$O,$A8)),N$4&lt;&gt;14,N$4&lt;&gt;15),AVERAGEIFS('Data(perCrop)'!$A:$A,'Data(perCrop)'!$B:$B,N$3,'Data(perCrop)'!$H:$H,$A$1,'Data(perCrop)'!$O:$O,$A8),"")</f>
        <v/>
      </c>
      <c r="O8" s="46" t="str">
        <f>IF(AND(ISNUMBER(AVERAGEIFS('Data(perCrop)'!$A:$A,'Data(perCrop)'!$B:$B,O$3,'Data(perCrop)'!$H:$H,$A$1,'Data(perCrop)'!$O:$O,$A8)),O$4&lt;&gt;14,O$4&lt;&gt;15),AVERAGEIFS('Data(perCrop)'!$A:$A,'Data(perCrop)'!$B:$B,O$3,'Data(perCrop)'!$H:$H,$A$1,'Data(perCrop)'!$O:$O,$A8),"")</f>
        <v/>
      </c>
      <c r="P8" s="46" t="str">
        <f>IF(AND(ISNUMBER(AVERAGEIFS('Data(perCrop)'!$A:$A,'Data(perCrop)'!$B:$B,P$3,'Data(perCrop)'!$H:$H,$A$1,'Data(perCrop)'!$O:$O,$A8)),P$4&lt;&gt;14,P$4&lt;&gt;15),AVERAGEIFS('Data(perCrop)'!$A:$A,'Data(perCrop)'!$B:$B,P$3,'Data(perCrop)'!$H:$H,$A$1,'Data(perCrop)'!$O:$O,$A8),"")</f>
        <v/>
      </c>
      <c r="Q8" s="46" t="str">
        <f>IF(AND(ISNUMBER(AVERAGEIFS('Data(perCrop)'!$A:$A,'Data(perCrop)'!$B:$B,Q$3,'Data(perCrop)'!$H:$H,$A$1,'Data(perCrop)'!$O:$O,$A8)),Q$4&lt;&gt;14,Q$4&lt;&gt;15),AVERAGEIFS('Data(perCrop)'!$A:$A,'Data(perCrop)'!$B:$B,Q$3,'Data(perCrop)'!$H:$H,$A$1,'Data(perCrop)'!$O:$O,$A8),"")</f>
        <v/>
      </c>
      <c r="R8" s="46">
        <f>IF(AND(ISNUMBER(AVERAGEIFS('Data(perCrop)'!$A:$A,'Data(perCrop)'!$B:$B,R$3,'Data(perCrop)'!$H:$H,$A$1,'Data(perCrop)'!$O:$O,$A8)),R$4&lt;&gt;14,R$4&lt;&gt;15),AVERAGEIFS('Data(perCrop)'!$A:$A,'Data(perCrop)'!$B:$B,R$3,'Data(perCrop)'!$H:$H,$A$1,'Data(perCrop)'!$O:$O,$A8),"")</f>
        <v>970.67386323954804</v>
      </c>
      <c r="S8" s="46" t="str">
        <f>IF(AND(ISNUMBER(AVERAGEIFS('Data(perCrop)'!$A:$A,'Data(perCrop)'!$B:$B,S$3,'Data(perCrop)'!$H:$H,$A$1,'Data(perCrop)'!$O:$O,$A8)),S$4&lt;&gt;14,S$4&lt;&gt;15),AVERAGEIFS('Data(perCrop)'!$A:$A,'Data(perCrop)'!$B:$B,S$3,'Data(perCrop)'!$H:$H,$A$1,'Data(perCrop)'!$O:$O,$A8),"")</f>
        <v/>
      </c>
      <c r="T8" s="46" t="str">
        <f>IF(AND(ISNUMBER(AVERAGEIFS('Data(perCrop)'!$A:$A,'Data(perCrop)'!$B:$B,T$3,'Data(perCrop)'!$H:$H,$A$1,'Data(perCrop)'!$O:$O,$A8)),T$4&lt;&gt;14,T$4&lt;&gt;15),AVERAGEIFS('Data(perCrop)'!$A:$A,'Data(perCrop)'!$B:$B,T$3,'Data(perCrop)'!$H:$H,$A$1,'Data(perCrop)'!$O:$O,$A8),"")</f>
        <v/>
      </c>
      <c r="U8" s="46">
        <f>IF(AND(ISNUMBER(AVERAGEIFS('Data(perCrop)'!$A:$A,'Data(perCrop)'!$B:$B,U$3,'Data(perCrop)'!$H:$H,$A$1,'Data(perCrop)'!$O:$O,$A8)),U$4&lt;&gt;14,U$4&lt;&gt;15),AVERAGEIFS('Data(perCrop)'!$A:$A,'Data(perCrop)'!$B:$B,U$3,'Data(perCrop)'!$H:$H,$A$1,'Data(perCrop)'!$O:$O,$A8),"")</f>
        <v>866.44822691414799</v>
      </c>
      <c r="V8" s="46" t="str">
        <f>IF(AND(ISNUMBER(AVERAGEIFS('Data(perCrop)'!$A:$A,'Data(perCrop)'!$B:$B,V$3,'Data(perCrop)'!$H:$H,$A$1,'Data(perCrop)'!$O:$O,$A8)),V$4&lt;&gt;14,V$4&lt;&gt;15),AVERAGEIFS('Data(perCrop)'!$A:$A,'Data(perCrop)'!$B:$B,V$3,'Data(perCrop)'!$H:$H,$A$1,'Data(perCrop)'!$O:$O,$A8),"")</f>
        <v/>
      </c>
      <c r="W8" s="46" t="str">
        <f>IF(AND(ISNUMBER(AVERAGEIFS('Data(perCrop)'!$A:$A,'Data(perCrop)'!$B:$B,W$3,'Data(perCrop)'!$H:$H,$A$1,'Data(perCrop)'!$O:$O,$A8)),W$4&lt;&gt;14,W$4&lt;&gt;15),AVERAGEIFS('Data(perCrop)'!$A:$A,'Data(perCrop)'!$B:$B,W$3,'Data(perCrop)'!$H:$H,$A$1,'Data(perCrop)'!$O:$O,$A8),"")</f>
        <v/>
      </c>
      <c r="X8" s="46" t="str">
        <f>IF(AND(ISNUMBER(AVERAGEIFS('Data(perCrop)'!$A:$A,'Data(perCrop)'!$B:$B,X$3,'Data(perCrop)'!$H:$H,$A$1,'Data(perCrop)'!$O:$O,$A8)),X$4&lt;&gt;14,X$4&lt;&gt;15),AVERAGEIFS('Data(perCrop)'!$A:$A,'Data(perCrop)'!$B:$B,X$3,'Data(perCrop)'!$H:$H,$A$1,'Data(perCrop)'!$O:$O,$A8),"")</f>
        <v/>
      </c>
      <c r="Y8" s="46" t="str">
        <f>IF(AND(ISNUMBER(AVERAGEIFS('Data(perCrop)'!$A:$A,'Data(perCrop)'!$B:$B,Y$3,'Data(perCrop)'!$H:$H,$A$1,'Data(perCrop)'!$O:$O,$A8)),Y$4&lt;&gt;14,Y$4&lt;&gt;15),AVERAGEIFS('Data(perCrop)'!$A:$A,'Data(perCrop)'!$B:$B,Y$3,'Data(perCrop)'!$H:$H,$A$1,'Data(perCrop)'!$O:$O,$A8),"")</f>
        <v/>
      </c>
      <c r="Z8" s="46" t="str">
        <f>IF(AND(ISNUMBER(AVERAGEIFS('Data(perCrop)'!$A:$A,'Data(perCrop)'!$B:$B,Z$3,'Data(perCrop)'!$H:$H,$A$1,'Data(perCrop)'!$O:$O,$A8)),Z$4&lt;&gt;14,Z$4&lt;&gt;15),AVERAGEIFS('Data(perCrop)'!$A:$A,'Data(perCrop)'!$B:$B,Z$3,'Data(perCrop)'!$H:$H,$A$1,'Data(perCrop)'!$O:$O,$A8),"")</f>
        <v/>
      </c>
      <c r="AA8" s="46" t="str">
        <f>IF(AND(ISNUMBER(AVERAGEIFS('Data(perCrop)'!$A:$A,'Data(perCrop)'!$B:$B,AA$3,'Data(perCrop)'!$H:$H,$A$1,'Data(perCrop)'!$O:$O,$A8)),AA$4&lt;&gt;14,AA$4&lt;&gt;15),AVERAGEIFS('Data(perCrop)'!$A:$A,'Data(perCrop)'!$B:$B,AA$3,'Data(perCrop)'!$H:$H,$A$1,'Data(perCrop)'!$O:$O,$A8),"")</f>
        <v/>
      </c>
      <c r="AB8" s="46" t="str">
        <f>IF(AND(ISNUMBER(AVERAGEIFS('Data(perCrop)'!$A:$A,'Data(perCrop)'!$B:$B,AB$3,'Data(perCrop)'!$H:$H,$A$1,'Data(perCrop)'!$O:$O,$A8)),AB$4&lt;&gt;14,AB$4&lt;&gt;15),AVERAGEIFS('Data(perCrop)'!$A:$A,'Data(perCrop)'!$B:$B,AB$3,'Data(perCrop)'!$H:$H,$A$1,'Data(perCrop)'!$O:$O,$A8),"")</f>
        <v/>
      </c>
      <c r="AC8" s="46" t="str">
        <f>IF(AND(ISNUMBER(AVERAGEIFS('Data(perCrop)'!$A:$A,'Data(perCrop)'!$B:$B,AC$3,'Data(perCrop)'!$H:$H,$A$1,'Data(perCrop)'!$O:$O,$A8)),AC$4&lt;&gt;14,AC$4&lt;&gt;15),AVERAGEIFS('Data(perCrop)'!$A:$A,'Data(perCrop)'!$B:$B,AC$3,'Data(perCrop)'!$H:$H,$A$1,'Data(perCrop)'!$O:$O,$A8),"")</f>
        <v/>
      </c>
      <c r="AD8" s="46" t="str">
        <f>IF(AND(ISNUMBER(AVERAGEIFS('Data(perCrop)'!$A:$A,'Data(perCrop)'!$B:$B,AD$3,'Data(perCrop)'!$H:$H,$A$1,'Data(perCrop)'!$O:$O,$A8)),AD$4&lt;&gt;14,AD$4&lt;&gt;15),AVERAGEIFS('Data(perCrop)'!$A:$A,'Data(perCrop)'!$B:$B,AD$3,'Data(perCrop)'!$H:$H,$A$1,'Data(perCrop)'!$O:$O,$A8),"")</f>
        <v/>
      </c>
      <c r="AE8" s="46" t="str">
        <f>IF(AND(ISNUMBER(AVERAGEIFS('Data(perCrop)'!$A:$A,'Data(perCrop)'!$B:$B,AE$3,'Data(perCrop)'!$H:$H,$A$1,'Data(perCrop)'!$O:$O,$A8)),AE$4&lt;&gt;14,AE$4&lt;&gt;15),AVERAGEIFS('Data(perCrop)'!$A:$A,'Data(perCrop)'!$B:$B,AE$3,'Data(perCrop)'!$H:$H,$A$1,'Data(perCrop)'!$O:$O,$A8),"")</f>
        <v/>
      </c>
      <c r="AF8" s="46" t="str">
        <f>IF(AND(ISNUMBER(AVERAGEIFS('Data(perCrop)'!$A:$A,'Data(perCrop)'!$B:$B,AF$3,'Data(perCrop)'!$H:$H,$A$1,'Data(perCrop)'!$O:$O,$A8)),AF$4&lt;&gt;14,AF$4&lt;&gt;15),AVERAGEIFS('Data(perCrop)'!$A:$A,'Data(perCrop)'!$B:$B,AF$3,'Data(perCrop)'!$H:$H,$A$1,'Data(perCrop)'!$O:$O,$A8),"")</f>
        <v/>
      </c>
    </row>
    <row r="9" spans="1:40" ht="18.75" x14ac:dyDescent="0.3">
      <c r="A9" s="42">
        <v>2022</v>
      </c>
      <c r="B9" s="46" t="str">
        <f>IF(AND(ISNUMBER(AVERAGEIFS('Data(perCrop)'!$A:$A,'Data(perCrop)'!$B:$B,B$3,'Data(perCrop)'!$H:$H,$A$1,'Data(perCrop)'!$O:$O,$A9)),B$4&lt;&gt;14,B$4&lt;&gt;15),AVERAGEIFS('Data(perCrop)'!$A:$A,'Data(perCrop)'!$B:$B,B$3,'Data(perCrop)'!$H:$H,$A$1,'Data(perCrop)'!$O:$O,$A9),"")</f>
        <v/>
      </c>
      <c r="C9" s="46">
        <f>IF(AND(ISNUMBER(AVERAGEIFS('Data(perCrop)'!$A:$A,'Data(perCrop)'!$B:$B,C$3,'Data(perCrop)'!$H:$H,$A$1,'Data(perCrop)'!$O:$O,$A9)),C$4&lt;&gt;14,C$4&lt;&gt;15),AVERAGEIFS('Data(perCrop)'!$A:$A,'Data(perCrop)'!$B:$B,C$3,'Data(perCrop)'!$H:$H,$A$1,'Data(perCrop)'!$O:$O,$A9),"")</f>
        <v>6400.6442490076697</v>
      </c>
      <c r="D9" s="46" t="str">
        <f>IF(AND(ISNUMBER(AVERAGEIFS('Data(perCrop)'!$A:$A,'Data(perCrop)'!$B:$B,D$3,'Data(perCrop)'!$H:$H,$A$1,'Data(perCrop)'!$O:$O,$A9)),D$4&lt;&gt;14,D$4&lt;&gt;15),AVERAGEIFS('Data(perCrop)'!$A:$A,'Data(perCrop)'!$B:$B,D$3,'Data(perCrop)'!$H:$H,$A$1,'Data(perCrop)'!$O:$O,$A9),"")</f>
        <v/>
      </c>
      <c r="E9" s="46" t="str">
        <f>IF(AND(ISNUMBER(AVERAGEIFS('Data(perCrop)'!$A:$A,'Data(perCrop)'!$B:$B,E$3,'Data(perCrop)'!$H:$H,$A$1,'Data(perCrop)'!$O:$O,$A9)),E$4&lt;&gt;14,E$4&lt;&gt;15),AVERAGEIFS('Data(perCrop)'!$A:$A,'Data(perCrop)'!$B:$B,E$3,'Data(perCrop)'!$H:$H,$A$1,'Data(perCrop)'!$O:$O,$A9),"")</f>
        <v/>
      </c>
      <c r="F9" s="46" t="str">
        <f>IF(AND(ISNUMBER(AVERAGEIFS('Data(perCrop)'!$A:$A,'Data(perCrop)'!$B:$B,F$3,'Data(perCrop)'!$H:$H,$A$1,'Data(perCrop)'!$O:$O,$A9)),F$4&lt;&gt;14,F$4&lt;&gt;15),AVERAGEIFS('Data(perCrop)'!$A:$A,'Data(perCrop)'!$B:$B,F$3,'Data(perCrop)'!$H:$H,$A$1,'Data(perCrop)'!$O:$O,$A9),"")</f>
        <v/>
      </c>
      <c r="G9" s="46" t="str">
        <f>IF(AND(ISNUMBER(AVERAGEIFS('Data(perCrop)'!$A:$A,'Data(perCrop)'!$B:$B,G$3,'Data(perCrop)'!$H:$H,$A$1,'Data(perCrop)'!$O:$O,$A9)),G$4&lt;&gt;14,G$4&lt;&gt;15),AVERAGEIFS('Data(perCrop)'!$A:$A,'Data(perCrop)'!$B:$B,G$3,'Data(perCrop)'!$H:$H,$A$1,'Data(perCrop)'!$O:$O,$A9),"")</f>
        <v/>
      </c>
      <c r="H9" s="46" t="str">
        <f>IF(AND(ISNUMBER(AVERAGEIFS('Data(perCrop)'!$A:$A,'Data(perCrop)'!$B:$B,H$3,'Data(perCrop)'!$H:$H,$A$1,'Data(perCrop)'!$O:$O,$A9)),H$4&lt;&gt;14,H$4&lt;&gt;15),AVERAGEIFS('Data(perCrop)'!$A:$A,'Data(perCrop)'!$B:$B,H$3,'Data(perCrop)'!$H:$H,$A$1,'Data(perCrop)'!$O:$O,$A9),"")</f>
        <v/>
      </c>
      <c r="I9" s="46" t="str">
        <f>IF(AND(ISNUMBER(AVERAGEIFS('Data(perCrop)'!$A:$A,'Data(perCrop)'!$B:$B,I$3,'Data(perCrop)'!$H:$H,$A$1,'Data(perCrop)'!$O:$O,$A9)),I$4&lt;&gt;14,I$4&lt;&gt;15),AVERAGEIFS('Data(perCrop)'!$A:$A,'Data(perCrop)'!$B:$B,I$3,'Data(perCrop)'!$H:$H,$A$1,'Data(perCrop)'!$O:$O,$A9),"")</f>
        <v/>
      </c>
      <c r="J9" s="46" t="str">
        <f>IF(AND(ISNUMBER(AVERAGEIFS('Data(perCrop)'!$A:$A,'Data(perCrop)'!$B:$B,J$3,'Data(perCrop)'!$H:$H,$A$1,'Data(perCrop)'!$O:$O,$A9)),J$4&lt;&gt;14,J$4&lt;&gt;15),AVERAGEIFS('Data(perCrop)'!$A:$A,'Data(perCrop)'!$B:$B,J$3,'Data(perCrop)'!$H:$H,$A$1,'Data(perCrop)'!$O:$O,$A9),"")</f>
        <v/>
      </c>
      <c r="K9" s="46" t="str">
        <f>IF(AND(ISNUMBER(AVERAGEIFS('Data(perCrop)'!$A:$A,'Data(perCrop)'!$B:$B,K$3,'Data(perCrop)'!$H:$H,$A$1,'Data(perCrop)'!$O:$O,$A9)),K$4&lt;&gt;14,K$4&lt;&gt;15),AVERAGEIFS('Data(perCrop)'!$A:$A,'Data(perCrop)'!$B:$B,K$3,'Data(perCrop)'!$H:$H,$A$1,'Data(perCrop)'!$O:$O,$A9),"")</f>
        <v/>
      </c>
      <c r="L9" s="46" t="str">
        <f>IF(AND(ISNUMBER(AVERAGEIFS('Data(perCrop)'!$A:$A,'Data(perCrop)'!$B:$B,L$3,'Data(perCrop)'!$H:$H,$A$1,'Data(perCrop)'!$O:$O,$A9)),L$4&lt;&gt;14,L$4&lt;&gt;15),AVERAGEIFS('Data(perCrop)'!$A:$A,'Data(perCrop)'!$B:$B,L$3,'Data(perCrop)'!$H:$H,$A$1,'Data(perCrop)'!$O:$O,$A9),"")</f>
        <v/>
      </c>
      <c r="M9" s="46" t="str">
        <f>IF(AND(ISNUMBER(AVERAGEIFS('Data(perCrop)'!$A:$A,'Data(perCrop)'!$B:$B,M$3,'Data(perCrop)'!$H:$H,$A$1,'Data(perCrop)'!$O:$O,$A9)),M$4&lt;&gt;14,M$4&lt;&gt;15),AVERAGEIFS('Data(perCrop)'!$A:$A,'Data(perCrop)'!$B:$B,M$3,'Data(perCrop)'!$H:$H,$A$1,'Data(perCrop)'!$O:$O,$A9),"")</f>
        <v/>
      </c>
      <c r="N9" s="46" t="str">
        <f>IF(AND(ISNUMBER(AVERAGEIFS('Data(perCrop)'!$A:$A,'Data(perCrop)'!$B:$B,N$3,'Data(perCrop)'!$H:$H,$A$1,'Data(perCrop)'!$O:$O,$A9)),N$4&lt;&gt;14,N$4&lt;&gt;15),AVERAGEIFS('Data(perCrop)'!$A:$A,'Data(perCrop)'!$B:$B,N$3,'Data(perCrop)'!$H:$H,$A$1,'Data(perCrop)'!$O:$O,$A9),"")</f>
        <v/>
      </c>
      <c r="O9" s="46" t="str">
        <f>IF(AND(ISNUMBER(AVERAGEIFS('Data(perCrop)'!$A:$A,'Data(perCrop)'!$B:$B,O$3,'Data(perCrop)'!$H:$H,$A$1,'Data(perCrop)'!$O:$O,$A9)),O$4&lt;&gt;14,O$4&lt;&gt;15),AVERAGEIFS('Data(perCrop)'!$A:$A,'Data(perCrop)'!$B:$B,O$3,'Data(perCrop)'!$H:$H,$A$1,'Data(perCrop)'!$O:$O,$A9),"")</f>
        <v/>
      </c>
      <c r="P9" s="46" t="str">
        <f>IF(AND(ISNUMBER(AVERAGEIFS('Data(perCrop)'!$A:$A,'Data(perCrop)'!$B:$B,P$3,'Data(perCrop)'!$H:$H,$A$1,'Data(perCrop)'!$O:$O,$A9)),P$4&lt;&gt;14,P$4&lt;&gt;15),AVERAGEIFS('Data(perCrop)'!$A:$A,'Data(perCrop)'!$B:$B,P$3,'Data(perCrop)'!$H:$H,$A$1,'Data(perCrop)'!$O:$O,$A9),"")</f>
        <v/>
      </c>
      <c r="Q9" s="46" t="str">
        <f>IF(AND(ISNUMBER(AVERAGEIFS('Data(perCrop)'!$A:$A,'Data(perCrop)'!$B:$B,Q$3,'Data(perCrop)'!$H:$H,$A$1,'Data(perCrop)'!$O:$O,$A9)),Q$4&lt;&gt;14,Q$4&lt;&gt;15),AVERAGEIFS('Data(perCrop)'!$A:$A,'Data(perCrop)'!$B:$B,Q$3,'Data(perCrop)'!$H:$H,$A$1,'Data(perCrop)'!$O:$O,$A9),"")</f>
        <v/>
      </c>
      <c r="R9" s="46">
        <f>IF(AND(ISNUMBER(AVERAGEIFS('Data(perCrop)'!$A:$A,'Data(perCrop)'!$B:$B,R$3,'Data(perCrop)'!$H:$H,$A$1,'Data(perCrop)'!$O:$O,$A9)),R$4&lt;&gt;14,R$4&lt;&gt;15),AVERAGEIFS('Data(perCrop)'!$A:$A,'Data(perCrop)'!$B:$B,R$3,'Data(perCrop)'!$H:$H,$A$1,'Data(perCrop)'!$O:$O,$A9),"")</f>
        <v>754.58174221911304</v>
      </c>
      <c r="S9" s="46" t="str">
        <f>IF(AND(ISNUMBER(AVERAGEIFS('Data(perCrop)'!$A:$A,'Data(perCrop)'!$B:$B,S$3,'Data(perCrop)'!$H:$H,$A$1,'Data(perCrop)'!$O:$O,$A9)),S$4&lt;&gt;14,S$4&lt;&gt;15),AVERAGEIFS('Data(perCrop)'!$A:$A,'Data(perCrop)'!$B:$B,S$3,'Data(perCrop)'!$H:$H,$A$1,'Data(perCrop)'!$O:$O,$A9),"")</f>
        <v/>
      </c>
      <c r="T9" s="46" t="str">
        <f>IF(AND(ISNUMBER(AVERAGEIFS('Data(perCrop)'!$A:$A,'Data(perCrop)'!$B:$B,T$3,'Data(perCrop)'!$H:$H,$A$1,'Data(perCrop)'!$O:$O,$A9)),T$4&lt;&gt;14,T$4&lt;&gt;15),AVERAGEIFS('Data(perCrop)'!$A:$A,'Data(perCrop)'!$B:$B,T$3,'Data(perCrop)'!$H:$H,$A$1,'Data(perCrop)'!$O:$O,$A9),"")</f>
        <v/>
      </c>
      <c r="U9" s="46">
        <f>IF(AND(ISNUMBER(AVERAGEIFS('Data(perCrop)'!$A:$A,'Data(perCrop)'!$B:$B,U$3,'Data(perCrop)'!$H:$H,$A$1,'Data(perCrop)'!$O:$O,$A9)),U$4&lt;&gt;14,U$4&lt;&gt;15),AVERAGEIFS('Data(perCrop)'!$A:$A,'Data(perCrop)'!$B:$B,U$3,'Data(perCrop)'!$H:$H,$A$1,'Data(perCrop)'!$O:$O,$A9),"")</f>
        <v>1736.8012812009499</v>
      </c>
      <c r="V9" s="46" t="str">
        <f>IF(AND(ISNUMBER(AVERAGEIFS('Data(perCrop)'!$A:$A,'Data(perCrop)'!$B:$B,V$3,'Data(perCrop)'!$H:$H,$A$1,'Data(perCrop)'!$O:$O,$A9)),V$4&lt;&gt;14,V$4&lt;&gt;15),AVERAGEIFS('Data(perCrop)'!$A:$A,'Data(perCrop)'!$B:$B,V$3,'Data(perCrop)'!$H:$H,$A$1,'Data(perCrop)'!$O:$O,$A9),"")</f>
        <v/>
      </c>
      <c r="W9" s="46" t="str">
        <f>IF(AND(ISNUMBER(AVERAGEIFS('Data(perCrop)'!$A:$A,'Data(perCrop)'!$B:$B,W$3,'Data(perCrop)'!$H:$H,$A$1,'Data(perCrop)'!$O:$O,$A9)),W$4&lt;&gt;14,W$4&lt;&gt;15),AVERAGEIFS('Data(perCrop)'!$A:$A,'Data(perCrop)'!$B:$B,W$3,'Data(perCrop)'!$H:$H,$A$1,'Data(perCrop)'!$O:$O,$A9),"")</f>
        <v/>
      </c>
      <c r="X9" s="46" t="str">
        <f>IF(AND(ISNUMBER(AVERAGEIFS('Data(perCrop)'!$A:$A,'Data(perCrop)'!$B:$B,X$3,'Data(perCrop)'!$H:$H,$A$1,'Data(perCrop)'!$O:$O,$A9)),X$4&lt;&gt;14,X$4&lt;&gt;15),AVERAGEIFS('Data(perCrop)'!$A:$A,'Data(perCrop)'!$B:$B,X$3,'Data(perCrop)'!$H:$H,$A$1,'Data(perCrop)'!$O:$O,$A9),"")</f>
        <v/>
      </c>
      <c r="Y9" s="46" t="str">
        <f>IF(AND(ISNUMBER(AVERAGEIFS('Data(perCrop)'!$A:$A,'Data(perCrop)'!$B:$B,Y$3,'Data(perCrop)'!$H:$H,$A$1,'Data(perCrop)'!$O:$O,$A9)),Y$4&lt;&gt;14,Y$4&lt;&gt;15),AVERAGEIFS('Data(perCrop)'!$A:$A,'Data(perCrop)'!$B:$B,Y$3,'Data(perCrop)'!$H:$H,$A$1,'Data(perCrop)'!$O:$O,$A9),"")</f>
        <v/>
      </c>
      <c r="Z9" s="46" t="str">
        <f>IF(AND(ISNUMBER(AVERAGEIFS('Data(perCrop)'!$A:$A,'Data(perCrop)'!$B:$B,Z$3,'Data(perCrop)'!$H:$H,$A$1,'Data(perCrop)'!$O:$O,$A9)),Z$4&lt;&gt;14,Z$4&lt;&gt;15),AVERAGEIFS('Data(perCrop)'!$A:$A,'Data(perCrop)'!$B:$B,Z$3,'Data(perCrop)'!$H:$H,$A$1,'Data(perCrop)'!$O:$O,$A9),"")</f>
        <v/>
      </c>
      <c r="AA9" s="46" t="str">
        <f>IF(AND(ISNUMBER(AVERAGEIFS('Data(perCrop)'!$A:$A,'Data(perCrop)'!$B:$B,AA$3,'Data(perCrop)'!$H:$H,$A$1,'Data(perCrop)'!$O:$O,$A9)),AA$4&lt;&gt;14,AA$4&lt;&gt;15),AVERAGEIFS('Data(perCrop)'!$A:$A,'Data(perCrop)'!$B:$B,AA$3,'Data(perCrop)'!$H:$H,$A$1,'Data(perCrop)'!$O:$O,$A9),"")</f>
        <v/>
      </c>
      <c r="AB9" s="46" t="str">
        <f>IF(AND(ISNUMBER(AVERAGEIFS('Data(perCrop)'!$A:$A,'Data(perCrop)'!$B:$B,AB$3,'Data(perCrop)'!$H:$H,$A$1,'Data(perCrop)'!$O:$O,$A9)),AB$4&lt;&gt;14,AB$4&lt;&gt;15),AVERAGEIFS('Data(perCrop)'!$A:$A,'Data(perCrop)'!$B:$B,AB$3,'Data(perCrop)'!$H:$H,$A$1,'Data(perCrop)'!$O:$O,$A9),"")</f>
        <v/>
      </c>
      <c r="AC9" s="46" t="str">
        <f>IF(AND(ISNUMBER(AVERAGEIFS('Data(perCrop)'!$A:$A,'Data(perCrop)'!$B:$B,AC$3,'Data(perCrop)'!$H:$H,$A$1,'Data(perCrop)'!$O:$O,$A9)),AC$4&lt;&gt;14,AC$4&lt;&gt;15),AVERAGEIFS('Data(perCrop)'!$A:$A,'Data(perCrop)'!$B:$B,AC$3,'Data(perCrop)'!$H:$H,$A$1,'Data(perCrop)'!$O:$O,$A9),"")</f>
        <v/>
      </c>
      <c r="AD9" s="46" t="str">
        <f>IF(AND(ISNUMBER(AVERAGEIFS('Data(perCrop)'!$A:$A,'Data(perCrop)'!$B:$B,AD$3,'Data(perCrop)'!$H:$H,$A$1,'Data(perCrop)'!$O:$O,$A9)),AD$4&lt;&gt;14,AD$4&lt;&gt;15),AVERAGEIFS('Data(perCrop)'!$A:$A,'Data(perCrop)'!$B:$B,AD$3,'Data(perCrop)'!$H:$H,$A$1,'Data(perCrop)'!$O:$O,$A9),"")</f>
        <v/>
      </c>
      <c r="AE9" s="46" t="str">
        <f>IF(AND(ISNUMBER(AVERAGEIFS('Data(perCrop)'!$A:$A,'Data(perCrop)'!$B:$B,AE$3,'Data(perCrop)'!$H:$H,$A$1,'Data(perCrop)'!$O:$O,$A9)),AE$4&lt;&gt;14,AE$4&lt;&gt;15),AVERAGEIFS('Data(perCrop)'!$A:$A,'Data(perCrop)'!$B:$B,AE$3,'Data(perCrop)'!$H:$H,$A$1,'Data(perCrop)'!$O:$O,$A9),"")</f>
        <v/>
      </c>
      <c r="AF9" s="46" t="str">
        <f>IF(AND(ISNUMBER(AVERAGEIFS('Data(perCrop)'!$A:$A,'Data(perCrop)'!$B:$B,AF$3,'Data(perCrop)'!$H:$H,$A$1,'Data(perCrop)'!$O:$O,$A9)),AF$4&lt;&gt;14,AF$4&lt;&gt;15),AVERAGEIFS('Data(perCrop)'!$A:$A,'Data(perCrop)'!$B:$B,AF$3,'Data(perCrop)'!$H:$H,$A$1,'Data(perCrop)'!$O:$O,$A9),"")</f>
        <v/>
      </c>
    </row>
    <row r="10" spans="1:40" ht="18.75" x14ac:dyDescent="0.3">
      <c r="A10" s="52" t="s">
        <v>184</v>
      </c>
      <c r="B10" s="52"/>
      <c r="C10" s="48">
        <f t="shared" ref="C10:AF10" si="0">IF(ISNUMBER(AVERAGE(C5:C9)),AVERAGE(C5:C9),"")</f>
        <v>4967.8228398215015</v>
      </c>
      <c r="D10" s="48" t="str">
        <f t="shared" si="0"/>
        <v/>
      </c>
      <c r="E10" s="48" t="str">
        <f t="shared" si="0"/>
        <v/>
      </c>
      <c r="F10" s="48" t="str">
        <f t="shared" si="0"/>
        <v/>
      </c>
      <c r="G10" s="48" t="str">
        <f t="shared" si="0"/>
        <v/>
      </c>
      <c r="H10" s="48" t="str">
        <f t="shared" si="0"/>
        <v/>
      </c>
      <c r="I10" s="48" t="str">
        <f t="shared" si="0"/>
        <v/>
      </c>
      <c r="J10" s="48" t="str">
        <f t="shared" si="0"/>
        <v/>
      </c>
      <c r="K10" s="48" t="str">
        <f t="shared" si="0"/>
        <v/>
      </c>
      <c r="L10" s="48" t="str">
        <f t="shared" si="0"/>
        <v/>
      </c>
      <c r="M10" s="48" t="str">
        <f t="shared" si="0"/>
        <v/>
      </c>
      <c r="N10" s="48" t="str">
        <f t="shared" si="0"/>
        <v/>
      </c>
      <c r="O10" s="48" t="str">
        <f t="shared" si="0"/>
        <v/>
      </c>
      <c r="P10" s="48" t="str">
        <f t="shared" si="0"/>
        <v/>
      </c>
      <c r="Q10" s="48" t="str">
        <f t="shared" si="0"/>
        <v/>
      </c>
      <c r="R10" s="48">
        <f t="shared" si="0"/>
        <v>909.22224271560958</v>
      </c>
      <c r="S10" s="48" t="str">
        <f t="shared" si="0"/>
        <v/>
      </c>
      <c r="T10" s="48" t="str">
        <f t="shared" si="0"/>
        <v/>
      </c>
      <c r="U10" s="48">
        <f t="shared" si="0"/>
        <v>2032.0870486639051</v>
      </c>
      <c r="V10" s="48" t="str">
        <f t="shared" si="0"/>
        <v/>
      </c>
      <c r="W10" s="48" t="str">
        <f t="shared" si="0"/>
        <v/>
      </c>
      <c r="X10" s="48" t="str">
        <f t="shared" si="0"/>
        <v/>
      </c>
      <c r="Y10" s="48" t="str">
        <f t="shared" si="0"/>
        <v/>
      </c>
      <c r="Z10" s="48" t="str">
        <f t="shared" si="0"/>
        <v/>
      </c>
      <c r="AA10" s="48" t="str">
        <f t="shared" si="0"/>
        <v/>
      </c>
      <c r="AB10" s="48" t="str">
        <f t="shared" si="0"/>
        <v/>
      </c>
      <c r="AC10" s="48" t="str">
        <f t="shared" si="0"/>
        <v/>
      </c>
      <c r="AD10" s="48" t="str">
        <f t="shared" si="0"/>
        <v/>
      </c>
      <c r="AE10" s="48" t="str">
        <f t="shared" si="0"/>
        <v/>
      </c>
      <c r="AF10" s="48" t="str">
        <f t="shared" si="0"/>
        <v/>
      </c>
    </row>
    <row r="12" spans="1:40" ht="18.75" x14ac:dyDescent="0.3">
      <c r="A12" s="42" t="s">
        <v>206</v>
      </c>
      <c r="B12" s="58" t="s">
        <v>47</v>
      </c>
      <c r="C12" s="58" t="s">
        <v>57</v>
      </c>
      <c r="D12" s="58" t="s">
        <v>110</v>
      </c>
      <c r="E12" s="58" t="s">
        <v>50</v>
      </c>
      <c r="F12" s="58" t="s">
        <v>58</v>
      </c>
      <c r="G12" s="58" t="s">
        <v>51</v>
      </c>
      <c r="H12" s="58" t="s">
        <v>97</v>
      </c>
      <c r="I12" s="58" t="s">
        <v>52</v>
      </c>
      <c r="J12" s="58" t="s">
        <v>59</v>
      </c>
      <c r="K12" s="58" t="s">
        <v>111</v>
      </c>
      <c r="L12" s="58" t="s">
        <v>54</v>
      </c>
      <c r="M12" s="58" t="s">
        <v>112</v>
      </c>
      <c r="N12" s="58" t="s">
        <v>48</v>
      </c>
      <c r="O12" s="58" t="s">
        <v>53</v>
      </c>
      <c r="P12" s="58" t="s">
        <v>49</v>
      </c>
      <c r="Q12" s="58" t="s">
        <v>56</v>
      </c>
      <c r="R12" s="58" t="s">
        <v>102</v>
      </c>
      <c r="S12" s="58" t="s">
        <v>103</v>
      </c>
      <c r="T12" s="58" t="s">
        <v>101</v>
      </c>
      <c r="U12" s="58" t="s">
        <v>106</v>
      </c>
      <c r="V12" s="58" t="s">
        <v>113</v>
      </c>
      <c r="W12" s="58" t="s">
        <v>114</v>
      </c>
      <c r="X12" s="58" t="s">
        <v>115</v>
      </c>
      <c r="Y12" s="58" t="s">
        <v>116</v>
      </c>
      <c r="Z12" s="58" t="s">
        <v>107</v>
      </c>
      <c r="AA12" s="58" t="s">
        <v>104</v>
      </c>
      <c r="AB12" s="58" t="s">
        <v>117</v>
      </c>
      <c r="AC12" s="58" t="s">
        <v>118</v>
      </c>
      <c r="AD12" s="58" t="s">
        <v>119</v>
      </c>
      <c r="AE12" s="58" t="s">
        <v>108</v>
      </c>
      <c r="AF12" s="58" t="s">
        <v>105</v>
      </c>
    </row>
    <row r="13" spans="1:40" ht="18.75" x14ac:dyDescent="0.3">
      <c r="A13" s="42" t="s">
        <v>183</v>
      </c>
      <c r="B13" s="42">
        <v>1</v>
      </c>
      <c r="C13" s="42">
        <v>2</v>
      </c>
      <c r="D13" s="42">
        <v>3</v>
      </c>
      <c r="E13" s="42">
        <v>4</v>
      </c>
      <c r="F13" s="42">
        <v>5</v>
      </c>
      <c r="G13" s="42">
        <v>6</v>
      </c>
      <c r="H13" s="42">
        <v>7</v>
      </c>
      <c r="I13" s="42">
        <v>8</v>
      </c>
      <c r="J13" s="42">
        <v>9</v>
      </c>
      <c r="K13" s="42">
        <v>10</v>
      </c>
      <c r="L13" s="42">
        <v>11</v>
      </c>
      <c r="M13" s="42">
        <v>12</v>
      </c>
      <c r="N13" s="42">
        <v>13</v>
      </c>
      <c r="O13" s="42">
        <v>14</v>
      </c>
      <c r="P13" s="42">
        <v>15</v>
      </c>
      <c r="Q13" s="42">
        <v>16</v>
      </c>
      <c r="R13" s="42">
        <v>17</v>
      </c>
      <c r="S13" s="42">
        <v>18</v>
      </c>
      <c r="T13" s="42">
        <v>19</v>
      </c>
      <c r="U13" s="42">
        <v>20</v>
      </c>
      <c r="V13" s="42">
        <v>21</v>
      </c>
      <c r="W13" s="42">
        <v>22</v>
      </c>
      <c r="X13" s="42">
        <v>23</v>
      </c>
      <c r="Y13" s="42">
        <v>24</v>
      </c>
      <c r="Z13" s="42">
        <v>25</v>
      </c>
      <c r="AA13" s="42">
        <v>40</v>
      </c>
      <c r="AB13" s="42">
        <v>41</v>
      </c>
      <c r="AC13" s="42">
        <v>42</v>
      </c>
      <c r="AD13" s="42">
        <v>43</v>
      </c>
      <c r="AE13" s="42">
        <v>44</v>
      </c>
      <c r="AF13" s="42">
        <v>45</v>
      </c>
    </row>
    <row r="14" spans="1:40" ht="18.75" x14ac:dyDescent="0.3">
      <c r="A14" s="42">
        <v>2018</v>
      </c>
      <c r="B14" s="46" t="str">
        <f>IFERROR(AVERAGEIFS('Data(perCrop)'!$D:$D,'Data(perCrop)'!$B:$B,B$12,'Data(perCrop)'!$H:$H,$A$1,'Data(perCrop)'!$O:$O,$A14),"")</f>
        <v/>
      </c>
      <c r="C14" s="46">
        <f>IFERROR(AVERAGEIFS('Data(perCrop)'!$D:$D,'Data(perCrop)'!$B:$B,C$12,'Data(perCrop)'!$H:$H,$A$1,'Data(perCrop)'!$O:$O,$A14),"")</f>
        <v>497</v>
      </c>
      <c r="D14" s="46" t="str">
        <f>IFERROR(AVERAGEIFS('Data(perCrop)'!$D:$D,'Data(perCrop)'!$B:$B,D$12,'Data(perCrop)'!$H:$H,$A$1,'Data(perCrop)'!$O:$O,$A14),"")</f>
        <v/>
      </c>
      <c r="E14" s="46" t="str">
        <f>IFERROR(AVERAGEIFS('Data(perCrop)'!$D:$D,'Data(perCrop)'!$B:$B,E$12,'Data(perCrop)'!$H:$H,$A$1,'Data(perCrop)'!$O:$O,$A14),"")</f>
        <v/>
      </c>
      <c r="F14" s="46" t="str">
        <f>IFERROR(AVERAGEIFS('Data(perCrop)'!$D:$D,'Data(perCrop)'!$B:$B,F$12,'Data(perCrop)'!$H:$H,$A$1,'Data(perCrop)'!$O:$O,$A14),"")</f>
        <v/>
      </c>
      <c r="G14" s="46" t="str">
        <f>IFERROR(AVERAGEIFS('Data(perCrop)'!$D:$D,'Data(perCrop)'!$B:$B,G$12,'Data(perCrop)'!$H:$H,$A$1,'Data(perCrop)'!$O:$O,$A14),"")</f>
        <v/>
      </c>
      <c r="H14" s="46" t="str">
        <f>IFERROR(AVERAGEIFS('Data(perCrop)'!$D:$D,'Data(perCrop)'!$B:$B,H$12,'Data(perCrop)'!$H:$H,$A$1,'Data(perCrop)'!$O:$O,$A14),"")</f>
        <v/>
      </c>
      <c r="I14" s="46" t="str">
        <f>IFERROR(AVERAGEIFS('Data(perCrop)'!$D:$D,'Data(perCrop)'!$B:$B,I$12,'Data(perCrop)'!$H:$H,$A$1,'Data(perCrop)'!$O:$O,$A14),"")</f>
        <v/>
      </c>
      <c r="J14" s="46" t="str">
        <f>IFERROR(AVERAGEIFS('Data(perCrop)'!$D:$D,'Data(perCrop)'!$B:$B,J$12,'Data(perCrop)'!$H:$H,$A$1,'Data(perCrop)'!$O:$O,$A14),"")</f>
        <v/>
      </c>
      <c r="K14" s="46" t="str">
        <f>IFERROR(AVERAGEIFS('Data(perCrop)'!$D:$D,'Data(perCrop)'!$B:$B,K$12,'Data(perCrop)'!$H:$H,$A$1,'Data(perCrop)'!$O:$O,$A14),"")</f>
        <v/>
      </c>
      <c r="L14" s="46" t="str">
        <f>IFERROR(AVERAGEIFS('Data(perCrop)'!$D:$D,'Data(perCrop)'!$B:$B,L$12,'Data(perCrop)'!$H:$H,$A$1,'Data(perCrop)'!$O:$O,$A14),"")</f>
        <v/>
      </c>
      <c r="M14" s="46" t="str">
        <f>IFERROR(AVERAGEIFS('Data(perCrop)'!$D:$D,'Data(perCrop)'!$B:$B,M$12,'Data(perCrop)'!$H:$H,$A$1,'Data(perCrop)'!$O:$O,$A14),"")</f>
        <v/>
      </c>
      <c r="N14" s="46" t="str">
        <f>IFERROR(AVERAGEIFS('Data(perCrop)'!$D:$D,'Data(perCrop)'!$B:$B,N$12,'Data(perCrop)'!$H:$H,$A$1,'Data(perCrop)'!$O:$O,$A14),"")</f>
        <v/>
      </c>
      <c r="O14" s="46">
        <f>IFERROR(AVERAGEIFS('Data(perCrop)'!$D:$D,'Data(perCrop)'!$B:$B,O$12,'Data(perCrop)'!$H:$H,$A$1,'Data(perCrop)'!$O:$O,$A14),"")</f>
        <v>482</v>
      </c>
      <c r="P14" s="46">
        <f>IFERROR(AVERAGEIFS('Data(perCrop)'!$D:$D,'Data(perCrop)'!$B:$B,P$12,'Data(perCrop)'!$H:$H,$A$1,'Data(perCrop)'!$O:$O,$A14),"")</f>
        <v>310</v>
      </c>
      <c r="Q14" s="46" t="str">
        <f>IFERROR(AVERAGEIFS('Data(perCrop)'!$D:$D,'Data(perCrop)'!$B:$B,Q$12,'Data(perCrop)'!$H:$H,$A$1,'Data(perCrop)'!$O:$O,$A14),"")</f>
        <v/>
      </c>
      <c r="R14" s="46">
        <f>IFERROR(AVERAGEIFS('Data(perCrop)'!$D:$D,'Data(perCrop)'!$B:$B,R$12,'Data(perCrop)'!$H:$H,$A$1,'Data(perCrop)'!$O:$O,$A14),"")</f>
        <v>507</v>
      </c>
      <c r="S14" s="46" t="str">
        <f>IFERROR(AVERAGEIFS('Data(perCrop)'!$D:$D,'Data(perCrop)'!$B:$B,S$12,'Data(perCrop)'!$H:$H,$A$1,'Data(perCrop)'!$O:$O,$A14),"")</f>
        <v/>
      </c>
      <c r="T14" s="46" t="str">
        <f>IFERROR(AVERAGEIFS('Data(perCrop)'!$D:$D,'Data(perCrop)'!$B:$B,T$12,'Data(perCrop)'!$H:$H,$A$1,'Data(perCrop)'!$O:$O,$A14),"")</f>
        <v/>
      </c>
      <c r="U14" s="46">
        <f>IFERROR(AVERAGEIFS('Data(perCrop)'!$D:$D,'Data(perCrop)'!$B:$B,U$12,'Data(perCrop)'!$H:$H,$A$1,'Data(perCrop)'!$O:$O,$A14),"")</f>
        <v>859</v>
      </c>
      <c r="V14" s="46" t="str">
        <f>IFERROR(AVERAGEIFS('Data(perCrop)'!$D:$D,'Data(perCrop)'!$B:$B,V$12,'Data(perCrop)'!$H:$H,$A$1,'Data(perCrop)'!$O:$O,$A14),"")</f>
        <v/>
      </c>
      <c r="W14" s="46" t="str">
        <f>IFERROR(AVERAGEIFS('Data(perCrop)'!$D:$D,'Data(perCrop)'!$B:$B,W$12,'Data(perCrop)'!$H:$H,$A$1,'Data(perCrop)'!$O:$O,$A14),"")</f>
        <v/>
      </c>
      <c r="X14" s="46" t="str">
        <f>IFERROR(AVERAGEIFS('Data(perCrop)'!$D:$D,'Data(perCrop)'!$B:$B,X$12,'Data(perCrop)'!$H:$H,$A$1,'Data(perCrop)'!$O:$O,$A14),"")</f>
        <v/>
      </c>
      <c r="Y14" s="46" t="str">
        <f>IFERROR(AVERAGEIFS('Data(perCrop)'!$D:$D,'Data(perCrop)'!$B:$B,Y$12,'Data(perCrop)'!$H:$H,$A$1,'Data(perCrop)'!$O:$O,$A14),"")</f>
        <v/>
      </c>
      <c r="Z14" s="46" t="str">
        <f>IFERROR(AVERAGEIFS('Data(perCrop)'!$D:$D,'Data(perCrop)'!$B:$B,Z$12,'Data(perCrop)'!$H:$H,$A$1,'Data(perCrop)'!$O:$O,$A14),"")</f>
        <v/>
      </c>
      <c r="AA14" s="46" t="str">
        <f>IFERROR(AVERAGEIFS('Data(perCrop)'!$D:$D,'Data(perCrop)'!$B:$B,AA$12,'Data(perCrop)'!$H:$H,$A$1,'Data(perCrop)'!$O:$O,$A14),"")</f>
        <v/>
      </c>
      <c r="AB14" s="46" t="str">
        <f>IFERROR(AVERAGEIFS('Data(perCrop)'!$D:$D,'Data(perCrop)'!$B:$B,AB$12,'Data(perCrop)'!$H:$H,$A$1,'Data(perCrop)'!$O:$O,$A14),"")</f>
        <v/>
      </c>
      <c r="AC14" s="46" t="str">
        <f>IFERROR(AVERAGEIFS('Data(perCrop)'!$D:$D,'Data(perCrop)'!$B:$B,AC$12,'Data(perCrop)'!$H:$H,$A$1,'Data(perCrop)'!$O:$O,$A14),"")</f>
        <v/>
      </c>
      <c r="AD14" s="46" t="str">
        <f>IFERROR(AVERAGEIFS('Data(perCrop)'!$D:$D,'Data(perCrop)'!$B:$B,AD$12,'Data(perCrop)'!$H:$H,$A$1,'Data(perCrop)'!$O:$O,$A14),"")</f>
        <v/>
      </c>
      <c r="AE14" s="46" t="str">
        <f>IFERROR(AVERAGEIFS('Data(perCrop)'!$D:$D,'Data(perCrop)'!$B:$B,AE$12,'Data(perCrop)'!$H:$H,$A$1,'Data(perCrop)'!$O:$O,$A14),"")</f>
        <v/>
      </c>
      <c r="AF14" s="46" t="str">
        <f>IFERROR(AVERAGEIFS('Data(perCrop)'!$D:$D,'Data(perCrop)'!$B:$B,AF$12,'Data(perCrop)'!$H:$H,$A$1,'Data(perCrop)'!$O:$O,$A14),"")</f>
        <v/>
      </c>
    </row>
    <row r="15" spans="1:40" ht="18.75" x14ac:dyDescent="0.3">
      <c r="A15" s="42">
        <v>2019</v>
      </c>
      <c r="B15" s="46" t="str">
        <f>IFERROR(AVERAGEIFS('Data(perCrop)'!$D:$D,'Data(perCrop)'!$B:$B,B$12,'Data(perCrop)'!$H:$H,$A$1,'Data(perCrop)'!$O:$O,$A15),"")</f>
        <v/>
      </c>
      <c r="C15" s="46">
        <f>IFERROR(AVERAGEIFS('Data(perCrop)'!$D:$D,'Data(perCrop)'!$B:$B,C$12,'Data(perCrop)'!$H:$H,$A$1,'Data(perCrop)'!$O:$O,$A15),"")</f>
        <v>416</v>
      </c>
      <c r="D15" s="46" t="str">
        <f>IFERROR(AVERAGEIFS('Data(perCrop)'!$D:$D,'Data(perCrop)'!$B:$B,D$12,'Data(perCrop)'!$H:$H,$A$1,'Data(perCrop)'!$O:$O,$A15),"")</f>
        <v/>
      </c>
      <c r="E15" s="46" t="str">
        <f>IFERROR(AVERAGEIFS('Data(perCrop)'!$D:$D,'Data(perCrop)'!$B:$B,E$12,'Data(perCrop)'!$H:$H,$A$1,'Data(perCrop)'!$O:$O,$A15),"")</f>
        <v/>
      </c>
      <c r="F15" s="46" t="str">
        <f>IFERROR(AVERAGEIFS('Data(perCrop)'!$D:$D,'Data(perCrop)'!$B:$B,F$12,'Data(perCrop)'!$H:$H,$A$1,'Data(perCrop)'!$O:$O,$A15),"")</f>
        <v/>
      </c>
      <c r="G15" s="46" t="str">
        <f>IFERROR(AVERAGEIFS('Data(perCrop)'!$D:$D,'Data(perCrop)'!$B:$B,G$12,'Data(perCrop)'!$H:$H,$A$1,'Data(perCrop)'!$O:$O,$A15),"")</f>
        <v/>
      </c>
      <c r="H15" s="46" t="str">
        <f>IFERROR(AVERAGEIFS('Data(perCrop)'!$D:$D,'Data(perCrop)'!$B:$B,H$12,'Data(perCrop)'!$H:$H,$A$1,'Data(perCrop)'!$O:$O,$A15),"")</f>
        <v/>
      </c>
      <c r="I15" s="46" t="str">
        <f>IFERROR(AVERAGEIFS('Data(perCrop)'!$D:$D,'Data(perCrop)'!$B:$B,I$12,'Data(perCrop)'!$H:$H,$A$1,'Data(perCrop)'!$O:$O,$A15),"")</f>
        <v/>
      </c>
      <c r="J15" s="46" t="str">
        <f>IFERROR(AVERAGEIFS('Data(perCrop)'!$D:$D,'Data(perCrop)'!$B:$B,J$12,'Data(perCrop)'!$H:$H,$A$1,'Data(perCrop)'!$O:$O,$A15),"")</f>
        <v/>
      </c>
      <c r="K15" s="46" t="str">
        <f>IFERROR(AVERAGEIFS('Data(perCrop)'!$D:$D,'Data(perCrop)'!$B:$B,K$12,'Data(perCrop)'!$H:$H,$A$1,'Data(perCrop)'!$O:$O,$A15),"")</f>
        <v/>
      </c>
      <c r="L15" s="46" t="str">
        <f>IFERROR(AVERAGEIFS('Data(perCrop)'!$D:$D,'Data(perCrop)'!$B:$B,L$12,'Data(perCrop)'!$H:$H,$A$1,'Data(perCrop)'!$O:$O,$A15),"")</f>
        <v/>
      </c>
      <c r="M15" s="46" t="str">
        <f>IFERROR(AVERAGEIFS('Data(perCrop)'!$D:$D,'Data(perCrop)'!$B:$B,M$12,'Data(perCrop)'!$H:$H,$A$1,'Data(perCrop)'!$O:$O,$A15),"")</f>
        <v/>
      </c>
      <c r="N15" s="46" t="str">
        <f>IFERROR(AVERAGEIFS('Data(perCrop)'!$D:$D,'Data(perCrop)'!$B:$B,N$12,'Data(perCrop)'!$H:$H,$A$1,'Data(perCrop)'!$O:$O,$A15),"")</f>
        <v/>
      </c>
      <c r="O15" s="46">
        <f>IFERROR(AVERAGEIFS('Data(perCrop)'!$D:$D,'Data(perCrop)'!$B:$B,O$12,'Data(perCrop)'!$H:$H,$A$1,'Data(perCrop)'!$O:$O,$A15),"")</f>
        <v>477</v>
      </c>
      <c r="P15" s="46">
        <f>IFERROR(AVERAGEIFS('Data(perCrop)'!$D:$D,'Data(perCrop)'!$B:$B,P$12,'Data(perCrop)'!$H:$H,$A$1,'Data(perCrop)'!$O:$O,$A15),"")</f>
        <v>345</v>
      </c>
      <c r="Q15" s="46" t="str">
        <f>IFERROR(AVERAGEIFS('Data(perCrop)'!$D:$D,'Data(perCrop)'!$B:$B,Q$12,'Data(perCrop)'!$H:$H,$A$1,'Data(perCrop)'!$O:$O,$A15),"")</f>
        <v/>
      </c>
      <c r="R15" s="46">
        <f>IFERROR(AVERAGEIFS('Data(perCrop)'!$D:$D,'Data(perCrop)'!$B:$B,R$12,'Data(perCrop)'!$H:$H,$A$1,'Data(perCrop)'!$O:$O,$A15),"")</f>
        <v>535</v>
      </c>
      <c r="S15" s="46" t="str">
        <f>IFERROR(AVERAGEIFS('Data(perCrop)'!$D:$D,'Data(perCrop)'!$B:$B,S$12,'Data(perCrop)'!$H:$H,$A$1,'Data(perCrop)'!$O:$O,$A15),"")</f>
        <v/>
      </c>
      <c r="T15" s="46" t="str">
        <f>IFERROR(AVERAGEIFS('Data(perCrop)'!$D:$D,'Data(perCrop)'!$B:$B,T$12,'Data(perCrop)'!$H:$H,$A$1,'Data(perCrop)'!$O:$O,$A15),"")</f>
        <v/>
      </c>
      <c r="U15" s="46">
        <f>IFERROR(AVERAGEIFS('Data(perCrop)'!$D:$D,'Data(perCrop)'!$B:$B,U$12,'Data(perCrop)'!$H:$H,$A$1,'Data(perCrop)'!$O:$O,$A15),"")</f>
        <v>839</v>
      </c>
      <c r="V15" s="46" t="str">
        <f>IFERROR(AVERAGEIFS('Data(perCrop)'!$D:$D,'Data(perCrop)'!$B:$B,V$12,'Data(perCrop)'!$H:$H,$A$1,'Data(perCrop)'!$O:$O,$A15),"")</f>
        <v/>
      </c>
      <c r="W15" s="46" t="str">
        <f>IFERROR(AVERAGEIFS('Data(perCrop)'!$D:$D,'Data(perCrop)'!$B:$B,W$12,'Data(perCrop)'!$H:$H,$A$1,'Data(perCrop)'!$O:$O,$A15),"")</f>
        <v/>
      </c>
      <c r="X15" s="46" t="str">
        <f>IFERROR(AVERAGEIFS('Data(perCrop)'!$D:$D,'Data(perCrop)'!$B:$B,X$12,'Data(perCrop)'!$H:$H,$A$1,'Data(perCrop)'!$O:$O,$A15),"")</f>
        <v/>
      </c>
      <c r="Y15" s="46" t="str">
        <f>IFERROR(AVERAGEIFS('Data(perCrop)'!$D:$D,'Data(perCrop)'!$B:$B,Y$12,'Data(perCrop)'!$H:$H,$A$1,'Data(perCrop)'!$O:$O,$A15),"")</f>
        <v/>
      </c>
      <c r="Z15" s="46" t="str">
        <f>IFERROR(AVERAGEIFS('Data(perCrop)'!$D:$D,'Data(perCrop)'!$B:$B,Z$12,'Data(perCrop)'!$H:$H,$A$1,'Data(perCrop)'!$O:$O,$A15),"")</f>
        <v/>
      </c>
      <c r="AA15" s="46" t="str">
        <f>IFERROR(AVERAGEIFS('Data(perCrop)'!$D:$D,'Data(perCrop)'!$B:$B,AA$12,'Data(perCrop)'!$H:$H,$A$1,'Data(perCrop)'!$O:$O,$A15),"")</f>
        <v/>
      </c>
      <c r="AB15" s="46" t="str">
        <f>IFERROR(AVERAGEIFS('Data(perCrop)'!$D:$D,'Data(perCrop)'!$B:$B,AB$12,'Data(perCrop)'!$H:$H,$A$1,'Data(perCrop)'!$O:$O,$A15),"")</f>
        <v/>
      </c>
      <c r="AC15" s="46" t="str">
        <f>IFERROR(AVERAGEIFS('Data(perCrop)'!$D:$D,'Data(perCrop)'!$B:$B,AC$12,'Data(perCrop)'!$H:$H,$A$1,'Data(perCrop)'!$O:$O,$A15),"")</f>
        <v/>
      </c>
      <c r="AD15" s="46" t="str">
        <f>IFERROR(AVERAGEIFS('Data(perCrop)'!$D:$D,'Data(perCrop)'!$B:$B,AD$12,'Data(perCrop)'!$H:$H,$A$1,'Data(perCrop)'!$O:$O,$A15),"")</f>
        <v/>
      </c>
      <c r="AE15" s="46" t="str">
        <f>IFERROR(AVERAGEIFS('Data(perCrop)'!$D:$D,'Data(perCrop)'!$B:$B,AE$12,'Data(perCrop)'!$H:$H,$A$1,'Data(perCrop)'!$O:$O,$A15),"")</f>
        <v/>
      </c>
      <c r="AF15" s="46" t="str">
        <f>IFERROR(AVERAGEIFS('Data(perCrop)'!$D:$D,'Data(perCrop)'!$B:$B,AF$12,'Data(perCrop)'!$H:$H,$A$1,'Data(perCrop)'!$O:$O,$A15),"")</f>
        <v/>
      </c>
    </row>
    <row r="16" spans="1:40" ht="18.75" x14ac:dyDescent="0.3">
      <c r="A16" s="42">
        <v>2020</v>
      </c>
      <c r="B16" s="46" t="str">
        <f>IFERROR(AVERAGEIFS('Data(perCrop)'!$D:$D,'Data(perCrop)'!$B:$B,B$12,'Data(perCrop)'!$H:$H,$A$1,'Data(perCrop)'!$O:$O,$A16),"")</f>
        <v/>
      </c>
      <c r="C16" s="46">
        <f>IFERROR(AVERAGEIFS('Data(perCrop)'!$D:$D,'Data(perCrop)'!$B:$B,C$12,'Data(perCrop)'!$H:$H,$A$1,'Data(perCrop)'!$O:$O,$A16),"")</f>
        <v>453</v>
      </c>
      <c r="D16" s="46" t="str">
        <f>IFERROR(AVERAGEIFS('Data(perCrop)'!$D:$D,'Data(perCrop)'!$B:$B,D$12,'Data(perCrop)'!$H:$H,$A$1,'Data(perCrop)'!$O:$O,$A16),"")</f>
        <v/>
      </c>
      <c r="E16" s="46" t="str">
        <f>IFERROR(AVERAGEIFS('Data(perCrop)'!$D:$D,'Data(perCrop)'!$B:$B,E$12,'Data(perCrop)'!$H:$H,$A$1,'Data(perCrop)'!$O:$O,$A16),"")</f>
        <v/>
      </c>
      <c r="F16" s="46" t="str">
        <f>IFERROR(AVERAGEIFS('Data(perCrop)'!$D:$D,'Data(perCrop)'!$B:$B,F$12,'Data(perCrop)'!$H:$H,$A$1,'Data(perCrop)'!$O:$O,$A16),"")</f>
        <v/>
      </c>
      <c r="G16" s="46" t="str">
        <f>IFERROR(AVERAGEIFS('Data(perCrop)'!$D:$D,'Data(perCrop)'!$B:$B,G$12,'Data(perCrop)'!$H:$H,$A$1,'Data(perCrop)'!$O:$O,$A16),"")</f>
        <v/>
      </c>
      <c r="H16" s="46" t="str">
        <f>IFERROR(AVERAGEIFS('Data(perCrop)'!$D:$D,'Data(perCrop)'!$B:$B,H$12,'Data(perCrop)'!$H:$H,$A$1,'Data(perCrop)'!$O:$O,$A16),"")</f>
        <v/>
      </c>
      <c r="I16" s="46" t="str">
        <f>IFERROR(AVERAGEIFS('Data(perCrop)'!$D:$D,'Data(perCrop)'!$B:$B,I$12,'Data(perCrop)'!$H:$H,$A$1,'Data(perCrop)'!$O:$O,$A16),"")</f>
        <v/>
      </c>
      <c r="J16" s="46" t="str">
        <f>IFERROR(AVERAGEIFS('Data(perCrop)'!$D:$D,'Data(perCrop)'!$B:$B,J$12,'Data(perCrop)'!$H:$H,$A$1,'Data(perCrop)'!$O:$O,$A16),"")</f>
        <v/>
      </c>
      <c r="K16" s="46" t="str">
        <f>IFERROR(AVERAGEIFS('Data(perCrop)'!$D:$D,'Data(perCrop)'!$B:$B,K$12,'Data(perCrop)'!$H:$H,$A$1,'Data(perCrop)'!$O:$O,$A16),"")</f>
        <v/>
      </c>
      <c r="L16" s="46" t="str">
        <f>IFERROR(AVERAGEIFS('Data(perCrop)'!$D:$D,'Data(perCrop)'!$B:$B,L$12,'Data(perCrop)'!$H:$H,$A$1,'Data(perCrop)'!$O:$O,$A16),"")</f>
        <v/>
      </c>
      <c r="M16" s="46" t="str">
        <f>IFERROR(AVERAGEIFS('Data(perCrop)'!$D:$D,'Data(perCrop)'!$B:$B,M$12,'Data(perCrop)'!$H:$H,$A$1,'Data(perCrop)'!$O:$O,$A16),"")</f>
        <v/>
      </c>
      <c r="N16" s="46" t="str">
        <f>IFERROR(AVERAGEIFS('Data(perCrop)'!$D:$D,'Data(perCrop)'!$B:$B,N$12,'Data(perCrop)'!$H:$H,$A$1,'Data(perCrop)'!$O:$O,$A16),"")</f>
        <v/>
      </c>
      <c r="O16" s="46">
        <f>IFERROR(AVERAGEIFS('Data(perCrop)'!$D:$D,'Data(perCrop)'!$B:$B,O$12,'Data(perCrop)'!$H:$H,$A$1,'Data(perCrop)'!$O:$O,$A16),"")</f>
        <v>425</v>
      </c>
      <c r="P16" s="46">
        <f>IFERROR(AVERAGEIFS('Data(perCrop)'!$D:$D,'Data(perCrop)'!$B:$B,P$12,'Data(perCrop)'!$H:$H,$A$1,'Data(perCrop)'!$O:$O,$A16),"")</f>
        <v>313</v>
      </c>
      <c r="Q16" s="46" t="str">
        <f>IFERROR(AVERAGEIFS('Data(perCrop)'!$D:$D,'Data(perCrop)'!$B:$B,Q$12,'Data(perCrop)'!$H:$H,$A$1,'Data(perCrop)'!$O:$O,$A16),"")</f>
        <v/>
      </c>
      <c r="R16" s="46">
        <f>IFERROR(AVERAGEIFS('Data(perCrop)'!$D:$D,'Data(perCrop)'!$B:$B,R$12,'Data(perCrop)'!$H:$H,$A$1,'Data(perCrop)'!$O:$O,$A16),"")</f>
        <v>562</v>
      </c>
      <c r="S16" s="46" t="str">
        <f>IFERROR(AVERAGEIFS('Data(perCrop)'!$D:$D,'Data(perCrop)'!$B:$B,S$12,'Data(perCrop)'!$H:$H,$A$1,'Data(perCrop)'!$O:$O,$A16),"")</f>
        <v/>
      </c>
      <c r="T16" s="46" t="str">
        <f>IFERROR(AVERAGEIFS('Data(perCrop)'!$D:$D,'Data(perCrop)'!$B:$B,T$12,'Data(perCrop)'!$H:$H,$A$1,'Data(perCrop)'!$O:$O,$A16),"")</f>
        <v/>
      </c>
      <c r="U16" s="46">
        <f>IFERROR(AVERAGEIFS('Data(perCrop)'!$D:$D,'Data(perCrop)'!$B:$B,U$12,'Data(perCrop)'!$H:$H,$A$1,'Data(perCrop)'!$O:$O,$A16),"")</f>
        <v>888</v>
      </c>
      <c r="V16" s="46" t="str">
        <f>IFERROR(AVERAGEIFS('Data(perCrop)'!$D:$D,'Data(perCrop)'!$B:$B,V$12,'Data(perCrop)'!$H:$H,$A$1,'Data(perCrop)'!$O:$O,$A16),"")</f>
        <v/>
      </c>
      <c r="W16" s="46" t="str">
        <f>IFERROR(AVERAGEIFS('Data(perCrop)'!$D:$D,'Data(perCrop)'!$B:$B,W$12,'Data(perCrop)'!$H:$H,$A$1,'Data(perCrop)'!$O:$O,$A16),"")</f>
        <v/>
      </c>
      <c r="X16" s="46" t="str">
        <f>IFERROR(AVERAGEIFS('Data(perCrop)'!$D:$D,'Data(perCrop)'!$B:$B,X$12,'Data(perCrop)'!$H:$H,$A$1,'Data(perCrop)'!$O:$O,$A16),"")</f>
        <v/>
      </c>
      <c r="Y16" s="46" t="str">
        <f>IFERROR(AVERAGEIFS('Data(perCrop)'!$D:$D,'Data(perCrop)'!$B:$B,Y$12,'Data(perCrop)'!$H:$H,$A$1,'Data(perCrop)'!$O:$O,$A16),"")</f>
        <v/>
      </c>
      <c r="Z16" s="46" t="str">
        <f>IFERROR(AVERAGEIFS('Data(perCrop)'!$D:$D,'Data(perCrop)'!$B:$B,Z$12,'Data(perCrop)'!$H:$H,$A$1,'Data(perCrop)'!$O:$O,$A16),"")</f>
        <v/>
      </c>
      <c r="AA16" s="46" t="str">
        <f>IFERROR(AVERAGEIFS('Data(perCrop)'!$D:$D,'Data(perCrop)'!$B:$B,AA$12,'Data(perCrop)'!$H:$H,$A$1,'Data(perCrop)'!$O:$O,$A16),"")</f>
        <v/>
      </c>
      <c r="AB16" s="46" t="str">
        <f>IFERROR(AVERAGEIFS('Data(perCrop)'!$D:$D,'Data(perCrop)'!$B:$B,AB$12,'Data(perCrop)'!$H:$H,$A$1,'Data(perCrop)'!$O:$O,$A16),"")</f>
        <v/>
      </c>
      <c r="AC16" s="46" t="str">
        <f>IFERROR(AVERAGEIFS('Data(perCrop)'!$D:$D,'Data(perCrop)'!$B:$B,AC$12,'Data(perCrop)'!$H:$H,$A$1,'Data(perCrop)'!$O:$O,$A16),"")</f>
        <v/>
      </c>
      <c r="AD16" s="46" t="str">
        <f>IFERROR(AVERAGEIFS('Data(perCrop)'!$D:$D,'Data(perCrop)'!$B:$B,AD$12,'Data(perCrop)'!$H:$H,$A$1,'Data(perCrop)'!$O:$O,$A16),"")</f>
        <v/>
      </c>
      <c r="AE16" s="46" t="str">
        <f>IFERROR(AVERAGEIFS('Data(perCrop)'!$D:$D,'Data(perCrop)'!$B:$B,AE$12,'Data(perCrop)'!$H:$H,$A$1,'Data(perCrop)'!$O:$O,$A16),"")</f>
        <v/>
      </c>
      <c r="AF16" s="46" t="str">
        <f>IFERROR(AVERAGEIFS('Data(perCrop)'!$D:$D,'Data(perCrop)'!$B:$B,AF$12,'Data(perCrop)'!$H:$H,$A$1,'Data(perCrop)'!$O:$O,$A16),"")</f>
        <v/>
      </c>
    </row>
    <row r="17" spans="1:32" ht="18.75" x14ac:dyDescent="0.3">
      <c r="A17" s="42">
        <v>2021</v>
      </c>
      <c r="B17" s="46" t="str">
        <f>IFERROR(AVERAGEIFS('Data(perCrop)'!$D:$D,'Data(perCrop)'!$B:$B,B$12,'Data(perCrop)'!$H:$H,$A$1,'Data(perCrop)'!$O:$O,$A17),"")</f>
        <v/>
      </c>
      <c r="C17" s="46">
        <f>IFERROR(AVERAGEIFS('Data(perCrop)'!$D:$D,'Data(perCrop)'!$B:$B,C$12,'Data(perCrop)'!$H:$H,$A$1,'Data(perCrop)'!$O:$O,$A17),"")</f>
        <v>414</v>
      </c>
      <c r="D17" s="46" t="str">
        <f>IFERROR(AVERAGEIFS('Data(perCrop)'!$D:$D,'Data(perCrop)'!$B:$B,D$12,'Data(perCrop)'!$H:$H,$A$1,'Data(perCrop)'!$O:$O,$A17),"")</f>
        <v/>
      </c>
      <c r="E17" s="46" t="str">
        <f>IFERROR(AVERAGEIFS('Data(perCrop)'!$D:$D,'Data(perCrop)'!$B:$B,E$12,'Data(perCrop)'!$H:$H,$A$1,'Data(perCrop)'!$O:$O,$A17),"")</f>
        <v/>
      </c>
      <c r="F17" s="46" t="str">
        <f>IFERROR(AVERAGEIFS('Data(perCrop)'!$D:$D,'Data(perCrop)'!$B:$B,F$12,'Data(perCrop)'!$H:$H,$A$1,'Data(perCrop)'!$O:$O,$A17),"")</f>
        <v/>
      </c>
      <c r="G17" s="46" t="str">
        <f>IFERROR(AVERAGEIFS('Data(perCrop)'!$D:$D,'Data(perCrop)'!$B:$B,G$12,'Data(perCrop)'!$H:$H,$A$1,'Data(perCrop)'!$O:$O,$A17),"")</f>
        <v/>
      </c>
      <c r="H17" s="46" t="str">
        <f>IFERROR(AVERAGEIFS('Data(perCrop)'!$D:$D,'Data(perCrop)'!$B:$B,H$12,'Data(perCrop)'!$H:$H,$A$1,'Data(perCrop)'!$O:$O,$A17),"")</f>
        <v/>
      </c>
      <c r="I17" s="46" t="str">
        <f>IFERROR(AVERAGEIFS('Data(perCrop)'!$D:$D,'Data(perCrop)'!$B:$B,I$12,'Data(perCrop)'!$H:$H,$A$1,'Data(perCrop)'!$O:$O,$A17),"")</f>
        <v/>
      </c>
      <c r="J17" s="46" t="str">
        <f>IFERROR(AVERAGEIFS('Data(perCrop)'!$D:$D,'Data(perCrop)'!$B:$B,J$12,'Data(perCrop)'!$H:$H,$A$1,'Data(perCrop)'!$O:$O,$A17),"")</f>
        <v/>
      </c>
      <c r="K17" s="46" t="str">
        <f>IFERROR(AVERAGEIFS('Data(perCrop)'!$D:$D,'Data(perCrop)'!$B:$B,K$12,'Data(perCrop)'!$H:$H,$A$1,'Data(perCrop)'!$O:$O,$A17),"")</f>
        <v/>
      </c>
      <c r="L17" s="46" t="str">
        <f>IFERROR(AVERAGEIFS('Data(perCrop)'!$D:$D,'Data(perCrop)'!$B:$B,L$12,'Data(perCrop)'!$H:$H,$A$1,'Data(perCrop)'!$O:$O,$A17),"")</f>
        <v/>
      </c>
      <c r="M17" s="46" t="str">
        <f>IFERROR(AVERAGEIFS('Data(perCrop)'!$D:$D,'Data(perCrop)'!$B:$B,M$12,'Data(perCrop)'!$H:$H,$A$1,'Data(perCrop)'!$O:$O,$A17),"")</f>
        <v/>
      </c>
      <c r="N17" s="46" t="str">
        <f>IFERROR(AVERAGEIFS('Data(perCrop)'!$D:$D,'Data(perCrop)'!$B:$B,N$12,'Data(perCrop)'!$H:$H,$A$1,'Data(perCrop)'!$O:$O,$A17),"")</f>
        <v/>
      </c>
      <c r="O17" s="46">
        <f>IFERROR(AVERAGEIFS('Data(perCrop)'!$D:$D,'Data(perCrop)'!$B:$B,O$12,'Data(perCrop)'!$H:$H,$A$1,'Data(perCrop)'!$O:$O,$A17),"")</f>
        <v>471</v>
      </c>
      <c r="P17" s="46">
        <f>IFERROR(AVERAGEIFS('Data(perCrop)'!$D:$D,'Data(perCrop)'!$B:$B,P$12,'Data(perCrop)'!$H:$H,$A$1,'Data(perCrop)'!$O:$O,$A17),"")</f>
        <v>276</v>
      </c>
      <c r="Q17" s="46" t="str">
        <f>IFERROR(AVERAGEIFS('Data(perCrop)'!$D:$D,'Data(perCrop)'!$B:$B,Q$12,'Data(perCrop)'!$H:$H,$A$1,'Data(perCrop)'!$O:$O,$A17),"")</f>
        <v/>
      </c>
      <c r="R17" s="46">
        <f>IFERROR(AVERAGEIFS('Data(perCrop)'!$D:$D,'Data(perCrop)'!$B:$B,R$12,'Data(perCrop)'!$H:$H,$A$1,'Data(perCrop)'!$O:$O,$A17),"")</f>
        <v>461</v>
      </c>
      <c r="S17" s="46" t="str">
        <f>IFERROR(AVERAGEIFS('Data(perCrop)'!$D:$D,'Data(perCrop)'!$B:$B,S$12,'Data(perCrop)'!$H:$H,$A$1,'Data(perCrop)'!$O:$O,$A17),"")</f>
        <v/>
      </c>
      <c r="T17" s="46" t="str">
        <f>IFERROR(AVERAGEIFS('Data(perCrop)'!$D:$D,'Data(perCrop)'!$B:$B,T$12,'Data(perCrop)'!$H:$H,$A$1,'Data(perCrop)'!$O:$O,$A17),"")</f>
        <v/>
      </c>
      <c r="U17" s="46">
        <f>IFERROR(AVERAGEIFS('Data(perCrop)'!$D:$D,'Data(perCrop)'!$B:$B,U$12,'Data(perCrop)'!$H:$H,$A$1,'Data(perCrop)'!$O:$O,$A17),"")</f>
        <v>871</v>
      </c>
      <c r="V17" s="46" t="str">
        <f>IFERROR(AVERAGEIFS('Data(perCrop)'!$D:$D,'Data(perCrop)'!$B:$B,V$12,'Data(perCrop)'!$H:$H,$A$1,'Data(perCrop)'!$O:$O,$A17),"")</f>
        <v/>
      </c>
      <c r="W17" s="46" t="str">
        <f>IFERROR(AVERAGEIFS('Data(perCrop)'!$D:$D,'Data(perCrop)'!$B:$B,W$12,'Data(perCrop)'!$H:$H,$A$1,'Data(perCrop)'!$O:$O,$A17),"")</f>
        <v/>
      </c>
      <c r="X17" s="46" t="str">
        <f>IFERROR(AVERAGEIFS('Data(perCrop)'!$D:$D,'Data(perCrop)'!$B:$B,X$12,'Data(perCrop)'!$H:$H,$A$1,'Data(perCrop)'!$O:$O,$A17),"")</f>
        <v/>
      </c>
      <c r="Y17" s="46" t="str">
        <f>IFERROR(AVERAGEIFS('Data(perCrop)'!$D:$D,'Data(perCrop)'!$B:$B,Y$12,'Data(perCrop)'!$H:$H,$A$1,'Data(perCrop)'!$O:$O,$A17),"")</f>
        <v/>
      </c>
      <c r="Z17" s="46" t="str">
        <f>IFERROR(AVERAGEIFS('Data(perCrop)'!$D:$D,'Data(perCrop)'!$B:$B,Z$12,'Data(perCrop)'!$H:$H,$A$1,'Data(perCrop)'!$O:$O,$A17),"")</f>
        <v/>
      </c>
      <c r="AA17" s="46" t="str">
        <f>IFERROR(AVERAGEIFS('Data(perCrop)'!$D:$D,'Data(perCrop)'!$B:$B,AA$12,'Data(perCrop)'!$H:$H,$A$1,'Data(perCrop)'!$O:$O,$A17),"")</f>
        <v/>
      </c>
      <c r="AB17" s="46" t="str">
        <f>IFERROR(AVERAGEIFS('Data(perCrop)'!$D:$D,'Data(perCrop)'!$B:$B,AB$12,'Data(perCrop)'!$H:$H,$A$1,'Data(perCrop)'!$O:$O,$A17),"")</f>
        <v/>
      </c>
      <c r="AC17" s="46" t="str">
        <f>IFERROR(AVERAGEIFS('Data(perCrop)'!$D:$D,'Data(perCrop)'!$B:$B,AC$12,'Data(perCrop)'!$H:$H,$A$1,'Data(perCrop)'!$O:$O,$A17),"")</f>
        <v/>
      </c>
      <c r="AD17" s="46" t="str">
        <f>IFERROR(AVERAGEIFS('Data(perCrop)'!$D:$D,'Data(perCrop)'!$B:$B,AD$12,'Data(perCrop)'!$H:$H,$A$1,'Data(perCrop)'!$O:$O,$A17),"")</f>
        <v/>
      </c>
      <c r="AE17" s="46" t="str">
        <f>IFERROR(AVERAGEIFS('Data(perCrop)'!$D:$D,'Data(perCrop)'!$B:$B,AE$12,'Data(perCrop)'!$H:$H,$A$1,'Data(perCrop)'!$O:$O,$A17),"")</f>
        <v/>
      </c>
      <c r="AF17" s="46" t="str">
        <f>IFERROR(AVERAGEIFS('Data(perCrop)'!$D:$D,'Data(perCrop)'!$B:$B,AF$12,'Data(perCrop)'!$H:$H,$A$1,'Data(perCrop)'!$O:$O,$A17),"")</f>
        <v/>
      </c>
    </row>
    <row r="18" spans="1:32" ht="18.75" x14ac:dyDescent="0.3">
      <c r="A18" s="42">
        <v>2022</v>
      </c>
      <c r="B18" s="46" t="str">
        <f>IFERROR(AVERAGEIFS('Data(perCrop)'!$D:$D,'Data(perCrop)'!$B:$B,B$12,'Data(perCrop)'!$H:$H,$A$1,'Data(perCrop)'!$O:$O,$A18),"")</f>
        <v/>
      </c>
      <c r="C18" s="46">
        <f>IFERROR(AVERAGEIFS('Data(perCrop)'!$D:$D,'Data(perCrop)'!$B:$B,C$12,'Data(perCrop)'!$H:$H,$A$1,'Data(perCrop)'!$O:$O,$A18),"")</f>
        <v>445</v>
      </c>
      <c r="D18" s="46" t="str">
        <f>IFERROR(AVERAGEIFS('Data(perCrop)'!$D:$D,'Data(perCrop)'!$B:$B,D$12,'Data(perCrop)'!$H:$H,$A$1,'Data(perCrop)'!$O:$O,$A18),"")</f>
        <v/>
      </c>
      <c r="E18" s="46" t="str">
        <f>IFERROR(AVERAGEIFS('Data(perCrop)'!$D:$D,'Data(perCrop)'!$B:$B,E$12,'Data(perCrop)'!$H:$H,$A$1,'Data(perCrop)'!$O:$O,$A18),"")</f>
        <v/>
      </c>
      <c r="F18" s="46" t="str">
        <f>IFERROR(AVERAGEIFS('Data(perCrop)'!$D:$D,'Data(perCrop)'!$B:$B,F$12,'Data(perCrop)'!$H:$H,$A$1,'Data(perCrop)'!$O:$O,$A18),"")</f>
        <v/>
      </c>
      <c r="G18" s="46" t="str">
        <f>IFERROR(AVERAGEIFS('Data(perCrop)'!$D:$D,'Data(perCrop)'!$B:$B,G$12,'Data(perCrop)'!$H:$H,$A$1,'Data(perCrop)'!$O:$O,$A18),"")</f>
        <v/>
      </c>
      <c r="H18" s="46" t="str">
        <f>IFERROR(AVERAGEIFS('Data(perCrop)'!$D:$D,'Data(perCrop)'!$B:$B,H$12,'Data(perCrop)'!$H:$H,$A$1,'Data(perCrop)'!$O:$O,$A18),"")</f>
        <v/>
      </c>
      <c r="I18" s="46" t="str">
        <f>IFERROR(AVERAGEIFS('Data(perCrop)'!$D:$D,'Data(perCrop)'!$B:$B,I$12,'Data(perCrop)'!$H:$H,$A$1,'Data(perCrop)'!$O:$O,$A18),"")</f>
        <v/>
      </c>
      <c r="J18" s="46" t="str">
        <f>IFERROR(AVERAGEIFS('Data(perCrop)'!$D:$D,'Data(perCrop)'!$B:$B,J$12,'Data(perCrop)'!$H:$H,$A$1,'Data(perCrop)'!$O:$O,$A18),"")</f>
        <v/>
      </c>
      <c r="K18" s="46" t="str">
        <f>IFERROR(AVERAGEIFS('Data(perCrop)'!$D:$D,'Data(perCrop)'!$B:$B,K$12,'Data(perCrop)'!$H:$H,$A$1,'Data(perCrop)'!$O:$O,$A18),"")</f>
        <v/>
      </c>
      <c r="L18" s="46" t="str">
        <f>IFERROR(AVERAGEIFS('Data(perCrop)'!$D:$D,'Data(perCrop)'!$B:$B,L$12,'Data(perCrop)'!$H:$H,$A$1,'Data(perCrop)'!$O:$O,$A18),"")</f>
        <v/>
      </c>
      <c r="M18" s="46" t="str">
        <f>IFERROR(AVERAGEIFS('Data(perCrop)'!$D:$D,'Data(perCrop)'!$B:$B,M$12,'Data(perCrop)'!$H:$H,$A$1,'Data(perCrop)'!$O:$O,$A18),"")</f>
        <v/>
      </c>
      <c r="N18" s="46" t="str">
        <f>IFERROR(AVERAGEIFS('Data(perCrop)'!$D:$D,'Data(perCrop)'!$B:$B,N$12,'Data(perCrop)'!$H:$H,$A$1,'Data(perCrop)'!$O:$O,$A18),"")</f>
        <v/>
      </c>
      <c r="O18" s="46">
        <f>IFERROR(AVERAGEIFS('Data(perCrop)'!$D:$D,'Data(perCrop)'!$B:$B,O$12,'Data(perCrop)'!$H:$H,$A$1,'Data(perCrop)'!$O:$O,$A18),"")</f>
        <v>451</v>
      </c>
      <c r="P18" s="46">
        <f>IFERROR(AVERAGEIFS('Data(perCrop)'!$D:$D,'Data(perCrop)'!$B:$B,P$12,'Data(perCrop)'!$H:$H,$A$1,'Data(perCrop)'!$O:$O,$A18),"")</f>
        <v>296</v>
      </c>
      <c r="Q18" s="46" t="str">
        <f>IFERROR(AVERAGEIFS('Data(perCrop)'!$D:$D,'Data(perCrop)'!$B:$B,Q$12,'Data(perCrop)'!$H:$H,$A$1,'Data(perCrop)'!$O:$O,$A18),"")</f>
        <v/>
      </c>
      <c r="R18" s="46">
        <f>IFERROR(AVERAGEIFS('Data(perCrop)'!$D:$D,'Data(perCrop)'!$B:$B,R$12,'Data(perCrop)'!$H:$H,$A$1,'Data(perCrop)'!$O:$O,$A18),"")</f>
        <v>546</v>
      </c>
      <c r="S18" s="46" t="str">
        <f>IFERROR(AVERAGEIFS('Data(perCrop)'!$D:$D,'Data(perCrop)'!$B:$B,S$12,'Data(perCrop)'!$H:$H,$A$1,'Data(perCrop)'!$O:$O,$A18),"")</f>
        <v/>
      </c>
      <c r="T18" s="46" t="str">
        <f>IFERROR(AVERAGEIFS('Data(perCrop)'!$D:$D,'Data(perCrop)'!$B:$B,T$12,'Data(perCrop)'!$H:$H,$A$1,'Data(perCrop)'!$O:$O,$A18),"")</f>
        <v/>
      </c>
      <c r="U18" s="46">
        <f>IFERROR(AVERAGEIFS('Data(perCrop)'!$D:$D,'Data(perCrop)'!$B:$B,U$12,'Data(perCrop)'!$H:$H,$A$1,'Data(perCrop)'!$O:$O,$A18),"")</f>
        <v>854</v>
      </c>
      <c r="V18" s="46" t="str">
        <f>IFERROR(AVERAGEIFS('Data(perCrop)'!$D:$D,'Data(perCrop)'!$B:$B,V$12,'Data(perCrop)'!$H:$H,$A$1,'Data(perCrop)'!$O:$O,$A18),"")</f>
        <v/>
      </c>
      <c r="W18" s="46" t="str">
        <f>IFERROR(AVERAGEIFS('Data(perCrop)'!$D:$D,'Data(perCrop)'!$B:$B,W$12,'Data(perCrop)'!$H:$H,$A$1,'Data(perCrop)'!$O:$O,$A18),"")</f>
        <v/>
      </c>
      <c r="X18" s="46" t="str">
        <f>IFERROR(AVERAGEIFS('Data(perCrop)'!$D:$D,'Data(perCrop)'!$B:$B,X$12,'Data(perCrop)'!$H:$H,$A$1,'Data(perCrop)'!$O:$O,$A18),"")</f>
        <v/>
      </c>
      <c r="Y18" s="46" t="str">
        <f>IFERROR(AVERAGEIFS('Data(perCrop)'!$D:$D,'Data(perCrop)'!$B:$B,Y$12,'Data(perCrop)'!$H:$H,$A$1,'Data(perCrop)'!$O:$O,$A18),"")</f>
        <v/>
      </c>
      <c r="Z18" s="46" t="str">
        <f>IFERROR(AVERAGEIFS('Data(perCrop)'!$D:$D,'Data(perCrop)'!$B:$B,Z$12,'Data(perCrop)'!$H:$H,$A$1,'Data(perCrop)'!$O:$O,$A18),"")</f>
        <v/>
      </c>
      <c r="AA18" s="46" t="str">
        <f>IFERROR(AVERAGEIFS('Data(perCrop)'!$D:$D,'Data(perCrop)'!$B:$B,AA$12,'Data(perCrop)'!$H:$H,$A$1,'Data(perCrop)'!$O:$O,$A18),"")</f>
        <v/>
      </c>
      <c r="AB18" s="46" t="str">
        <f>IFERROR(AVERAGEIFS('Data(perCrop)'!$D:$D,'Data(perCrop)'!$B:$B,AB$12,'Data(perCrop)'!$H:$H,$A$1,'Data(perCrop)'!$O:$O,$A18),"")</f>
        <v/>
      </c>
      <c r="AC18" s="46" t="str">
        <f>IFERROR(AVERAGEIFS('Data(perCrop)'!$D:$D,'Data(perCrop)'!$B:$B,AC$12,'Data(perCrop)'!$H:$H,$A$1,'Data(perCrop)'!$O:$O,$A18),"")</f>
        <v/>
      </c>
      <c r="AD18" s="46" t="str">
        <f>IFERROR(AVERAGEIFS('Data(perCrop)'!$D:$D,'Data(perCrop)'!$B:$B,AD$12,'Data(perCrop)'!$H:$H,$A$1,'Data(perCrop)'!$O:$O,$A18),"")</f>
        <v/>
      </c>
      <c r="AE18" s="46" t="str">
        <f>IFERROR(AVERAGEIFS('Data(perCrop)'!$D:$D,'Data(perCrop)'!$B:$B,AE$12,'Data(perCrop)'!$H:$H,$A$1,'Data(perCrop)'!$O:$O,$A18),"")</f>
        <v/>
      </c>
      <c r="AF18" s="46" t="str">
        <f>IFERROR(AVERAGEIFS('Data(perCrop)'!$D:$D,'Data(perCrop)'!$B:$B,AF$12,'Data(perCrop)'!$H:$H,$A$1,'Data(perCrop)'!$O:$O,$A18),"")</f>
        <v/>
      </c>
    </row>
    <row r="19" spans="1:32" ht="18.75" x14ac:dyDescent="0.3">
      <c r="A19" s="52" t="s">
        <v>184</v>
      </c>
      <c r="B19" s="52"/>
      <c r="C19" s="46" t="str">
        <f>IFERROR(AVERAGEIFS('Data(perCrop)'!$D:$D,'Data(perCrop)'!$B:$B,C$12,'Data(perCrop)'!$H:$H,$A$1,'Data(perCrop)'!$O:$O,$A19),"")</f>
        <v/>
      </c>
      <c r="D19" s="48" t="str">
        <f t="shared" ref="D19:AF19" si="1">IF(ISNUMBER(AVERAGE(D14:D18)),AVERAGE(D14:D18),"")</f>
        <v/>
      </c>
      <c r="E19" s="48" t="str">
        <f t="shared" si="1"/>
        <v/>
      </c>
      <c r="F19" s="48" t="str">
        <f t="shared" si="1"/>
        <v/>
      </c>
      <c r="G19" s="48" t="str">
        <f t="shared" si="1"/>
        <v/>
      </c>
      <c r="H19" s="48" t="str">
        <f t="shared" si="1"/>
        <v/>
      </c>
      <c r="I19" s="48" t="str">
        <f t="shared" si="1"/>
        <v/>
      </c>
      <c r="J19" s="48" t="str">
        <f t="shared" si="1"/>
        <v/>
      </c>
      <c r="K19" s="48" t="str">
        <f t="shared" si="1"/>
        <v/>
      </c>
      <c r="L19" s="48" t="str">
        <f t="shared" si="1"/>
        <v/>
      </c>
      <c r="M19" s="48" t="str">
        <f t="shared" si="1"/>
        <v/>
      </c>
      <c r="N19" s="48" t="str">
        <f t="shared" si="1"/>
        <v/>
      </c>
      <c r="O19" s="48">
        <f t="shared" si="1"/>
        <v>461.2</v>
      </c>
      <c r="P19" s="48">
        <f t="shared" si="1"/>
        <v>308</v>
      </c>
      <c r="Q19" s="48" t="str">
        <f t="shared" si="1"/>
        <v/>
      </c>
      <c r="R19" s="48">
        <f t="shared" si="1"/>
        <v>522.20000000000005</v>
      </c>
      <c r="S19" s="48" t="str">
        <f t="shared" si="1"/>
        <v/>
      </c>
      <c r="T19" s="48" t="str">
        <f t="shared" si="1"/>
        <v/>
      </c>
      <c r="U19" s="48">
        <f t="shared" si="1"/>
        <v>862.2</v>
      </c>
      <c r="V19" s="48" t="str">
        <f t="shared" si="1"/>
        <v/>
      </c>
      <c r="W19" s="48" t="str">
        <f t="shared" si="1"/>
        <v/>
      </c>
      <c r="X19" s="48" t="str">
        <f t="shared" si="1"/>
        <v/>
      </c>
      <c r="Y19" s="48" t="str">
        <f t="shared" si="1"/>
        <v/>
      </c>
      <c r="Z19" s="48" t="str">
        <f t="shared" si="1"/>
        <v/>
      </c>
      <c r="AA19" s="48" t="str">
        <f t="shared" si="1"/>
        <v/>
      </c>
      <c r="AB19" s="48" t="str">
        <f t="shared" si="1"/>
        <v/>
      </c>
      <c r="AC19" s="48" t="str">
        <f t="shared" si="1"/>
        <v/>
      </c>
      <c r="AD19" s="48" t="str">
        <f t="shared" si="1"/>
        <v/>
      </c>
      <c r="AE19" s="48" t="str">
        <f t="shared" si="1"/>
        <v/>
      </c>
      <c r="AF19" s="48" t="str">
        <f t="shared" si="1"/>
        <v/>
      </c>
    </row>
    <row r="22" spans="1:32" ht="18.75" x14ac:dyDescent="0.3">
      <c r="A22" s="42" t="s">
        <v>207</v>
      </c>
      <c r="B22" s="58" t="s">
        <v>47</v>
      </c>
      <c r="C22" s="58" t="s">
        <v>57</v>
      </c>
      <c r="D22" s="58" t="s">
        <v>110</v>
      </c>
      <c r="E22" s="58" t="s">
        <v>50</v>
      </c>
      <c r="F22" s="58" t="s">
        <v>58</v>
      </c>
      <c r="G22" s="58" t="s">
        <v>51</v>
      </c>
      <c r="H22" s="58" t="s">
        <v>97</v>
      </c>
      <c r="I22" s="58" t="s">
        <v>52</v>
      </c>
      <c r="J22" s="58" t="s">
        <v>59</v>
      </c>
      <c r="K22" s="58" t="s">
        <v>111</v>
      </c>
      <c r="L22" s="58" t="s">
        <v>54</v>
      </c>
      <c r="M22" s="58" t="s">
        <v>112</v>
      </c>
      <c r="N22" s="58" t="s">
        <v>48</v>
      </c>
      <c r="O22" s="58" t="s">
        <v>53</v>
      </c>
      <c r="P22" s="58" t="s">
        <v>49</v>
      </c>
      <c r="Q22" s="58" t="s">
        <v>56</v>
      </c>
      <c r="R22" s="58" t="s">
        <v>102</v>
      </c>
      <c r="S22" s="58" t="s">
        <v>103</v>
      </c>
      <c r="T22" s="58" t="s">
        <v>101</v>
      </c>
      <c r="U22" s="58" t="s">
        <v>106</v>
      </c>
      <c r="V22" s="58" t="s">
        <v>113</v>
      </c>
      <c r="W22" s="58" t="s">
        <v>114</v>
      </c>
      <c r="X22" s="58" t="s">
        <v>115</v>
      </c>
      <c r="Y22" s="58" t="s">
        <v>116</v>
      </c>
      <c r="Z22" s="58" t="s">
        <v>107</v>
      </c>
      <c r="AA22" s="58" t="s">
        <v>104</v>
      </c>
      <c r="AB22" s="58" t="s">
        <v>117</v>
      </c>
      <c r="AC22" s="58" t="s">
        <v>118</v>
      </c>
      <c r="AD22" s="58" t="s">
        <v>119</v>
      </c>
      <c r="AE22" s="58" t="s">
        <v>108</v>
      </c>
      <c r="AF22" s="58" t="s">
        <v>105</v>
      </c>
    </row>
    <row r="23" spans="1:32" ht="18.75" x14ac:dyDescent="0.3">
      <c r="A23" s="42" t="s">
        <v>183</v>
      </c>
      <c r="B23" s="42">
        <v>1</v>
      </c>
      <c r="C23" s="42">
        <v>2</v>
      </c>
      <c r="D23" s="42">
        <v>3</v>
      </c>
      <c r="E23" s="42">
        <v>4</v>
      </c>
      <c r="F23" s="42">
        <v>5</v>
      </c>
      <c r="G23" s="42">
        <v>6</v>
      </c>
      <c r="H23" s="42">
        <v>7</v>
      </c>
      <c r="I23" s="42">
        <v>8</v>
      </c>
      <c r="J23" s="42">
        <v>9</v>
      </c>
      <c r="K23" s="42">
        <v>10</v>
      </c>
      <c r="L23" s="42">
        <v>11</v>
      </c>
      <c r="M23" s="42">
        <v>12</v>
      </c>
      <c r="N23" s="42">
        <v>13</v>
      </c>
      <c r="O23" s="42">
        <v>14</v>
      </c>
      <c r="P23" s="42">
        <v>15</v>
      </c>
      <c r="Q23" s="42">
        <v>16</v>
      </c>
      <c r="R23" s="42">
        <v>17</v>
      </c>
      <c r="S23" s="42">
        <v>18</v>
      </c>
      <c r="T23" s="42">
        <v>19</v>
      </c>
      <c r="U23" s="42">
        <v>20</v>
      </c>
      <c r="V23" s="42">
        <v>21</v>
      </c>
      <c r="W23" s="42">
        <v>22</v>
      </c>
      <c r="X23" s="42">
        <v>23</v>
      </c>
      <c r="Y23" s="42">
        <v>24</v>
      </c>
      <c r="Z23" s="42">
        <v>25</v>
      </c>
      <c r="AA23" s="42">
        <v>40</v>
      </c>
      <c r="AB23" s="42">
        <v>41</v>
      </c>
      <c r="AC23" s="42">
        <v>42</v>
      </c>
      <c r="AD23" s="42">
        <v>43</v>
      </c>
      <c r="AE23" s="42">
        <v>44</v>
      </c>
      <c r="AF23" s="42">
        <v>45</v>
      </c>
    </row>
    <row r="24" spans="1:32" ht="18.75" x14ac:dyDescent="0.3">
      <c r="A24" s="42">
        <v>2018</v>
      </c>
      <c r="B24" s="51" t="str">
        <f>IFERROR(IF(AND(ISNUMBER($C14),B$23&lt;&gt;14,B$23&lt;&gt;15),
   ( AVERAGEIFS('Data(perCrop)'!$L:$L,
                'Data(perCrop)'!$B:$B,B$22,
                'Data(perCrop)'!$O:$O,$A24,
                'Data(perCrop)'!$H:$H,Yield_Gap!$A$1)
   - AVERAGEIFS('Data(perCrop)'!$K:$K,
                'Data(perCrop)'!$B:$B,B$22,
                'Data(perCrop)'!$O:$O,$A24,
                'Data(perCrop)'!$H:$H,Yield_Gap!$A$1)
   )
   / AVERAGEIFS('Data(perCrop)'!$L:$L,
                'Data(perCrop)'!$B:$B,B$22,
                'Data(perCrop)'!$O:$O,$A24,
                'Data(perCrop)'!$H:$H,Yield_Gap!$A$1),""),"")</f>
        <v/>
      </c>
      <c r="C24" s="51">
        <f>IFERROR(IF(AND(ISNUMBER($C14),C$23&lt;&gt;14,C$23&lt;&gt;15),
   ( AVERAGEIFS('Data(perCrop)'!$L:$L,
                'Data(perCrop)'!$B:$B,C$22,
                'Data(perCrop)'!$O:$O,$A24,
                'Data(perCrop)'!$H:$H,Yield_Gap!$A$1)
   - AVERAGEIFS('Data(perCrop)'!$K:$K,
                'Data(perCrop)'!$B:$B,C$22,
                'Data(perCrop)'!$O:$O,$A24,
                'Data(perCrop)'!$H:$H,Yield_Gap!$A$1)
   )
   / AVERAGEIFS('Data(perCrop)'!$L:$L,
                'Data(perCrop)'!$B:$B,C$22,
                'Data(perCrop)'!$O:$O,$A24,
                'Data(perCrop)'!$H:$H,Yield_Gap!$A$1),""),"")</f>
        <v>0.18412207582683518</v>
      </c>
      <c r="D24" s="51" t="str">
        <f>IFERROR(IF(AND(ISNUMBER($C14),D$23&lt;&gt;14,D$23&lt;&gt;15),
   ( AVERAGEIFS('Data(perCrop)'!$L:$L,
                'Data(perCrop)'!$B:$B,D$22,
                'Data(perCrop)'!$O:$O,$A24,
                'Data(perCrop)'!$H:$H,Yield_Gap!$A$1)
   - AVERAGEIFS('Data(perCrop)'!$K:$K,
                'Data(perCrop)'!$B:$B,D$22,
                'Data(perCrop)'!$O:$O,$A24,
                'Data(perCrop)'!$H:$H,Yield_Gap!$A$1)
   )
   / AVERAGEIFS('Data(perCrop)'!$L:$L,
                'Data(perCrop)'!$B:$B,D$22,
                'Data(perCrop)'!$O:$O,$A24,
                'Data(perCrop)'!$H:$H,Yield_Gap!$A$1),""),"")</f>
        <v/>
      </c>
      <c r="E24" s="51" t="str">
        <f>IFERROR(IF(AND(ISNUMBER($C14),E$23&lt;&gt;14,E$23&lt;&gt;15),
   ( AVERAGEIFS('Data(perCrop)'!$L:$L,
                'Data(perCrop)'!$B:$B,E$22,
                'Data(perCrop)'!$O:$O,$A24,
                'Data(perCrop)'!$H:$H,Yield_Gap!$A$1)
   - AVERAGEIFS('Data(perCrop)'!$K:$K,
                'Data(perCrop)'!$B:$B,E$22,
                'Data(perCrop)'!$O:$O,$A24,
                'Data(perCrop)'!$H:$H,Yield_Gap!$A$1)
   )
   / AVERAGEIFS('Data(perCrop)'!$L:$L,
                'Data(perCrop)'!$B:$B,E$22,
                'Data(perCrop)'!$O:$O,$A24,
                'Data(perCrop)'!$H:$H,Yield_Gap!$A$1),""),"")</f>
        <v/>
      </c>
      <c r="F24" s="51" t="str">
        <f>IFERROR(IF(AND(ISNUMBER($C14),F$23&lt;&gt;14,F$23&lt;&gt;15),
   ( AVERAGEIFS('Data(perCrop)'!$L:$L,
                'Data(perCrop)'!$B:$B,F$22,
                'Data(perCrop)'!$O:$O,$A24,
                'Data(perCrop)'!$H:$H,Yield_Gap!$A$1)
   - AVERAGEIFS('Data(perCrop)'!$K:$K,
                'Data(perCrop)'!$B:$B,F$22,
                'Data(perCrop)'!$O:$O,$A24,
                'Data(perCrop)'!$H:$H,Yield_Gap!$A$1)
   )
   / AVERAGEIFS('Data(perCrop)'!$L:$L,
                'Data(perCrop)'!$B:$B,F$22,
                'Data(perCrop)'!$O:$O,$A24,
                'Data(perCrop)'!$H:$H,Yield_Gap!$A$1),""),"")</f>
        <v/>
      </c>
      <c r="G24" s="51" t="str">
        <f>IFERROR(IF(AND(ISNUMBER($C14),G$23&lt;&gt;14,G$23&lt;&gt;15),
   ( AVERAGEIFS('Data(perCrop)'!$L:$L,
                'Data(perCrop)'!$B:$B,G$22,
                'Data(perCrop)'!$O:$O,$A24,
                'Data(perCrop)'!$H:$H,Yield_Gap!$A$1)
   - AVERAGEIFS('Data(perCrop)'!$K:$K,
                'Data(perCrop)'!$B:$B,G$22,
                'Data(perCrop)'!$O:$O,$A24,
                'Data(perCrop)'!$H:$H,Yield_Gap!$A$1)
   )
   / AVERAGEIFS('Data(perCrop)'!$L:$L,
                'Data(perCrop)'!$B:$B,G$22,
                'Data(perCrop)'!$O:$O,$A24,
                'Data(perCrop)'!$H:$H,Yield_Gap!$A$1),""),"")</f>
        <v/>
      </c>
      <c r="H24" s="51" t="str">
        <f>IFERROR(IF(AND(ISNUMBER($C14),H$23&lt;&gt;14,H$23&lt;&gt;15),
   ( AVERAGEIFS('Data(perCrop)'!$L:$L,
                'Data(perCrop)'!$B:$B,H$22,
                'Data(perCrop)'!$O:$O,$A24,
                'Data(perCrop)'!$H:$H,Yield_Gap!$A$1)
   - AVERAGEIFS('Data(perCrop)'!$K:$K,
                'Data(perCrop)'!$B:$B,H$22,
                'Data(perCrop)'!$O:$O,$A24,
                'Data(perCrop)'!$H:$H,Yield_Gap!$A$1)
   )
   / AVERAGEIFS('Data(perCrop)'!$L:$L,
                'Data(perCrop)'!$B:$B,H$22,
                'Data(perCrop)'!$O:$O,$A24,
                'Data(perCrop)'!$H:$H,Yield_Gap!$A$1),""),"")</f>
        <v/>
      </c>
      <c r="I24" s="51" t="str">
        <f>IFERROR(IF(AND(ISNUMBER($C14),I$23&lt;&gt;14,I$23&lt;&gt;15),
   ( AVERAGEIFS('Data(perCrop)'!$L:$L,
                'Data(perCrop)'!$B:$B,I$22,
                'Data(perCrop)'!$O:$O,$A24,
                'Data(perCrop)'!$H:$H,Yield_Gap!$A$1)
   - AVERAGEIFS('Data(perCrop)'!$K:$K,
                'Data(perCrop)'!$B:$B,I$22,
                'Data(perCrop)'!$O:$O,$A24,
                'Data(perCrop)'!$H:$H,Yield_Gap!$A$1)
   )
   / AVERAGEIFS('Data(perCrop)'!$L:$L,
                'Data(perCrop)'!$B:$B,I$22,
                'Data(perCrop)'!$O:$O,$A24,
                'Data(perCrop)'!$H:$H,Yield_Gap!$A$1),""),"")</f>
        <v/>
      </c>
      <c r="J24" s="51" t="str">
        <f>IFERROR(IF(AND(ISNUMBER($C14),J$23&lt;&gt;14,J$23&lt;&gt;15),
   ( AVERAGEIFS('Data(perCrop)'!$L:$L,
                'Data(perCrop)'!$B:$B,J$22,
                'Data(perCrop)'!$O:$O,$A24,
                'Data(perCrop)'!$H:$H,Yield_Gap!$A$1)
   - AVERAGEIFS('Data(perCrop)'!$K:$K,
                'Data(perCrop)'!$B:$B,J$22,
                'Data(perCrop)'!$O:$O,$A24,
                'Data(perCrop)'!$H:$H,Yield_Gap!$A$1)
   )
   / AVERAGEIFS('Data(perCrop)'!$L:$L,
                'Data(perCrop)'!$B:$B,J$22,
                'Data(perCrop)'!$O:$O,$A24,
                'Data(perCrop)'!$H:$H,Yield_Gap!$A$1),""),"")</f>
        <v/>
      </c>
      <c r="K24" s="51" t="str">
        <f>IFERROR(IF(AND(ISNUMBER($C14),K$23&lt;&gt;14,K$23&lt;&gt;15),
   ( AVERAGEIFS('Data(perCrop)'!$L:$L,
                'Data(perCrop)'!$B:$B,K$22,
                'Data(perCrop)'!$O:$O,$A24,
                'Data(perCrop)'!$H:$H,Yield_Gap!$A$1)
   - AVERAGEIFS('Data(perCrop)'!$K:$K,
                'Data(perCrop)'!$B:$B,K$22,
                'Data(perCrop)'!$O:$O,$A24,
                'Data(perCrop)'!$H:$H,Yield_Gap!$A$1)
   )
   / AVERAGEIFS('Data(perCrop)'!$L:$L,
                'Data(perCrop)'!$B:$B,K$22,
                'Data(perCrop)'!$O:$O,$A24,
                'Data(perCrop)'!$H:$H,Yield_Gap!$A$1),""),"")</f>
        <v/>
      </c>
      <c r="L24" s="51" t="str">
        <f>IFERROR(IF(AND(ISNUMBER($C14),L$23&lt;&gt;14,L$23&lt;&gt;15),
   ( AVERAGEIFS('Data(perCrop)'!$L:$L,
                'Data(perCrop)'!$B:$B,L$22,
                'Data(perCrop)'!$O:$O,$A24,
                'Data(perCrop)'!$H:$H,Yield_Gap!$A$1)
   - AVERAGEIFS('Data(perCrop)'!$K:$K,
                'Data(perCrop)'!$B:$B,L$22,
                'Data(perCrop)'!$O:$O,$A24,
                'Data(perCrop)'!$H:$H,Yield_Gap!$A$1)
   )
   / AVERAGEIFS('Data(perCrop)'!$L:$L,
                'Data(perCrop)'!$B:$B,L$22,
                'Data(perCrop)'!$O:$O,$A24,
                'Data(perCrop)'!$H:$H,Yield_Gap!$A$1),""),"")</f>
        <v/>
      </c>
      <c r="M24" s="51" t="str">
        <f>IFERROR(IF(AND(ISNUMBER($C14),M$23&lt;&gt;14,M$23&lt;&gt;15),
   ( AVERAGEIFS('Data(perCrop)'!$L:$L,
                'Data(perCrop)'!$B:$B,M$22,
                'Data(perCrop)'!$O:$O,$A24,
                'Data(perCrop)'!$H:$H,Yield_Gap!$A$1)
   - AVERAGEIFS('Data(perCrop)'!$K:$K,
                'Data(perCrop)'!$B:$B,M$22,
                'Data(perCrop)'!$O:$O,$A24,
                'Data(perCrop)'!$H:$H,Yield_Gap!$A$1)
   )
   / AVERAGEIFS('Data(perCrop)'!$L:$L,
                'Data(perCrop)'!$B:$B,M$22,
                'Data(perCrop)'!$O:$O,$A24,
                'Data(perCrop)'!$H:$H,Yield_Gap!$A$1),""),"")</f>
        <v/>
      </c>
      <c r="N24" s="51" t="str">
        <f>IFERROR(IF(AND(ISNUMBER($C14),N$23&lt;&gt;14,N$23&lt;&gt;15),
   ( AVERAGEIFS('Data(perCrop)'!$L:$L,
                'Data(perCrop)'!$B:$B,N$22,
                'Data(perCrop)'!$O:$O,$A24,
                'Data(perCrop)'!$H:$H,Yield_Gap!$A$1)
   - AVERAGEIFS('Data(perCrop)'!$K:$K,
                'Data(perCrop)'!$B:$B,N$22,
                'Data(perCrop)'!$O:$O,$A24,
                'Data(perCrop)'!$H:$H,Yield_Gap!$A$1)
   )
   / AVERAGEIFS('Data(perCrop)'!$L:$L,
                'Data(perCrop)'!$B:$B,N$22,
                'Data(perCrop)'!$O:$O,$A24,
                'Data(perCrop)'!$H:$H,Yield_Gap!$A$1),""),"")</f>
        <v/>
      </c>
      <c r="O24" s="51" t="str">
        <f>IFERROR(IF(AND(ISNUMBER($C14),O$23&lt;&gt;14,O$23&lt;&gt;15),
   ( AVERAGEIFS('Data(perCrop)'!$L:$L,
                'Data(perCrop)'!$B:$B,O$22,
                'Data(perCrop)'!$O:$O,$A24,
                'Data(perCrop)'!$H:$H,Yield_Gap!$A$1)
   - AVERAGEIFS('Data(perCrop)'!$K:$K,
                'Data(perCrop)'!$B:$B,O$22,
                'Data(perCrop)'!$O:$O,$A24,
                'Data(perCrop)'!$H:$H,Yield_Gap!$A$1)
   )
   / AVERAGEIFS('Data(perCrop)'!$L:$L,
                'Data(perCrop)'!$B:$B,O$22,
                'Data(perCrop)'!$O:$O,$A24,
                'Data(perCrop)'!$H:$H,Yield_Gap!$A$1),""),"")</f>
        <v/>
      </c>
      <c r="P24" s="51" t="str">
        <f>IFERROR(IF(AND(ISNUMBER($C14),P$23&lt;&gt;14,P$23&lt;&gt;15),
   ( AVERAGEIFS('Data(perCrop)'!$L:$L,
                'Data(perCrop)'!$B:$B,P$22,
                'Data(perCrop)'!$O:$O,$A24,
                'Data(perCrop)'!$H:$H,Yield_Gap!$A$1)
   - AVERAGEIFS('Data(perCrop)'!$K:$K,
                'Data(perCrop)'!$B:$B,P$22,
                'Data(perCrop)'!$O:$O,$A24,
                'Data(perCrop)'!$H:$H,Yield_Gap!$A$1)
   )
   / AVERAGEIFS('Data(perCrop)'!$L:$L,
                'Data(perCrop)'!$B:$B,P$22,
                'Data(perCrop)'!$O:$O,$A24,
                'Data(perCrop)'!$H:$H,Yield_Gap!$A$1),""),"")</f>
        <v/>
      </c>
      <c r="Q24" s="51" t="str">
        <f>IFERROR(IF(AND(ISNUMBER($C14),Q$23&lt;&gt;14,Q$23&lt;&gt;15),
   ( AVERAGEIFS('Data(perCrop)'!$L:$L,
                'Data(perCrop)'!$B:$B,Q$22,
                'Data(perCrop)'!$O:$O,$A24,
                'Data(perCrop)'!$H:$H,Yield_Gap!$A$1)
   - AVERAGEIFS('Data(perCrop)'!$K:$K,
                'Data(perCrop)'!$B:$B,Q$22,
                'Data(perCrop)'!$O:$O,$A24,
                'Data(perCrop)'!$H:$H,Yield_Gap!$A$1)
   )
   / AVERAGEIFS('Data(perCrop)'!$L:$L,
                'Data(perCrop)'!$B:$B,Q$22,
                'Data(perCrop)'!$O:$O,$A24,
                'Data(perCrop)'!$H:$H,Yield_Gap!$A$1),""),"")</f>
        <v/>
      </c>
      <c r="R24" s="51">
        <f>IFERROR(IF(AND(ISNUMBER($C14),R$23&lt;&gt;14,R$23&lt;&gt;15),
   ( AVERAGEIFS('Data(perCrop)'!$L:$L,
                'Data(perCrop)'!$B:$B,R$22,
                'Data(perCrop)'!$O:$O,$A24,
                'Data(perCrop)'!$H:$H,Yield_Gap!$A$1)
   - AVERAGEIFS('Data(perCrop)'!$K:$K,
                'Data(perCrop)'!$B:$B,R$22,
                'Data(perCrop)'!$O:$O,$A24,
                'Data(perCrop)'!$H:$H,Yield_Gap!$A$1)
   )
   / AVERAGEIFS('Data(perCrop)'!$L:$L,
                'Data(perCrop)'!$B:$B,R$22,
                'Data(perCrop)'!$O:$O,$A24,
                'Data(perCrop)'!$H:$H,Yield_Gap!$A$1),""),"")</f>
        <v>0.24437901498929337</v>
      </c>
      <c r="S24" s="51" t="str">
        <f>IFERROR(IF(AND(ISNUMBER($C14),S$23&lt;&gt;14,S$23&lt;&gt;15),
   ( AVERAGEIFS('Data(perCrop)'!$L:$L,
                'Data(perCrop)'!$B:$B,S$22,
                'Data(perCrop)'!$O:$O,$A24,
                'Data(perCrop)'!$H:$H,Yield_Gap!$A$1)
   - AVERAGEIFS('Data(perCrop)'!$K:$K,
                'Data(perCrop)'!$B:$B,S$22,
                'Data(perCrop)'!$O:$O,$A24,
                'Data(perCrop)'!$H:$H,Yield_Gap!$A$1)
   )
   / AVERAGEIFS('Data(perCrop)'!$L:$L,
                'Data(perCrop)'!$B:$B,S$22,
                'Data(perCrop)'!$O:$O,$A24,
                'Data(perCrop)'!$H:$H,Yield_Gap!$A$1),""),"")</f>
        <v/>
      </c>
      <c r="T24" s="51" t="str">
        <f>IFERROR(IF(AND(ISNUMBER($C14),T$23&lt;&gt;14,T$23&lt;&gt;15),
   ( AVERAGEIFS('Data(perCrop)'!$L:$L,
                'Data(perCrop)'!$B:$B,T$22,
                'Data(perCrop)'!$O:$O,$A24,
                'Data(perCrop)'!$H:$H,Yield_Gap!$A$1)
   - AVERAGEIFS('Data(perCrop)'!$K:$K,
                'Data(perCrop)'!$B:$B,T$22,
                'Data(perCrop)'!$O:$O,$A24,
                'Data(perCrop)'!$H:$H,Yield_Gap!$A$1)
   )
   / AVERAGEIFS('Data(perCrop)'!$L:$L,
                'Data(perCrop)'!$B:$B,T$22,
                'Data(perCrop)'!$O:$O,$A24,
                'Data(perCrop)'!$H:$H,Yield_Gap!$A$1),""),"")</f>
        <v/>
      </c>
      <c r="U24" s="51">
        <f>IFERROR(IF(AND(ISNUMBER($C14),U$23&lt;&gt;14,U$23&lt;&gt;15),
   ( AVERAGEIFS('Data(perCrop)'!$L:$L,
                'Data(perCrop)'!$B:$B,U$22,
                'Data(perCrop)'!$O:$O,$A24,
                'Data(perCrop)'!$H:$H,Yield_Gap!$A$1)
   - AVERAGEIFS('Data(perCrop)'!$K:$K,
                'Data(perCrop)'!$B:$B,U$22,
                'Data(perCrop)'!$O:$O,$A24,
                'Data(perCrop)'!$H:$H,Yield_Gap!$A$1)
   )
   / AVERAGEIFS('Data(perCrop)'!$L:$L,
                'Data(perCrop)'!$B:$B,U$22,
                'Data(perCrop)'!$O:$O,$A24,
                'Data(perCrop)'!$H:$H,Yield_Gap!$A$1),""),"")</f>
        <v>0.24603021845828121</v>
      </c>
      <c r="V24" s="51" t="str">
        <f>IFERROR(IF(AND(ISNUMBER($C14),V$23&lt;&gt;14,V$23&lt;&gt;15),
   ( AVERAGEIFS('Data(perCrop)'!$L:$L,
                'Data(perCrop)'!$B:$B,V$22,
                'Data(perCrop)'!$O:$O,$A24,
                'Data(perCrop)'!$H:$H,Yield_Gap!$A$1)
   - AVERAGEIFS('Data(perCrop)'!$K:$K,
                'Data(perCrop)'!$B:$B,V$22,
                'Data(perCrop)'!$O:$O,$A24,
                'Data(perCrop)'!$H:$H,Yield_Gap!$A$1)
   )
   / AVERAGEIFS('Data(perCrop)'!$L:$L,
                'Data(perCrop)'!$B:$B,V$22,
                'Data(perCrop)'!$O:$O,$A24,
                'Data(perCrop)'!$H:$H,Yield_Gap!$A$1),""),"")</f>
        <v/>
      </c>
      <c r="W24" s="51" t="str">
        <f>IFERROR(IF(AND(ISNUMBER($C14),W$23&lt;&gt;14,W$23&lt;&gt;15),
   ( AVERAGEIFS('Data(perCrop)'!$L:$L,
                'Data(perCrop)'!$B:$B,W$22,
                'Data(perCrop)'!$O:$O,$A24,
                'Data(perCrop)'!$H:$H,Yield_Gap!$A$1)
   - AVERAGEIFS('Data(perCrop)'!$K:$K,
                'Data(perCrop)'!$B:$B,W$22,
                'Data(perCrop)'!$O:$O,$A24,
                'Data(perCrop)'!$H:$H,Yield_Gap!$A$1)
   )
   / AVERAGEIFS('Data(perCrop)'!$L:$L,
                'Data(perCrop)'!$B:$B,W$22,
                'Data(perCrop)'!$O:$O,$A24,
                'Data(perCrop)'!$H:$H,Yield_Gap!$A$1),""),"")</f>
        <v/>
      </c>
      <c r="X24" s="51" t="str">
        <f>IFERROR(IF(AND(ISNUMBER($C14),X$23&lt;&gt;14,X$23&lt;&gt;15),
   ( AVERAGEIFS('Data(perCrop)'!$L:$L,
                'Data(perCrop)'!$B:$B,X$22,
                'Data(perCrop)'!$O:$O,$A24,
                'Data(perCrop)'!$H:$H,Yield_Gap!$A$1)
   - AVERAGEIFS('Data(perCrop)'!$K:$K,
                'Data(perCrop)'!$B:$B,X$22,
                'Data(perCrop)'!$O:$O,$A24,
                'Data(perCrop)'!$H:$H,Yield_Gap!$A$1)
   )
   / AVERAGEIFS('Data(perCrop)'!$L:$L,
                'Data(perCrop)'!$B:$B,X$22,
                'Data(perCrop)'!$O:$O,$A24,
                'Data(perCrop)'!$H:$H,Yield_Gap!$A$1),""),"")</f>
        <v/>
      </c>
      <c r="Y24" s="51" t="str">
        <f>IFERROR(IF(AND(ISNUMBER($C14),Y$23&lt;&gt;14,Y$23&lt;&gt;15),
   ( AVERAGEIFS('Data(perCrop)'!$L:$L,
                'Data(perCrop)'!$B:$B,Y$22,
                'Data(perCrop)'!$O:$O,$A24,
                'Data(perCrop)'!$H:$H,Yield_Gap!$A$1)
   - AVERAGEIFS('Data(perCrop)'!$K:$K,
                'Data(perCrop)'!$B:$B,Y$22,
                'Data(perCrop)'!$O:$O,$A24,
                'Data(perCrop)'!$H:$H,Yield_Gap!$A$1)
   )
   / AVERAGEIFS('Data(perCrop)'!$L:$L,
                'Data(perCrop)'!$B:$B,Y$22,
                'Data(perCrop)'!$O:$O,$A24,
                'Data(perCrop)'!$H:$H,Yield_Gap!$A$1),""),"")</f>
        <v/>
      </c>
      <c r="Z24" s="51" t="str">
        <f>IFERROR(IF(AND(ISNUMBER($C14),Z$23&lt;&gt;14,Z$23&lt;&gt;15),
   ( AVERAGEIFS('Data(perCrop)'!$L:$L,
                'Data(perCrop)'!$B:$B,Z$22,
                'Data(perCrop)'!$O:$O,$A24,
                'Data(perCrop)'!$H:$H,Yield_Gap!$A$1)
   - AVERAGEIFS('Data(perCrop)'!$K:$K,
                'Data(perCrop)'!$B:$B,Z$22,
                'Data(perCrop)'!$O:$O,$A24,
                'Data(perCrop)'!$H:$H,Yield_Gap!$A$1)
   )
   / AVERAGEIFS('Data(perCrop)'!$L:$L,
                'Data(perCrop)'!$B:$B,Z$22,
                'Data(perCrop)'!$O:$O,$A24,
                'Data(perCrop)'!$H:$H,Yield_Gap!$A$1),""),"")</f>
        <v/>
      </c>
      <c r="AA24" s="51" t="str">
        <f>IFERROR(IF(AND(ISNUMBER($C14),AA$23&lt;&gt;14,AA$23&lt;&gt;15),
   ( AVERAGEIFS('Data(perCrop)'!$L:$L,
                'Data(perCrop)'!$B:$B,AA$22,
                'Data(perCrop)'!$O:$O,$A24,
                'Data(perCrop)'!$H:$H,Yield_Gap!$A$1)
   - AVERAGEIFS('Data(perCrop)'!$K:$K,
                'Data(perCrop)'!$B:$B,AA$22,
                'Data(perCrop)'!$O:$O,$A24,
                'Data(perCrop)'!$H:$H,Yield_Gap!$A$1)
   )
   / AVERAGEIFS('Data(perCrop)'!$L:$L,
                'Data(perCrop)'!$B:$B,AA$22,
                'Data(perCrop)'!$O:$O,$A24,
                'Data(perCrop)'!$H:$H,Yield_Gap!$A$1),""),"")</f>
        <v/>
      </c>
      <c r="AB24" s="51" t="str">
        <f>IFERROR(IF(AND(ISNUMBER($C14),AB$23&lt;&gt;14,AB$23&lt;&gt;15),
   ( AVERAGEIFS('Data(perCrop)'!$L:$L,
                'Data(perCrop)'!$B:$B,AB$22,
                'Data(perCrop)'!$O:$O,$A24,
                'Data(perCrop)'!$H:$H,Yield_Gap!$A$1)
   - AVERAGEIFS('Data(perCrop)'!$K:$K,
                'Data(perCrop)'!$B:$B,AB$22,
                'Data(perCrop)'!$O:$O,$A24,
                'Data(perCrop)'!$H:$H,Yield_Gap!$A$1)
   )
   / AVERAGEIFS('Data(perCrop)'!$L:$L,
                'Data(perCrop)'!$B:$B,AB$22,
                'Data(perCrop)'!$O:$O,$A24,
                'Data(perCrop)'!$H:$H,Yield_Gap!$A$1),""),"")</f>
        <v/>
      </c>
      <c r="AC24" s="51" t="str">
        <f>IFERROR(IF(AND(ISNUMBER($C14),AC$23&lt;&gt;14,AC$23&lt;&gt;15),
   ( AVERAGEIFS('Data(perCrop)'!$L:$L,
                'Data(perCrop)'!$B:$B,AC$22,
                'Data(perCrop)'!$O:$O,$A24,
                'Data(perCrop)'!$H:$H,Yield_Gap!$A$1)
   - AVERAGEIFS('Data(perCrop)'!$K:$K,
                'Data(perCrop)'!$B:$B,AC$22,
                'Data(perCrop)'!$O:$O,$A24,
                'Data(perCrop)'!$H:$H,Yield_Gap!$A$1)
   )
   / AVERAGEIFS('Data(perCrop)'!$L:$L,
                'Data(perCrop)'!$B:$B,AC$22,
                'Data(perCrop)'!$O:$O,$A24,
                'Data(perCrop)'!$H:$H,Yield_Gap!$A$1),""),"")</f>
        <v/>
      </c>
      <c r="AD24" s="51" t="str">
        <f>IFERROR(IF(AND(ISNUMBER($C14),AD$23&lt;&gt;14,AD$23&lt;&gt;15),
   ( AVERAGEIFS('Data(perCrop)'!$L:$L,
                'Data(perCrop)'!$B:$B,AD$22,
                'Data(perCrop)'!$O:$O,$A24,
                'Data(perCrop)'!$H:$H,Yield_Gap!$A$1)
   - AVERAGEIFS('Data(perCrop)'!$K:$K,
                'Data(perCrop)'!$B:$B,AD$22,
                'Data(perCrop)'!$O:$O,$A24,
                'Data(perCrop)'!$H:$H,Yield_Gap!$A$1)
   )
   / AVERAGEIFS('Data(perCrop)'!$L:$L,
                'Data(perCrop)'!$B:$B,AD$22,
                'Data(perCrop)'!$O:$O,$A24,
                'Data(perCrop)'!$H:$H,Yield_Gap!$A$1),""),"")</f>
        <v/>
      </c>
      <c r="AE24" s="51" t="str">
        <f>IFERROR(IF(AND(ISNUMBER($C14),AE$23&lt;&gt;14,AE$23&lt;&gt;15),
   ( AVERAGEIFS('Data(perCrop)'!$L:$L,
                'Data(perCrop)'!$B:$B,AE$22,
                'Data(perCrop)'!$O:$O,$A24,
                'Data(perCrop)'!$H:$H,Yield_Gap!$A$1)
   - AVERAGEIFS('Data(perCrop)'!$K:$K,
                'Data(perCrop)'!$B:$B,AE$22,
                'Data(perCrop)'!$O:$O,$A24,
                'Data(perCrop)'!$H:$H,Yield_Gap!$A$1)
   )
   / AVERAGEIFS('Data(perCrop)'!$L:$L,
                'Data(perCrop)'!$B:$B,AE$22,
                'Data(perCrop)'!$O:$O,$A24,
                'Data(perCrop)'!$H:$H,Yield_Gap!$A$1),""),"")</f>
        <v/>
      </c>
      <c r="AF24" s="51" t="str">
        <f>IFERROR(IF(AND(ISNUMBER($C14),AF$23&lt;&gt;14,AF$23&lt;&gt;15),
   ( AVERAGEIFS('Data(perCrop)'!$L:$L,
                'Data(perCrop)'!$B:$B,AF$22,
                'Data(perCrop)'!$O:$O,$A24,
                'Data(perCrop)'!$H:$H,Yield_Gap!$A$1)
   - AVERAGEIFS('Data(perCrop)'!$K:$K,
                'Data(perCrop)'!$B:$B,AF$22,
                'Data(perCrop)'!$O:$O,$A24,
                'Data(perCrop)'!$H:$H,Yield_Gap!$A$1)
   )
   / AVERAGEIFS('Data(perCrop)'!$L:$L,
                'Data(perCrop)'!$B:$B,AF$22,
                'Data(perCrop)'!$O:$O,$A24,
                'Data(perCrop)'!$H:$H,Yield_Gap!$A$1),""),"")</f>
        <v/>
      </c>
    </row>
    <row r="25" spans="1:32" ht="18.75" x14ac:dyDescent="0.3">
      <c r="A25" s="42">
        <v>2019</v>
      </c>
      <c r="B25" s="51" t="str">
        <f>IFERROR(IF(AND(ISNUMBER($C15),B$23&lt;&gt;14,B$23&lt;&gt;15),
   ( AVERAGEIFS('Data(perCrop)'!$L:$L,
                'Data(perCrop)'!$B:$B,B$22,
                'Data(perCrop)'!$O:$O,$A25,
                'Data(perCrop)'!$H:$H,Yield_Gap!$A$1)
   - AVERAGEIFS('Data(perCrop)'!$K:$K,
                'Data(perCrop)'!$B:$B,B$22,
                'Data(perCrop)'!$O:$O,$A25,
                'Data(perCrop)'!$H:$H,Yield_Gap!$A$1)
   )
   / AVERAGEIFS('Data(perCrop)'!$L:$L,
                'Data(perCrop)'!$B:$B,B$22,
                'Data(perCrop)'!$O:$O,$A25,
                'Data(perCrop)'!$H:$H,Yield_Gap!$A$1),""),"")</f>
        <v/>
      </c>
      <c r="C25" s="51">
        <f>IFERROR(IF(AND(ISNUMBER($C15),C$23&lt;&gt;14,C$23&lt;&gt;15),
   ( AVERAGEIFS('Data(perCrop)'!$L:$L,
                'Data(perCrop)'!$B:$B,C$22,
                'Data(perCrop)'!$O:$O,$A25,
                'Data(perCrop)'!$H:$H,Yield_Gap!$A$1)
   - AVERAGEIFS('Data(perCrop)'!$K:$K,
                'Data(perCrop)'!$B:$B,C$22,
                'Data(perCrop)'!$O:$O,$A25,
                'Data(perCrop)'!$H:$H,Yield_Gap!$A$1)
   )
   / AVERAGEIFS('Data(perCrop)'!$L:$L,
                'Data(perCrop)'!$B:$B,C$22,
                'Data(perCrop)'!$O:$O,$A25,
                'Data(perCrop)'!$H:$H,Yield_Gap!$A$1),""),"")</f>
        <v>0.21255497800879647</v>
      </c>
      <c r="D25" s="51" t="str">
        <f>IFERROR(IF(AND(ISNUMBER($C15),D$23&lt;&gt;14,D$23&lt;&gt;15),
   ( AVERAGEIFS('Data(perCrop)'!$L:$L,
                'Data(perCrop)'!$B:$B,D$22,
                'Data(perCrop)'!$O:$O,$A25,
                'Data(perCrop)'!$H:$H,Yield_Gap!$A$1)
   - AVERAGEIFS('Data(perCrop)'!$K:$K,
                'Data(perCrop)'!$B:$B,D$22,
                'Data(perCrop)'!$O:$O,$A25,
                'Data(perCrop)'!$H:$H,Yield_Gap!$A$1)
   )
   / AVERAGEIFS('Data(perCrop)'!$L:$L,
                'Data(perCrop)'!$B:$B,D$22,
                'Data(perCrop)'!$O:$O,$A25,
                'Data(perCrop)'!$H:$H,Yield_Gap!$A$1),""),"")</f>
        <v/>
      </c>
      <c r="E25" s="51" t="str">
        <f>IFERROR(IF(AND(ISNUMBER($C15),E$23&lt;&gt;14,E$23&lt;&gt;15),
   ( AVERAGEIFS('Data(perCrop)'!$L:$L,
                'Data(perCrop)'!$B:$B,E$22,
                'Data(perCrop)'!$O:$O,$A25,
                'Data(perCrop)'!$H:$H,Yield_Gap!$A$1)
   - AVERAGEIFS('Data(perCrop)'!$K:$K,
                'Data(perCrop)'!$B:$B,E$22,
                'Data(perCrop)'!$O:$O,$A25,
                'Data(perCrop)'!$H:$H,Yield_Gap!$A$1)
   )
   / AVERAGEIFS('Data(perCrop)'!$L:$L,
                'Data(perCrop)'!$B:$B,E$22,
                'Data(perCrop)'!$O:$O,$A25,
                'Data(perCrop)'!$H:$H,Yield_Gap!$A$1),""),"")</f>
        <v/>
      </c>
      <c r="F25" s="51" t="str">
        <f>IFERROR(IF(AND(ISNUMBER($C15),F$23&lt;&gt;14,F$23&lt;&gt;15),
   ( AVERAGEIFS('Data(perCrop)'!$L:$L,
                'Data(perCrop)'!$B:$B,F$22,
                'Data(perCrop)'!$O:$O,$A25,
                'Data(perCrop)'!$H:$H,Yield_Gap!$A$1)
   - AVERAGEIFS('Data(perCrop)'!$K:$K,
                'Data(perCrop)'!$B:$B,F$22,
                'Data(perCrop)'!$O:$O,$A25,
                'Data(perCrop)'!$H:$H,Yield_Gap!$A$1)
   )
   / AVERAGEIFS('Data(perCrop)'!$L:$L,
                'Data(perCrop)'!$B:$B,F$22,
                'Data(perCrop)'!$O:$O,$A25,
                'Data(perCrop)'!$H:$H,Yield_Gap!$A$1),""),"")</f>
        <v/>
      </c>
      <c r="G25" s="51" t="str">
        <f>IFERROR(IF(AND(ISNUMBER($C15),G$23&lt;&gt;14,G$23&lt;&gt;15),
   ( AVERAGEIFS('Data(perCrop)'!$L:$L,
                'Data(perCrop)'!$B:$B,G$22,
                'Data(perCrop)'!$O:$O,$A25,
                'Data(perCrop)'!$H:$H,Yield_Gap!$A$1)
   - AVERAGEIFS('Data(perCrop)'!$K:$K,
                'Data(perCrop)'!$B:$B,G$22,
                'Data(perCrop)'!$O:$O,$A25,
                'Data(perCrop)'!$H:$H,Yield_Gap!$A$1)
   )
   / AVERAGEIFS('Data(perCrop)'!$L:$L,
                'Data(perCrop)'!$B:$B,G$22,
                'Data(perCrop)'!$O:$O,$A25,
                'Data(perCrop)'!$H:$H,Yield_Gap!$A$1),""),"")</f>
        <v/>
      </c>
      <c r="H25" s="51" t="str">
        <f>IFERROR(IF(AND(ISNUMBER($C15),H$23&lt;&gt;14,H$23&lt;&gt;15),
   ( AVERAGEIFS('Data(perCrop)'!$L:$L,
                'Data(perCrop)'!$B:$B,H$22,
                'Data(perCrop)'!$O:$O,$A25,
                'Data(perCrop)'!$H:$H,Yield_Gap!$A$1)
   - AVERAGEIFS('Data(perCrop)'!$K:$K,
                'Data(perCrop)'!$B:$B,H$22,
                'Data(perCrop)'!$O:$O,$A25,
                'Data(perCrop)'!$H:$H,Yield_Gap!$A$1)
   )
   / AVERAGEIFS('Data(perCrop)'!$L:$L,
                'Data(perCrop)'!$B:$B,H$22,
                'Data(perCrop)'!$O:$O,$A25,
                'Data(perCrop)'!$H:$H,Yield_Gap!$A$1),""),"")</f>
        <v/>
      </c>
      <c r="I25" s="51" t="str">
        <f>IFERROR(IF(AND(ISNUMBER($C15),I$23&lt;&gt;14,I$23&lt;&gt;15),
   ( AVERAGEIFS('Data(perCrop)'!$L:$L,
                'Data(perCrop)'!$B:$B,I$22,
                'Data(perCrop)'!$O:$O,$A25,
                'Data(perCrop)'!$H:$H,Yield_Gap!$A$1)
   - AVERAGEIFS('Data(perCrop)'!$K:$K,
                'Data(perCrop)'!$B:$B,I$22,
                'Data(perCrop)'!$O:$O,$A25,
                'Data(perCrop)'!$H:$H,Yield_Gap!$A$1)
   )
   / AVERAGEIFS('Data(perCrop)'!$L:$L,
                'Data(perCrop)'!$B:$B,I$22,
                'Data(perCrop)'!$O:$O,$A25,
                'Data(perCrop)'!$H:$H,Yield_Gap!$A$1),""),"")</f>
        <v/>
      </c>
      <c r="J25" s="51" t="str">
        <f>IFERROR(IF(AND(ISNUMBER($C15),J$23&lt;&gt;14,J$23&lt;&gt;15),
   ( AVERAGEIFS('Data(perCrop)'!$L:$L,
                'Data(perCrop)'!$B:$B,J$22,
                'Data(perCrop)'!$O:$O,$A25,
                'Data(perCrop)'!$H:$H,Yield_Gap!$A$1)
   - AVERAGEIFS('Data(perCrop)'!$K:$K,
                'Data(perCrop)'!$B:$B,J$22,
                'Data(perCrop)'!$O:$O,$A25,
                'Data(perCrop)'!$H:$H,Yield_Gap!$A$1)
   )
   / AVERAGEIFS('Data(perCrop)'!$L:$L,
                'Data(perCrop)'!$B:$B,J$22,
                'Data(perCrop)'!$O:$O,$A25,
                'Data(perCrop)'!$H:$H,Yield_Gap!$A$1),""),"")</f>
        <v/>
      </c>
      <c r="K25" s="51" t="str">
        <f>IFERROR(IF(AND(ISNUMBER($C15),K$23&lt;&gt;14,K$23&lt;&gt;15),
   ( AVERAGEIFS('Data(perCrop)'!$L:$L,
                'Data(perCrop)'!$B:$B,K$22,
                'Data(perCrop)'!$O:$O,$A25,
                'Data(perCrop)'!$H:$H,Yield_Gap!$A$1)
   - AVERAGEIFS('Data(perCrop)'!$K:$K,
                'Data(perCrop)'!$B:$B,K$22,
                'Data(perCrop)'!$O:$O,$A25,
                'Data(perCrop)'!$H:$H,Yield_Gap!$A$1)
   )
   / AVERAGEIFS('Data(perCrop)'!$L:$L,
                'Data(perCrop)'!$B:$B,K$22,
                'Data(perCrop)'!$O:$O,$A25,
                'Data(perCrop)'!$H:$H,Yield_Gap!$A$1),""),"")</f>
        <v/>
      </c>
      <c r="L25" s="51" t="str">
        <f>IFERROR(IF(AND(ISNUMBER($C15),L$23&lt;&gt;14,L$23&lt;&gt;15),
   ( AVERAGEIFS('Data(perCrop)'!$L:$L,
                'Data(perCrop)'!$B:$B,L$22,
                'Data(perCrop)'!$O:$O,$A25,
                'Data(perCrop)'!$H:$H,Yield_Gap!$A$1)
   - AVERAGEIFS('Data(perCrop)'!$K:$K,
                'Data(perCrop)'!$B:$B,L$22,
                'Data(perCrop)'!$O:$O,$A25,
                'Data(perCrop)'!$H:$H,Yield_Gap!$A$1)
   )
   / AVERAGEIFS('Data(perCrop)'!$L:$L,
                'Data(perCrop)'!$B:$B,L$22,
                'Data(perCrop)'!$O:$O,$A25,
                'Data(perCrop)'!$H:$H,Yield_Gap!$A$1),""),"")</f>
        <v/>
      </c>
      <c r="M25" s="51" t="str">
        <f>IFERROR(IF(AND(ISNUMBER($C15),M$23&lt;&gt;14,M$23&lt;&gt;15),
   ( AVERAGEIFS('Data(perCrop)'!$L:$L,
                'Data(perCrop)'!$B:$B,M$22,
                'Data(perCrop)'!$O:$O,$A25,
                'Data(perCrop)'!$H:$H,Yield_Gap!$A$1)
   - AVERAGEIFS('Data(perCrop)'!$K:$K,
                'Data(perCrop)'!$B:$B,M$22,
                'Data(perCrop)'!$O:$O,$A25,
                'Data(perCrop)'!$H:$H,Yield_Gap!$A$1)
   )
   / AVERAGEIFS('Data(perCrop)'!$L:$L,
                'Data(perCrop)'!$B:$B,M$22,
                'Data(perCrop)'!$O:$O,$A25,
                'Data(perCrop)'!$H:$H,Yield_Gap!$A$1),""),"")</f>
        <v/>
      </c>
      <c r="N25" s="51" t="str">
        <f>IFERROR(IF(AND(ISNUMBER($C15),N$23&lt;&gt;14,N$23&lt;&gt;15),
   ( AVERAGEIFS('Data(perCrop)'!$L:$L,
                'Data(perCrop)'!$B:$B,N$22,
                'Data(perCrop)'!$O:$O,$A25,
                'Data(perCrop)'!$H:$H,Yield_Gap!$A$1)
   - AVERAGEIFS('Data(perCrop)'!$K:$K,
                'Data(perCrop)'!$B:$B,N$22,
                'Data(perCrop)'!$O:$O,$A25,
                'Data(perCrop)'!$H:$H,Yield_Gap!$A$1)
   )
   / AVERAGEIFS('Data(perCrop)'!$L:$L,
                'Data(perCrop)'!$B:$B,N$22,
                'Data(perCrop)'!$O:$O,$A25,
                'Data(perCrop)'!$H:$H,Yield_Gap!$A$1),""),"")</f>
        <v/>
      </c>
      <c r="O25" s="51" t="str">
        <f>IFERROR(IF(AND(ISNUMBER($C15),O$23&lt;&gt;14,O$23&lt;&gt;15),
   ( AVERAGEIFS('Data(perCrop)'!$L:$L,
                'Data(perCrop)'!$B:$B,O$22,
                'Data(perCrop)'!$O:$O,$A25,
                'Data(perCrop)'!$H:$H,Yield_Gap!$A$1)
   - AVERAGEIFS('Data(perCrop)'!$K:$K,
                'Data(perCrop)'!$B:$B,O$22,
                'Data(perCrop)'!$O:$O,$A25,
                'Data(perCrop)'!$H:$H,Yield_Gap!$A$1)
   )
   / AVERAGEIFS('Data(perCrop)'!$L:$L,
                'Data(perCrop)'!$B:$B,O$22,
                'Data(perCrop)'!$O:$O,$A25,
                'Data(perCrop)'!$H:$H,Yield_Gap!$A$1),""),"")</f>
        <v/>
      </c>
      <c r="P25" s="51" t="str">
        <f>IFERROR(IF(AND(ISNUMBER($C15),P$23&lt;&gt;14,P$23&lt;&gt;15),
   ( AVERAGEIFS('Data(perCrop)'!$L:$L,
                'Data(perCrop)'!$B:$B,P$22,
                'Data(perCrop)'!$O:$O,$A25,
                'Data(perCrop)'!$H:$H,Yield_Gap!$A$1)
   - AVERAGEIFS('Data(perCrop)'!$K:$K,
                'Data(perCrop)'!$B:$B,P$22,
                'Data(perCrop)'!$O:$O,$A25,
                'Data(perCrop)'!$H:$H,Yield_Gap!$A$1)
   )
   / AVERAGEIFS('Data(perCrop)'!$L:$L,
                'Data(perCrop)'!$B:$B,P$22,
                'Data(perCrop)'!$O:$O,$A25,
                'Data(perCrop)'!$H:$H,Yield_Gap!$A$1),""),"")</f>
        <v/>
      </c>
      <c r="Q25" s="51" t="str">
        <f>IFERROR(IF(AND(ISNUMBER($C15),Q$23&lt;&gt;14,Q$23&lt;&gt;15),
   ( AVERAGEIFS('Data(perCrop)'!$L:$L,
                'Data(perCrop)'!$B:$B,Q$22,
                'Data(perCrop)'!$O:$O,$A25,
                'Data(perCrop)'!$H:$H,Yield_Gap!$A$1)
   - AVERAGEIFS('Data(perCrop)'!$K:$K,
                'Data(perCrop)'!$B:$B,Q$22,
                'Data(perCrop)'!$O:$O,$A25,
                'Data(perCrop)'!$H:$H,Yield_Gap!$A$1)
   )
   / AVERAGEIFS('Data(perCrop)'!$L:$L,
                'Data(perCrop)'!$B:$B,Q$22,
                'Data(perCrop)'!$O:$O,$A25,
                'Data(perCrop)'!$H:$H,Yield_Gap!$A$1),""),"")</f>
        <v/>
      </c>
      <c r="R25" s="51">
        <f>IFERROR(IF(AND(ISNUMBER($C15),R$23&lt;&gt;14,R$23&lt;&gt;15),
   ( AVERAGEIFS('Data(perCrop)'!$L:$L,
                'Data(perCrop)'!$B:$B,R$22,
                'Data(perCrop)'!$O:$O,$A25,
                'Data(perCrop)'!$H:$H,Yield_Gap!$A$1)
   - AVERAGEIFS('Data(perCrop)'!$K:$K,
                'Data(perCrop)'!$B:$B,R$22,
                'Data(perCrop)'!$O:$O,$A25,
                'Data(perCrop)'!$H:$H,Yield_Gap!$A$1)
   )
   / AVERAGEIFS('Data(perCrop)'!$L:$L,
                'Data(perCrop)'!$B:$B,R$22,
                'Data(perCrop)'!$O:$O,$A25,
                'Data(perCrop)'!$H:$H,Yield_Gap!$A$1),""),"")</f>
        <v>0.40328175761246626</v>
      </c>
      <c r="S25" s="51" t="str">
        <f>IFERROR(IF(AND(ISNUMBER($C15),S$23&lt;&gt;14,S$23&lt;&gt;15),
   ( AVERAGEIFS('Data(perCrop)'!$L:$L,
                'Data(perCrop)'!$B:$B,S$22,
                'Data(perCrop)'!$O:$O,$A25,
                'Data(perCrop)'!$H:$H,Yield_Gap!$A$1)
   - AVERAGEIFS('Data(perCrop)'!$K:$K,
                'Data(perCrop)'!$B:$B,S$22,
                'Data(perCrop)'!$O:$O,$A25,
                'Data(perCrop)'!$H:$H,Yield_Gap!$A$1)
   )
   / AVERAGEIFS('Data(perCrop)'!$L:$L,
                'Data(perCrop)'!$B:$B,S$22,
                'Data(perCrop)'!$O:$O,$A25,
                'Data(perCrop)'!$H:$H,Yield_Gap!$A$1),""),"")</f>
        <v/>
      </c>
      <c r="T25" s="51" t="str">
        <f>IFERROR(IF(AND(ISNUMBER($C15),T$23&lt;&gt;14,T$23&lt;&gt;15),
   ( AVERAGEIFS('Data(perCrop)'!$L:$L,
                'Data(perCrop)'!$B:$B,T$22,
                'Data(perCrop)'!$O:$O,$A25,
                'Data(perCrop)'!$H:$H,Yield_Gap!$A$1)
   - AVERAGEIFS('Data(perCrop)'!$K:$K,
                'Data(perCrop)'!$B:$B,T$22,
                'Data(perCrop)'!$O:$O,$A25,
                'Data(perCrop)'!$H:$H,Yield_Gap!$A$1)
   )
   / AVERAGEIFS('Data(perCrop)'!$L:$L,
                'Data(perCrop)'!$B:$B,T$22,
                'Data(perCrop)'!$O:$O,$A25,
                'Data(perCrop)'!$H:$H,Yield_Gap!$A$1),""),"")</f>
        <v/>
      </c>
      <c r="U25" s="51">
        <f>IFERROR(IF(AND(ISNUMBER($C15),U$23&lt;&gt;14,U$23&lt;&gt;15),
   ( AVERAGEIFS('Data(perCrop)'!$L:$L,
                'Data(perCrop)'!$B:$B,U$22,
                'Data(perCrop)'!$O:$O,$A25,
                'Data(perCrop)'!$H:$H,Yield_Gap!$A$1)
   - AVERAGEIFS('Data(perCrop)'!$K:$K,
                'Data(perCrop)'!$B:$B,U$22,
                'Data(perCrop)'!$O:$O,$A25,
                'Data(perCrop)'!$H:$H,Yield_Gap!$A$1)
   )
   / AVERAGEIFS('Data(perCrop)'!$L:$L,
                'Data(perCrop)'!$B:$B,U$22,
                'Data(perCrop)'!$O:$O,$A25,
                'Data(perCrop)'!$H:$H,Yield_Gap!$A$1),""),"")</f>
        <v>0.2304906316399459</v>
      </c>
      <c r="V25" s="51" t="str">
        <f>IFERROR(IF(AND(ISNUMBER($C15),V$23&lt;&gt;14,V$23&lt;&gt;15),
   ( AVERAGEIFS('Data(perCrop)'!$L:$L,
                'Data(perCrop)'!$B:$B,V$22,
                'Data(perCrop)'!$O:$O,$A25,
                'Data(perCrop)'!$H:$H,Yield_Gap!$A$1)
   - AVERAGEIFS('Data(perCrop)'!$K:$K,
                'Data(perCrop)'!$B:$B,V$22,
                'Data(perCrop)'!$O:$O,$A25,
                'Data(perCrop)'!$H:$H,Yield_Gap!$A$1)
   )
   / AVERAGEIFS('Data(perCrop)'!$L:$L,
                'Data(perCrop)'!$B:$B,V$22,
                'Data(perCrop)'!$O:$O,$A25,
                'Data(perCrop)'!$H:$H,Yield_Gap!$A$1),""),"")</f>
        <v/>
      </c>
      <c r="W25" s="51" t="str">
        <f>IFERROR(IF(AND(ISNUMBER($C15),W$23&lt;&gt;14,W$23&lt;&gt;15),
   ( AVERAGEIFS('Data(perCrop)'!$L:$L,
                'Data(perCrop)'!$B:$B,W$22,
                'Data(perCrop)'!$O:$O,$A25,
                'Data(perCrop)'!$H:$H,Yield_Gap!$A$1)
   - AVERAGEIFS('Data(perCrop)'!$K:$K,
                'Data(perCrop)'!$B:$B,W$22,
                'Data(perCrop)'!$O:$O,$A25,
                'Data(perCrop)'!$H:$H,Yield_Gap!$A$1)
   )
   / AVERAGEIFS('Data(perCrop)'!$L:$L,
                'Data(perCrop)'!$B:$B,W$22,
                'Data(perCrop)'!$O:$O,$A25,
                'Data(perCrop)'!$H:$H,Yield_Gap!$A$1),""),"")</f>
        <v/>
      </c>
      <c r="X25" s="51" t="str">
        <f>IFERROR(IF(AND(ISNUMBER($C15),X$23&lt;&gt;14,X$23&lt;&gt;15),
   ( AVERAGEIFS('Data(perCrop)'!$L:$L,
                'Data(perCrop)'!$B:$B,X$22,
                'Data(perCrop)'!$O:$O,$A25,
                'Data(perCrop)'!$H:$H,Yield_Gap!$A$1)
   - AVERAGEIFS('Data(perCrop)'!$K:$K,
                'Data(perCrop)'!$B:$B,X$22,
                'Data(perCrop)'!$O:$O,$A25,
                'Data(perCrop)'!$H:$H,Yield_Gap!$A$1)
   )
   / AVERAGEIFS('Data(perCrop)'!$L:$L,
                'Data(perCrop)'!$B:$B,X$22,
                'Data(perCrop)'!$O:$O,$A25,
                'Data(perCrop)'!$H:$H,Yield_Gap!$A$1),""),"")</f>
        <v/>
      </c>
      <c r="Y25" s="51" t="str">
        <f>IFERROR(IF(AND(ISNUMBER($C15),Y$23&lt;&gt;14,Y$23&lt;&gt;15),
   ( AVERAGEIFS('Data(perCrop)'!$L:$L,
                'Data(perCrop)'!$B:$B,Y$22,
                'Data(perCrop)'!$O:$O,$A25,
                'Data(perCrop)'!$H:$H,Yield_Gap!$A$1)
   - AVERAGEIFS('Data(perCrop)'!$K:$K,
                'Data(perCrop)'!$B:$B,Y$22,
                'Data(perCrop)'!$O:$O,$A25,
                'Data(perCrop)'!$H:$H,Yield_Gap!$A$1)
   )
   / AVERAGEIFS('Data(perCrop)'!$L:$L,
                'Data(perCrop)'!$B:$B,Y$22,
                'Data(perCrop)'!$O:$O,$A25,
                'Data(perCrop)'!$H:$H,Yield_Gap!$A$1),""),"")</f>
        <v/>
      </c>
      <c r="Z25" s="51" t="str">
        <f>IFERROR(IF(AND(ISNUMBER($C15),Z$23&lt;&gt;14,Z$23&lt;&gt;15),
   ( AVERAGEIFS('Data(perCrop)'!$L:$L,
                'Data(perCrop)'!$B:$B,Z$22,
                'Data(perCrop)'!$O:$O,$A25,
                'Data(perCrop)'!$H:$H,Yield_Gap!$A$1)
   - AVERAGEIFS('Data(perCrop)'!$K:$K,
                'Data(perCrop)'!$B:$B,Z$22,
                'Data(perCrop)'!$O:$O,$A25,
                'Data(perCrop)'!$H:$H,Yield_Gap!$A$1)
   )
   / AVERAGEIFS('Data(perCrop)'!$L:$L,
                'Data(perCrop)'!$B:$B,Z$22,
                'Data(perCrop)'!$O:$O,$A25,
                'Data(perCrop)'!$H:$H,Yield_Gap!$A$1),""),"")</f>
        <v/>
      </c>
      <c r="AA25" s="51" t="str">
        <f>IFERROR(IF(AND(ISNUMBER($C15),AA$23&lt;&gt;14,AA$23&lt;&gt;15),
   ( AVERAGEIFS('Data(perCrop)'!$L:$L,
                'Data(perCrop)'!$B:$B,AA$22,
                'Data(perCrop)'!$O:$O,$A25,
                'Data(perCrop)'!$H:$H,Yield_Gap!$A$1)
   - AVERAGEIFS('Data(perCrop)'!$K:$K,
                'Data(perCrop)'!$B:$B,AA$22,
                'Data(perCrop)'!$O:$O,$A25,
                'Data(perCrop)'!$H:$H,Yield_Gap!$A$1)
   )
   / AVERAGEIFS('Data(perCrop)'!$L:$L,
                'Data(perCrop)'!$B:$B,AA$22,
                'Data(perCrop)'!$O:$O,$A25,
                'Data(perCrop)'!$H:$H,Yield_Gap!$A$1),""),"")</f>
        <v/>
      </c>
      <c r="AB25" s="51" t="str">
        <f>IFERROR(IF(AND(ISNUMBER($C15),AB$23&lt;&gt;14,AB$23&lt;&gt;15),
   ( AVERAGEIFS('Data(perCrop)'!$L:$L,
                'Data(perCrop)'!$B:$B,AB$22,
                'Data(perCrop)'!$O:$O,$A25,
                'Data(perCrop)'!$H:$H,Yield_Gap!$A$1)
   - AVERAGEIFS('Data(perCrop)'!$K:$K,
                'Data(perCrop)'!$B:$B,AB$22,
                'Data(perCrop)'!$O:$O,$A25,
                'Data(perCrop)'!$H:$H,Yield_Gap!$A$1)
   )
   / AVERAGEIFS('Data(perCrop)'!$L:$L,
                'Data(perCrop)'!$B:$B,AB$22,
                'Data(perCrop)'!$O:$O,$A25,
                'Data(perCrop)'!$H:$H,Yield_Gap!$A$1),""),"")</f>
        <v/>
      </c>
      <c r="AC25" s="51" t="str">
        <f>IFERROR(IF(AND(ISNUMBER($C15),AC$23&lt;&gt;14,AC$23&lt;&gt;15),
   ( AVERAGEIFS('Data(perCrop)'!$L:$L,
                'Data(perCrop)'!$B:$B,AC$22,
                'Data(perCrop)'!$O:$O,$A25,
                'Data(perCrop)'!$H:$H,Yield_Gap!$A$1)
   - AVERAGEIFS('Data(perCrop)'!$K:$K,
                'Data(perCrop)'!$B:$B,AC$22,
                'Data(perCrop)'!$O:$O,$A25,
                'Data(perCrop)'!$H:$H,Yield_Gap!$A$1)
   )
   / AVERAGEIFS('Data(perCrop)'!$L:$L,
                'Data(perCrop)'!$B:$B,AC$22,
                'Data(perCrop)'!$O:$O,$A25,
                'Data(perCrop)'!$H:$H,Yield_Gap!$A$1),""),"")</f>
        <v/>
      </c>
      <c r="AD25" s="51" t="str">
        <f>IFERROR(IF(AND(ISNUMBER($C15),AD$23&lt;&gt;14,AD$23&lt;&gt;15),
   ( AVERAGEIFS('Data(perCrop)'!$L:$L,
                'Data(perCrop)'!$B:$B,AD$22,
                'Data(perCrop)'!$O:$O,$A25,
                'Data(perCrop)'!$H:$H,Yield_Gap!$A$1)
   - AVERAGEIFS('Data(perCrop)'!$K:$K,
                'Data(perCrop)'!$B:$B,AD$22,
                'Data(perCrop)'!$O:$O,$A25,
                'Data(perCrop)'!$H:$H,Yield_Gap!$A$1)
   )
   / AVERAGEIFS('Data(perCrop)'!$L:$L,
                'Data(perCrop)'!$B:$B,AD$22,
                'Data(perCrop)'!$O:$O,$A25,
                'Data(perCrop)'!$H:$H,Yield_Gap!$A$1),""),"")</f>
        <v/>
      </c>
      <c r="AE25" s="51" t="str">
        <f>IFERROR(IF(AND(ISNUMBER($C15),AE$23&lt;&gt;14,AE$23&lt;&gt;15),
   ( AVERAGEIFS('Data(perCrop)'!$L:$L,
                'Data(perCrop)'!$B:$B,AE$22,
                'Data(perCrop)'!$O:$O,$A25,
                'Data(perCrop)'!$H:$H,Yield_Gap!$A$1)
   - AVERAGEIFS('Data(perCrop)'!$K:$K,
                'Data(perCrop)'!$B:$B,AE$22,
                'Data(perCrop)'!$O:$O,$A25,
                'Data(perCrop)'!$H:$H,Yield_Gap!$A$1)
   )
   / AVERAGEIFS('Data(perCrop)'!$L:$L,
                'Data(perCrop)'!$B:$B,AE$22,
                'Data(perCrop)'!$O:$O,$A25,
                'Data(perCrop)'!$H:$H,Yield_Gap!$A$1),""),"")</f>
        <v/>
      </c>
      <c r="AF25" s="51" t="str">
        <f>IFERROR(IF(AND(ISNUMBER($C15),AF$23&lt;&gt;14,AF$23&lt;&gt;15),
   ( AVERAGEIFS('Data(perCrop)'!$L:$L,
                'Data(perCrop)'!$B:$B,AF$22,
                'Data(perCrop)'!$O:$O,$A25,
                'Data(perCrop)'!$H:$H,Yield_Gap!$A$1)
   - AVERAGEIFS('Data(perCrop)'!$K:$K,
                'Data(perCrop)'!$B:$B,AF$22,
                'Data(perCrop)'!$O:$O,$A25,
                'Data(perCrop)'!$H:$H,Yield_Gap!$A$1)
   )
   / AVERAGEIFS('Data(perCrop)'!$L:$L,
                'Data(perCrop)'!$B:$B,AF$22,
                'Data(perCrop)'!$O:$O,$A25,
                'Data(perCrop)'!$H:$H,Yield_Gap!$A$1),""),"")</f>
        <v/>
      </c>
    </row>
    <row r="26" spans="1:32" ht="18.75" x14ac:dyDescent="0.3">
      <c r="A26" s="42">
        <v>2020</v>
      </c>
      <c r="B26" s="51" t="str">
        <f>IFERROR(IF(AND(ISNUMBER($C16),B$23&lt;&gt;14,B$23&lt;&gt;15),
   ( AVERAGEIFS('Data(perCrop)'!$L:$L,
                'Data(perCrop)'!$B:$B,B$22,
                'Data(perCrop)'!$O:$O,$A26,
                'Data(perCrop)'!$H:$H,Yield_Gap!$A$1)
   - AVERAGEIFS('Data(perCrop)'!$K:$K,
                'Data(perCrop)'!$B:$B,B$22,
                'Data(perCrop)'!$O:$O,$A26,
                'Data(perCrop)'!$H:$H,Yield_Gap!$A$1)
   )
   / AVERAGEIFS('Data(perCrop)'!$L:$L,
                'Data(perCrop)'!$B:$B,B$22,
                'Data(perCrop)'!$O:$O,$A26,
                'Data(perCrop)'!$H:$H,Yield_Gap!$A$1),""),"")</f>
        <v/>
      </c>
      <c r="C26" s="51">
        <f>IFERROR(IF(AND(ISNUMBER($C16),C$23&lt;&gt;14,C$23&lt;&gt;15),
   ( AVERAGEIFS('Data(perCrop)'!$L:$L,
                'Data(perCrop)'!$B:$B,C$22,
                'Data(perCrop)'!$O:$O,$A26,
                'Data(perCrop)'!$H:$H,Yield_Gap!$A$1)
   - AVERAGEIFS('Data(perCrop)'!$K:$K,
                'Data(perCrop)'!$B:$B,C$22,
                'Data(perCrop)'!$O:$O,$A26,
                'Data(perCrop)'!$H:$H,Yield_Gap!$A$1)
   )
   / AVERAGEIFS('Data(perCrop)'!$L:$L,
                'Data(perCrop)'!$B:$B,C$22,
                'Data(perCrop)'!$O:$O,$A26,
                'Data(perCrop)'!$H:$H,Yield_Gap!$A$1),""),"")</f>
        <v>0.25537726186411747</v>
      </c>
      <c r="D26" s="51" t="str">
        <f>IFERROR(IF(AND(ISNUMBER($C16),D$23&lt;&gt;14,D$23&lt;&gt;15),
   ( AVERAGEIFS('Data(perCrop)'!$L:$L,
                'Data(perCrop)'!$B:$B,D$22,
                'Data(perCrop)'!$O:$O,$A26,
                'Data(perCrop)'!$H:$H,Yield_Gap!$A$1)
   - AVERAGEIFS('Data(perCrop)'!$K:$K,
                'Data(perCrop)'!$B:$B,D$22,
                'Data(perCrop)'!$O:$O,$A26,
                'Data(perCrop)'!$H:$H,Yield_Gap!$A$1)
   )
   / AVERAGEIFS('Data(perCrop)'!$L:$L,
                'Data(perCrop)'!$B:$B,D$22,
                'Data(perCrop)'!$O:$O,$A26,
                'Data(perCrop)'!$H:$H,Yield_Gap!$A$1),""),"")</f>
        <v/>
      </c>
      <c r="E26" s="51" t="str">
        <f>IFERROR(IF(AND(ISNUMBER($C16),E$23&lt;&gt;14,E$23&lt;&gt;15),
   ( AVERAGEIFS('Data(perCrop)'!$L:$L,
                'Data(perCrop)'!$B:$B,E$22,
                'Data(perCrop)'!$O:$O,$A26,
                'Data(perCrop)'!$H:$H,Yield_Gap!$A$1)
   - AVERAGEIFS('Data(perCrop)'!$K:$K,
                'Data(perCrop)'!$B:$B,E$22,
                'Data(perCrop)'!$O:$O,$A26,
                'Data(perCrop)'!$H:$H,Yield_Gap!$A$1)
   )
   / AVERAGEIFS('Data(perCrop)'!$L:$L,
                'Data(perCrop)'!$B:$B,E$22,
                'Data(perCrop)'!$O:$O,$A26,
                'Data(perCrop)'!$H:$H,Yield_Gap!$A$1),""),"")</f>
        <v/>
      </c>
      <c r="F26" s="51" t="str">
        <f>IFERROR(IF(AND(ISNUMBER($C16),F$23&lt;&gt;14,F$23&lt;&gt;15),
   ( AVERAGEIFS('Data(perCrop)'!$L:$L,
                'Data(perCrop)'!$B:$B,F$22,
                'Data(perCrop)'!$O:$O,$A26,
                'Data(perCrop)'!$H:$H,Yield_Gap!$A$1)
   - AVERAGEIFS('Data(perCrop)'!$K:$K,
                'Data(perCrop)'!$B:$B,F$22,
                'Data(perCrop)'!$O:$O,$A26,
                'Data(perCrop)'!$H:$H,Yield_Gap!$A$1)
   )
   / AVERAGEIFS('Data(perCrop)'!$L:$L,
                'Data(perCrop)'!$B:$B,F$22,
                'Data(perCrop)'!$O:$O,$A26,
                'Data(perCrop)'!$H:$H,Yield_Gap!$A$1),""),"")</f>
        <v/>
      </c>
      <c r="G26" s="51" t="str">
        <f>IFERROR(IF(AND(ISNUMBER($C16),G$23&lt;&gt;14,G$23&lt;&gt;15),
   ( AVERAGEIFS('Data(perCrop)'!$L:$L,
                'Data(perCrop)'!$B:$B,G$22,
                'Data(perCrop)'!$O:$O,$A26,
                'Data(perCrop)'!$H:$H,Yield_Gap!$A$1)
   - AVERAGEIFS('Data(perCrop)'!$K:$K,
                'Data(perCrop)'!$B:$B,G$22,
                'Data(perCrop)'!$O:$O,$A26,
                'Data(perCrop)'!$H:$H,Yield_Gap!$A$1)
   )
   / AVERAGEIFS('Data(perCrop)'!$L:$L,
                'Data(perCrop)'!$B:$B,G$22,
                'Data(perCrop)'!$O:$O,$A26,
                'Data(perCrop)'!$H:$H,Yield_Gap!$A$1),""),"")</f>
        <v/>
      </c>
      <c r="H26" s="51" t="str">
        <f>IFERROR(IF(AND(ISNUMBER($C16),H$23&lt;&gt;14,H$23&lt;&gt;15),
   ( AVERAGEIFS('Data(perCrop)'!$L:$L,
                'Data(perCrop)'!$B:$B,H$22,
                'Data(perCrop)'!$O:$O,$A26,
                'Data(perCrop)'!$H:$H,Yield_Gap!$A$1)
   - AVERAGEIFS('Data(perCrop)'!$K:$K,
                'Data(perCrop)'!$B:$B,H$22,
                'Data(perCrop)'!$O:$O,$A26,
                'Data(perCrop)'!$H:$H,Yield_Gap!$A$1)
   )
   / AVERAGEIFS('Data(perCrop)'!$L:$L,
                'Data(perCrop)'!$B:$B,H$22,
                'Data(perCrop)'!$O:$O,$A26,
                'Data(perCrop)'!$H:$H,Yield_Gap!$A$1),""),"")</f>
        <v/>
      </c>
      <c r="I26" s="51" t="str">
        <f>IFERROR(IF(AND(ISNUMBER($C16),I$23&lt;&gt;14,I$23&lt;&gt;15),
   ( AVERAGEIFS('Data(perCrop)'!$L:$L,
                'Data(perCrop)'!$B:$B,I$22,
                'Data(perCrop)'!$O:$O,$A26,
                'Data(perCrop)'!$H:$H,Yield_Gap!$A$1)
   - AVERAGEIFS('Data(perCrop)'!$K:$K,
                'Data(perCrop)'!$B:$B,I$22,
                'Data(perCrop)'!$O:$O,$A26,
                'Data(perCrop)'!$H:$H,Yield_Gap!$A$1)
   )
   / AVERAGEIFS('Data(perCrop)'!$L:$L,
                'Data(perCrop)'!$B:$B,I$22,
                'Data(perCrop)'!$O:$O,$A26,
                'Data(perCrop)'!$H:$H,Yield_Gap!$A$1),""),"")</f>
        <v/>
      </c>
      <c r="J26" s="51" t="str">
        <f>IFERROR(IF(AND(ISNUMBER($C16),J$23&lt;&gt;14,J$23&lt;&gt;15),
   ( AVERAGEIFS('Data(perCrop)'!$L:$L,
                'Data(perCrop)'!$B:$B,J$22,
                'Data(perCrop)'!$O:$O,$A26,
                'Data(perCrop)'!$H:$H,Yield_Gap!$A$1)
   - AVERAGEIFS('Data(perCrop)'!$K:$K,
                'Data(perCrop)'!$B:$B,J$22,
                'Data(perCrop)'!$O:$O,$A26,
                'Data(perCrop)'!$H:$H,Yield_Gap!$A$1)
   )
   / AVERAGEIFS('Data(perCrop)'!$L:$L,
                'Data(perCrop)'!$B:$B,J$22,
                'Data(perCrop)'!$O:$O,$A26,
                'Data(perCrop)'!$H:$H,Yield_Gap!$A$1),""),"")</f>
        <v/>
      </c>
      <c r="K26" s="51" t="str">
        <f>IFERROR(IF(AND(ISNUMBER($C16),K$23&lt;&gt;14,K$23&lt;&gt;15),
   ( AVERAGEIFS('Data(perCrop)'!$L:$L,
                'Data(perCrop)'!$B:$B,K$22,
                'Data(perCrop)'!$O:$O,$A26,
                'Data(perCrop)'!$H:$H,Yield_Gap!$A$1)
   - AVERAGEIFS('Data(perCrop)'!$K:$K,
                'Data(perCrop)'!$B:$B,K$22,
                'Data(perCrop)'!$O:$O,$A26,
                'Data(perCrop)'!$H:$H,Yield_Gap!$A$1)
   )
   / AVERAGEIFS('Data(perCrop)'!$L:$L,
                'Data(perCrop)'!$B:$B,K$22,
                'Data(perCrop)'!$O:$O,$A26,
                'Data(perCrop)'!$H:$H,Yield_Gap!$A$1),""),"")</f>
        <v/>
      </c>
      <c r="L26" s="51" t="str">
        <f>IFERROR(IF(AND(ISNUMBER($C16),L$23&lt;&gt;14,L$23&lt;&gt;15),
   ( AVERAGEIFS('Data(perCrop)'!$L:$L,
                'Data(perCrop)'!$B:$B,L$22,
                'Data(perCrop)'!$O:$O,$A26,
                'Data(perCrop)'!$H:$H,Yield_Gap!$A$1)
   - AVERAGEIFS('Data(perCrop)'!$K:$K,
                'Data(perCrop)'!$B:$B,L$22,
                'Data(perCrop)'!$O:$O,$A26,
                'Data(perCrop)'!$H:$H,Yield_Gap!$A$1)
   )
   / AVERAGEIFS('Data(perCrop)'!$L:$L,
                'Data(perCrop)'!$B:$B,L$22,
                'Data(perCrop)'!$O:$O,$A26,
                'Data(perCrop)'!$H:$H,Yield_Gap!$A$1),""),"")</f>
        <v/>
      </c>
      <c r="M26" s="51" t="str">
        <f>IFERROR(IF(AND(ISNUMBER($C16),M$23&lt;&gt;14,M$23&lt;&gt;15),
   ( AVERAGEIFS('Data(perCrop)'!$L:$L,
                'Data(perCrop)'!$B:$B,M$22,
                'Data(perCrop)'!$O:$O,$A26,
                'Data(perCrop)'!$H:$H,Yield_Gap!$A$1)
   - AVERAGEIFS('Data(perCrop)'!$K:$K,
                'Data(perCrop)'!$B:$B,M$22,
                'Data(perCrop)'!$O:$O,$A26,
                'Data(perCrop)'!$H:$H,Yield_Gap!$A$1)
   )
   / AVERAGEIFS('Data(perCrop)'!$L:$L,
                'Data(perCrop)'!$B:$B,M$22,
                'Data(perCrop)'!$O:$O,$A26,
                'Data(perCrop)'!$H:$H,Yield_Gap!$A$1),""),"")</f>
        <v/>
      </c>
      <c r="N26" s="51" t="str">
        <f>IFERROR(IF(AND(ISNUMBER($C16),N$23&lt;&gt;14,N$23&lt;&gt;15),
   ( AVERAGEIFS('Data(perCrop)'!$L:$L,
                'Data(perCrop)'!$B:$B,N$22,
                'Data(perCrop)'!$O:$O,$A26,
                'Data(perCrop)'!$H:$H,Yield_Gap!$A$1)
   - AVERAGEIFS('Data(perCrop)'!$K:$K,
                'Data(perCrop)'!$B:$B,N$22,
                'Data(perCrop)'!$O:$O,$A26,
                'Data(perCrop)'!$H:$H,Yield_Gap!$A$1)
   )
   / AVERAGEIFS('Data(perCrop)'!$L:$L,
                'Data(perCrop)'!$B:$B,N$22,
                'Data(perCrop)'!$O:$O,$A26,
                'Data(perCrop)'!$H:$H,Yield_Gap!$A$1),""),"")</f>
        <v/>
      </c>
      <c r="O26" s="51" t="str">
        <f>IFERROR(IF(AND(ISNUMBER($C16),O$23&lt;&gt;14,O$23&lt;&gt;15),
   ( AVERAGEIFS('Data(perCrop)'!$L:$L,
                'Data(perCrop)'!$B:$B,O$22,
                'Data(perCrop)'!$O:$O,$A26,
                'Data(perCrop)'!$H:$H,Yield_Gap!$A$1)
   - AVERAGEIFS('Data(perCrop)'!$K:$K,
                'Data(perCrop)'!$B:$B,O$22,
                'Data(perCrop)'!$O:$O,$A26,
                'Data(perCrop)'!$H:$H,Yield_Gap!$A$1)
   )
   / AVERAGEIFS('Data(perCrop)'!$L:$L,
                'Data(perCrop)'!$B:$B,O$22,
                'Data(perCrop)'!$O:$O,$A26,
                'Data(perCrop)'!$H:$H,Yield_Gap!$A$1),""),"")</f>
        <v/>
      </c>
      <c r="P26" s="51" t="str">
        <f>IFERROR(IF(AND(ISNUMBER($C16),P$23&lt;&gt;14,P$23&lt;&gt;15),
   ( AVERAGEIFS('Data(perCrop)'!$L:$L,
                'Data(perCrop)'!$B:$B,P$22,
                'Data(perCrop)'!$O:$O,$A26,
                'Data(perCrop)'!$H:$H,Yield_Gap!$A$1)
   - AVERAGEIFS('Data(perCrop)'!$K:$K,
                'Data(perCrop)'!$B:$B,P$22,
                'Data(perCrop)'!$O:$O,$A26,
                'Data(perCrop)'!$H:$H,Yield_Gap!$A$1)
   )
   / AVERAGEIFS('Data(perCrop)'!$L:$L,
                'Data(perCrop)'!$B:$B,P$22,
                'Data(perCrop)'!$O:$O,$A26,
                'Data(perCrop)'!$H:$H,Yield_Gap!$A$1),""),"")</f>
        <v/>
      </c>
      <c r="Q26" s="51" t="str">
        <f>IFERROR(IF(AND(ISNUMBER($C16),Q$23&lt;&gt;14,Q$23&lt;&gt;15),
   ( AVERAGEIFS('Data(perCrop)'!$L:$L,
                'Data(perCrop)'!$B:$B,Q$22,
                'Data(perCrop)'!$O:$O,$A26,
                'Data(perCrop)'!$H:$H,Yield_Gap!$A$1)
   - AVERAGEIFS('Data(perCrop)'!$K:$K,
                'Data(perCrop)'!$B:$B,Q$22,
                'Data(perCrop)'!$O:$O,$A26,
                'Data(perCrop)'!$H:$H,Yield_Gap!$A$1)
   )
   / AVERAGEIFS('Data(perCrop)'!$L:$L,
                'Data(perCrop)'!$B:$B,Q$22,
                'Data(perCrop)'!$O:$O,$A26,
                'Data(perCrop)'!$H:$H,Yield_Gap!$A$1),""),"")</f>
        <v/>
      </c>
      <c r="R26" s="51">
        <f>IFERROR(IF(AND(ISNUMBER($C16),R$23&lt;&gt;14,R$23&lt;&gt;15),
   ( AVERAGEIFS('Data(perCrop)'!$L:$L,
                'Data(perCrop)'!$B:$B,R$22,
                'Data(perCrop)'!$O:$O,$A26,
                'Data(perCrop)'!$H:$H,Yield_Gap!$A$1)
   - AVERAGEIFS('Data(perCrop)'!$K:$K,
                'Data(perCrop)'!$B:$B,R$22,
                'Data(perCrop)'!$O:$O,$A26,
                'Data(perCrop)'!$H:$H,Yield_Gap!$A$1)
   )
   / AVERAGEIFS('Data(perCrop)'!$L:$L,
                'Data(perCrop)'!$B:$B,R$22,
                'Data(perCrop)'!$O:$O,$A26,
                'Data(perCrop)'!$H:$H,Yield_Gap!$A$1),""),"")</f>
        <v>0.26936750111094654</v>
      </c>
      <c r="S26" s="51" t="str">
        <f>IFERROR(IF(AND(ISNUMBER($C16),S$23&lt;&gt;14,S$23&lt;&gt;15),
   ( AVERAGEIFS('Data(perCrop)'!$L:$L,
                'Data(perCrop)'!$B:$B,S$22,
                'Data(perCrop)'!$O:$O,$A26,
                'Data(perCrop)'!$H:$H,Yield_Gap!$A$1)
   - AVERAGEIFS('Data(perCrop)'!$K:$K,
                'Data(perCrop)'!$B:$B,S$22,
                'Data(perCrop)'!$O:$O,$A26,
                'Data(perCrop)'!$H:$H,Yield_Gap!$A$1)
   )
   / AVERAGEIFS('Data(perCrop)'!$L:$L,
                'Data(perCrop)'!$B:$B,S$22,
                'Data(perCrop)'!$O:$O,$A26,
                'Data(perCrop)'!$H:$H,Yield_Gap!$A$1),""),"")</f>
        <v/>
      </c>
      <c r="T26" s="51" t="str">
        <f>IFERROR(IF(AND(ISNUMBER($C16),T$23&lt;&gt;14,T$23&lt;&gt;15),
   ( AVERAGEIFS('Data(perCrop)'!$L:$L,
                'Data(perCrop)'!$B:$B,T$22,
                'Data(perCrop)'!$O:$O,$A26,
                'Data(perCrop)'!$H:$H,Yield_Gap!$A$1)
   - AVERAGEIFS('Data(perCrop)'!$K:$K,
                'Data(perCrop)'!$B:$B,T$22,
                'Data(perCrop)'!$O:$O,$A26,
                'Data(perCrop)'!$H:$H,Yield_Gap!$A$1)
   )
   / AVERAGEIFS('Data(perCrop)'!$L:$L,
                'Data(perCrop)'!$B:$B,T$22,
                'Data(perCrop)'!$O:$O,$A26,
                'Data(perCrop)'!$H:$H,Yield_Gap!$A$1),""),"")</f>
        <v/>
      </c>
      <c r="U26" s="51">
        <f>IFERROR(IF(AND(ISNUMBER($C16),U$23&lt;&gt;14,U$23&lt;&gt;15),
   ( AVERAGEIFS('Data(perCrop)'!$L:$L,
                'Data(perCrop)'!$B:$B,U$22,
                'Data(perCrop)'!$O:$O,$A26,
                'Data(perCrop)'!$H:$H,Yield_Gap!$A$1)
   - AVERAGEIFS('Data(perCrop)'!$K:$K,
                'Data(perCrop)'!$B:$B,U$22,
                'Data(perCrop)'!$O:$O,$A26,
                'Data(perCrop)'!$H:$H,Yield_Gap!$A$1)
   )
   / AVERAGEIFS('Data(perCrop)'!$L:$L,
                'Data(perCrop)'!$B:$B,U$22,
                'Data(perCrop)'!$O:$O,$A26,
                'Data(perCrop)'!$H:$H,Yield_Gap!$A$1),""),"")</f>
        <v>0.25675006873797085</v>
      </c>
      <c r="V26" s="51" t="str">
        <f>IFERROR(IF(AND(ISNUMBER($C16),V$23&lt;&gt;14,V$23&lt;&gt;15),
   ( AVERAGEIFS('Data(perCrop)'!$L:$L,
                'Data(perCrop)'!$B:$B,V$22,
                'Data(perCrop)'!$O:$O,$A26,
                'Data(perCrop)'!$H:$H,Yield_Gap!$A$1)
   - AVERAGEIFS('Data(perCrop)'!$K:$K,
                'Data(perCrop)'!$B:$B,V$22,
                'Data(perCrop)'!$O:$O,$A26,
                'Data(perCrop)'!$H:$H,Yield_Gap!$A$1)
   )
   / AVERAGEIFS('Data(perCrop)'!$L:$L,
                'Data(perCrop)'!$B:$B,V$22,
                'Data(perCrop)'!$O:$O,$A26,
                'Data(perCrop)'!$H:$H,Yield_Gap!$A$1),""),"")</f>
        <v/>
      </c>
      <c r="W26" s="51" t="str">
        <f>IFERROR(IF(AND(ISNUMBER($C16),W$23&lt;&gt;14,W$23&lt;&gt;15),
   ( AVERAGEIFS('Data(perCrop)'!$L:$L,
                'Data(perCrop)'!$B:$B,W$22,
                'Data(perCrop)'!$O:$O,$A26,
                'Data(perCrop)'!$H:$H,Yield_Gap!$A$1)
   - AVERAGEIFS('Data(perCrop)'!$K:$K,
                'Data(perCrop)'!$B:$B,W$22,
                'Data(perCrop)'!$O:$O,$A26,
                'Data(perCrop)'!$H:$H,Yield_Gap!$A$1)
   )
   / AVERAGEIFS('Data(perCrop)'!$L:$L,
                'Data(perCrop)'!$B:$B,W$22,
                'Data(perCrop)'!$O:$O,$A26,
                'Data(perCrop)'!$H:$H,Yield_Gap!$A$1),""),"")</f>
        <v/>
      </c>
      <c r="X26" s="51" t="str">
        <f>IFERROR(IF(AND(ISNUMBER($C16),X$23&lt;&gt;14,X$23&lt;&gt;15),
   ( AVERAGEIFS('Data(perCrop)'!$L:$L,
                'Data(perCrop)'!$B:$B,X$22,
                'Data(perCrop)'!$O:$O,$A26,
                'Data(perCrop)'!$H:$H,Yield_Gap!$A$1)
   - AVERAGEIFS('Data(perCrop)'!$K:$K,
                'Data(perCrop)'!$B:$B,X$22,
                'Data(perCrop)'!$O:$O,$A26,
                'Data(perCrop)'!$H:$H,Yield_Gap!$A$1)
   )
   / AVERAGEIFS('Data(perCrop)'!$L:$L,
                'Data(perCrop)'!$B:$B,X$22,
                'Data(perCrop)'!$O:$O,$A26,
                'Data(perCrop)'!$H:$H,Yield_Gap!$A$1),""),"")</f>
        <v/>
      </c>
      <c r="Y26" s="51" t="str">
        <f>IFERROR(IF(AND(ISNUMBER($C16),Y$23&lt;&gt;14,Y$23&lt;&gt;15),
   ( AVERAGEIFS('Data(perCrop)'!$L:$L,
                'Data(perCrop)'!$B:$B,Y$22,
                'Data(perCrop)'!$O:$O,$A26,
                'Data(perCrop)'!$H:$H,Yield_Gap!$A$1)
   - AVERAGEIFS('Data(perCrop)'!$K:$K,
                'Data(perCrop)'!$B:$B,Y$22,
                'Data(perCrop)'!$O:$O,$A26,
                'Data(perCrop)'!$H:$H,Yield_Gap!$A$1)
   )
   / AVERAGEIFS('Data(perCrop)'!$L:$L,
                'Data(perCrop)'!$B:$B,Y$22,
                'Data(perCrop)'!$O:$O,$A26,
                'Data(perCrop)'!$H:$H,Yield_Gap!$A$1),""),"")</f>
        <v/>
      </c>
      <c r="Z26" s="51" t="str">
        <f>IFERROR(IF(AND(ISNUMBER($C16),Z$23&lt;&gt;14,Z$23&lt;&gt;15),
   ( AVERAGEIFS('Data(perCrop)'!$L:$L,
                'Data(perCrop)'!$B:$B,Z$22,
                'Data(perCrop)'!$O:$O,$A26,
                'Data(perCrop)'!$H:$H,Yield_Gap!$A$1)
   - AVERAGEIFS('Data(perCrop)'!$K:$K,
                'Data(perCrop)'!$B:$B,Z$22,
                'Data(perCrop)'!$O:$O,$A26,
                'Data(perCrop)'!$H:$H,Yield_Gap!$A$1)
   )
   / AVERAGEIFS('Data(perCrop)'!$L:$L,
                'Data(perCrop)'!$B:$B,Z$22,
                'Data(perCrop)'!$O:$O,$A26,
                'Data(perCrop)'!$H:$H,Yield_Gap!$A$1),""),"")</f>
        <v/>
      </c>
      <c r="AA26" s="51" t="str">
        <f>IFERROR(IF(AND(ISNUMBER($C16),AA$23&lt;&gt;14,AA$23&lt;&gt;15),
   ( AVERAGEIFS('Data(perCrop)'!$L:$L,
                'Data(perCrop)'!$B:$B,AA$22,
                'Data(perCrop)'!$O:$O,$A26,
                'Data(perCrop)'!$H:$H,Yield_Gap!$A$1)
   - AVERAGEIFS('Data(perCrop)'!$K:$K,
                'Data(perCrop)'!$B:$B,AA$22,
                'Data(perCrop)'!$O:$O,$A26,
                'Data(perCrop)'!$H:$H,Yield_Gap!$A$1)
   )
   / AVERAGEIFS('Data(perCrop)'!$L:$L,
                'Data(perCrop)'!$B:$B,AA$22,
                'Data(perCrop)'!$O:$O,$A26,
                'Data(perCrop)'!$H:$H,Yield_Gap!$A$1),""),"")</f>
        <v/>
      </c>
      <c r="AB26" s="51" t="str">
        <f>IFERROR(IF(AND(ISNUMBER($C16),AB$23&lt;&gt;14,AB$23&lt;&gt;15),
   ( AVERAGEIFS('Data(perCrop)'!$L:$L,
                'Data(perCrop)'!$B:$B,AB$22,
                'Data(perCrop)'!$O:$O,$A26,
                'Data(perCrop)'!$H:$H,Yield_Gap!$A$1)
   - AVERAGEIFS('Data(perCrop)'!$K:$K,
                'Data(perCrop)'!$B:$B,AB$22,
                'Data(perCrop)'!$O:$O,$A26,
                'Data(perCrop)'!$H:$H,Yield_Gap!$A$1)
   )
   / AVERAGEIFS('Data(perCrop)'!$L:$L,
                'Data(perCrop)'!$B:$B,AB$22,
                'Data(perCrop)'!$O:$O,$A26,
                'Data(perCrop)'!$H:$H,Yield_Gap!$A$1),""),"")</f>
        <v/>
      </c>
      <c r="AC26" s="51" t="str">
        <f>IFERROR(IF(AND(ISNUMBER($C16),AC$23&lt;&gt;14,AC$23&lt;&gt;15),
   ( AVERAGEIFS('Data(perCrop)'!$L:$L,
                'Data(perCrop)'!$B:$B,AC$22,
                'Data(perCrop)'!$O:$O,$A26,
                'Data(perCrop)'!$H:$H,Yield_Gap!$A$1)
   - AVERAGEIFS('Data(perCrop)'!$K:$K,
                'Data(perCrop)'!$B:$B,AC$22,
                'Data(perCrop)'!$O:$O,$A26,
                'Data(perCrop)'!$H:$H,Yield_Gap!$A$1)
   )
   / AVERAGEIFS('Data(perCrop)'!$L:$L,
                'Data(perCrop)'!$B:$B,AC$22,
                'Data(perCrop)'!$O:$O,$A26,
                'Data(perCrop)'!$H:$H,Yield_Gap!$A$1),""),"")</f>
        <v/>
      </c>
      <c r="AD26" s="51" t="str">
        <f>IFERROR(IF(AND(ISNUMBER($C16),AD$23&lt;&gt;14,AD$23&lt;&gt;15),
   ( AVERAGEIFS('Data(perCrop)'!$L:$L,
                'Data(perCrop)'!$B:$B,AD$22,
                'Data(perCrop)'!$O:$O,$A26,
                'Data(perCrop)'!$H:$H,Yield_Gap!$A$1)
   - AVERAGEIFS('Data(perCrop)'!$K:$K,
                'Data(perCrop)'!$B:$B,AD$22,
                'Data(perCrop)'!$O:$O,$A26,
                'Data(perCrop)'!$H:$H,Yield_Gap!$A$1)
   )
   / AVERAGEIFS('Data(perCrop)'!$L:$L,
                'Data(perCrop)'!$B:$B,AD$22,
                'Data(perCrop)'!$O:$O,$A26,
                'Data(perCrop)'!$H:$H,Yield_Gap!$A$1),""),"")</f>
        <v/>
      </c>
      <c r="AE26" s="51" t="str">
        <f>IFERROR(IF(AND(ISNUMBER($C16),AE$23&lt;&gt;14,AE$23&lt;&gt;15),
   ( AVERAGEIFS('Data(perCrop)'!$L:$L,
                'Data(perCrop)'!$B:$B,AE$22,
                'Data(perCrop)'!$O:$O,$A26,
                'Data(perCrop)'!$H:$H,Yield_Gap!$A$1)
   - AVERAGEIFS('Data(perCrop)'!$K:$K,
                'Data(perCrop)'!$B:$B,AE$22,
                'Data(perCrop)'!$O:$O,$A26,
                'Data(perCrop)'!$H:$H,Yield_Gap!$A$1)
   )
   / AVERAGEIFS('Data(perCrop)'!$L:$L,
                'Data(perCrop)'!$B:$B,AE$22,
                'Data(perCrop)'!$O:$O,$A26,
                'Data(perCrop)'!$H:$H,Yield_Gap!$A$1),""),"")</f>
        <v/>
      </c>
      <c r="AF26" s="51" t="str">
        <f>IFERROR(IF(AND(ISNUMBER($C16),AF$23&lt;&gt;14,AF$23&lt;&gt;15),
   ( AVERAGEIFS('Data(perCrop)'!$L:$L,
                'Data(perCrop)'!$B:$B,AF$22,
                'Data(perCrop)'!$O:$O,$A26,
                'Data(perCrop)'!$H:$H,Yield_Gap!$A$1)
   - AVERAGEIFS('Data(perCrop)'!$K:$K,
                'Data(perCrop)'!$B:$B,AF$22,
                'Data(perCrop)'!$O:$O,$A26,
                'Data(perCrop)'!$H:$H,Yield_Gap!$A$1)
   )
   / AVERAGEIFS('Data(perCrop)'!$L:$L,
                'Data(perCrop)'!$B:$B,AF$22,
                'Data(perCrop)'!$O:$O,$A26,
                'Data(perCrop)'!$H:$H,Yield_Gap!$A$1),""),"")</f>
        <v/>
      </c>
    </row>
    <row r="27" spans="1:32" ht="18.75" x14ac:dyDescent="0.3">
      <c r="A27" s="42">
        <v>2021</v>
      </c>
      <c r="B27" s="51" t="str">
        <f>IFERROR(IF(AND(ISNUMBER($C17),B$23&lt;&gt;14,B$23&lt;&gt;15),
   ( AVERAGEIFS('Data(perCrop)'!$L:$L,
                'Data(perCrop)'!$B:$B,B$22,
                'Data(perCrop)'!$O:$O,$A27,
                'Data(perCrop)'!$H:$H,Yield_Gap!$A$1)
   - AVERAGEIFS('Data(perCrop)'!$K:$K,
                'Data(perCrop)'!$B:$B,B$22,
                'Data(perCrop)'!$O:$O,$A27,
                'Data(perCrop)'!$H:$H,Yield_Gap!$A$1)
   )
   / AVERAGEIFS('Data(perCrop)'!$L:$L,
                'Data(perCrop)'!$B:$B,B$22,
                'Data(perCrop)'!$O:$O,$A27,
                'Data(perCrop)'!$H:$H,Yield_Gap!$A$1),""),"")</f>
        <v/>
      </c>
      <c r="C27" s="51">
        <f>IFERROR(IF(AND(ISNUMBER($C17),C$23&lt;&gt;14,C$23&lt;&gt;15),
   ( AVERAGEIFS('Data(perCrop)'!$L:$L,
                'Data(perCrop)'!$B:$B,C$22,
                'Data(perCrop)'!$O:$O,$A27,
                'Data(perCrop)'!$H:$H,Yield_Gap!$A$1)
   - AVERAGEIFS('Data(perCrop)'!$K:$K,
                'Data(perCrop)'!$B:$B,C$22,
                'Data(perCrop)'!$O:$O,$A27,
                'Data(perCrop)'!$H:$H,Yield_Gap!$A$1)
   )
   / AVERAGEIFS('Data(perCrop)'!$L:$L,
                'Data(perCrop)'!$B:$B,C$22,
                'Data(perCrop)'!$O:$O,$A27,
                'Data(perCrop)'!$H:$H,Yield_Gap!$A$1),""),"")</f>
        <v>0.26428329952670726</v>
      </c>
      <c r="D27" s="51" t="str">
        <f>IFERROR(IF(AND(ISNUMBER($C17),D$23&lt;&gt;14,D$23&lt;&gt;15),
   ( AVERAGEIFS('Data(perCrop)'!$L:$L,
                'Data(perCrop)'!$B:$B,D$22,
                'Data(perCrop)'!$O:$O,$A27,
                'Data(perCrop)'!$H:$H,Yield_Gap!$A$1)
   - AVERAGEIFS('Data(perCrop)'!$K:$K,
                'Data(perCrop)'!$B:$B,D$22,
                'Data(perCrop)'!$O:$O,$A27,
                'Data(perCrop)'!$H:$H,Yield_Gap!$A$1)
   )
   / AVERAGEIFS('Data(perCrop)'!$L:$L,
                'Data(perCrop)'!$B:$B,D$22,
                'Data(perCrop)'!$O:$O,$A27,
                'Data(perCrop)'!$H:$H,Yield_Gap!$A$1),""),"")</f>
        <v/>
      </c>
      <c r="E27" s="51" t="str">
        <f>IFERROR(IF(AND(ISNUMBER($C17),E$23&lt;&gt;14,E$23&lt;&gt;15),
   ( AVERAGEIFS('Data(perCrop)'!$L:$L,
                'Data(perCrop)'!$B:$B,E$22,
                'Data(perCrop)'!$O:$O,$A27,
                'Data(perCrop)'!$H:$H,Yield_Gap!$A$1)
   - AVERAGEIFS('Data(perCrop)'!$K:$K,
                'Data(perCrop)'!$B:$B,E$22,
                'Data(perCrop)'!$O:$O,$A27,
                'Data(perCrop)'!$H:$H,Yield_Gap!$A$1)
   )
   / AVERAGEIFS('Data(perCrop)'!$L:$L,
                'Data(perCrop)'!$B:$B,E$22,
                'Data(perCrop)'!$O:$O,$A27,
                'Data(perCrop)'!$H:$H,Yield_Gap!$A$1),""),"")</f>
        <v/>
      </c>
      <c r="F27" s="51" t="str">
        <f>IFERROR(IF(AND(ISNUMBER($C17),F$23&lt;&gt;14,F$23&lt;&gt;15),
   ( AVERAGEIFS('Data(perCrop)'!$L:$L,
                'Data(perCrop)'!$B:$B,F$22,
                'Data(perCrop)'!$O:$O,$A27,
                'Data(perCrop)'!$H:$H,Yield_Gap!$A$1)
   - AVERAGEIFS('Data(perCrop)'!$K:$K,
                'Data(perCrop)'!$B:$B,F$22,
                'Data(perCrop)'!$O:$O,$A27,
                'Data(perCrop)'!$H:$H,Yield_Gap!$A$1)
   )
   / AVERAGEIFS('Data(perCrop)'!$L:$L,
                'Data(perCrop)'!$B:$B,F$22,
                'Data(perCrop)'!$O:$O,$A27,
                'Data(perCrop)'!$H:$H,Yield_Gap!$A$1),""),"")</f>
        <v/>
      </c>
      <c r="G27" s="51" t="str">
        <f>IFERROR(IF(AND(ISNUMBER($C17),G$23&lt;&gt;14,G$23&lt;&gt;15),
   ( AVERAGEIFS('Data(perCrop)'!$L:$L,
                'Data(perCrop)'!$B:$B,G$22,
                'Data(perCrop)'!$O:$O,$A27,
                'Data(perCrop)'!$H:$H,Yield_Gap!$A$1)
   - AVERAGEIFS('Data(perCrop)'!$K:$K,
                'Data(perCrop)'!$B:$B,G$22,
                'Data(perCrop)'!$O:$O,$A27,
                'Data(perCrop)'!$H:$H,Yield_Gap!$A$1)
   )
   / AVERAGEIFS('Data(perCrop)'!$L:$L,
                'Data(perCrop)'!$B:$B,G$22,
                'Data(perCrop)'!$O:$O,$A27,
                'Data(perCrop)'!$H:$H,Yield_Gap!$A$1),""),"")</f>
        <v/>
      </c>
      <c r="H27" s="51" t="str">
        <f>IFERROR(IF(AND(ISNUMBER($C17),H$23&lt;&gt;14,H$23&lt;&gt;15),
   ( AVERAGEIFS('Data(perCrop)'!$L:$L,
                'Data(perCrop)'!$B:$B,H$22,
                'Data(perCrop)'!$O:$O,$A27,
                'Data(perCrop)'!$H:$H,Yield_Gap!$A$1)
   - AVERAGEIFS('Data(perCrop)'!$K:$K,
                'Data(perCrop)'!$B:$B,H$22,
                'Data(perCrop)'!$O:$O,$A27,
                'Data(perCrop)'!$H:$H,Yield_Gap!$A$1)
   )
   / AVERAGEIFS('Data(perCrop)'!$L:$L,
                'Data(perCrop)'!$B:$B,H$22,
                'Data(perCrop)'!$O:$O,$A27,
                'Data(perCrop)'!$H:$H,Yield_Gap!$A$1),""),"")</f>
        <v/>
      </c>
      <c r="I27" s="51" t="str">
        <f>IFERROR(IF(AND(ISNUMBER($C17),I$23&lt;&gt;14,I$23&lt;&gt;15),
   ( AVERAGEIFS('Data(perCrop)'!$L:$L,
                'Data(perCrop)'!$B:$B,I$22,
                'Data(perCrop)'!$O:$O,$A27,
                'Data(perCrop)'!$H:$H,Yield_Gap!$A$1)
   - AVERAGEIFS('Data(perCrop)'!$K:$K,
                'Data(perCrop)'!$B:$B,I$22,
                'Data(perCrop)'!$O:$O,$A27,
                'Data(perCrop)'!$H:$H,Yield_Gap!$A$1)
   )
   / AVERAGEIFS('Data(perCrop)'!$L:$L,
                'Data(perCrop)'!$B:$B,I$22,
                'Data(perCrop)'!$O:$O,$A27,
                'Data(perCrop)'!$H:$H,Yield_Gap!$A$1),""),"")</f>
        <v/>
      </c>
      <c r="J27" s="51" t="str">
        <f>IFERROR(IF(AND(ISNUMBER($C17),J$23&lt;&gt;14,J$23&lt;&gt;15),
   ( AVERAGEIFS('Data(perCrop)'!$L:$L,
                'Data(perCrop)'!$B:$B,J$22,
                'Data(perCrop)'!$O:$O,$A27,
                'Data(perCrop)'!$H:$H,Yield_Gap!$A$1)
   - AVERAGEIFS('Data(perCrop)'!$K:$K,
                'Data(perCrop)'!$B:$B,J$22,
                'Data(perCrop)'!$O:$O,$A27,
                'Data(perCrop)'!$H:$H,Yield_Gap!$A$1)
   )
   / AVERAGEIFS('Data(perCrop)'!$L:$L,
                'Data(perCrop)'!$B:$B,J$22,
                'Data(perCrop)'!$O:$O,$A27,
                'Data(perCrop)'!$H:$H,Yield_Gap!$A$1),""),"")</f>
        <v/>
      </c>
      <c r="K27" s="51" t="str">
        <f>IFERROR(IF(AND(ISNUMBER($C17),K$23&lt;&gt;14,K$23&lt;&gt;15),
   ( AVERAGEIFS('Data(perCrop)'!$L:$L,
                'Data(perCrop)'!$B:$B,K$22,
                'Data(perCrop)'!$O:$O,$A27,
                'Data(perCrop)'!$H:$H,Yield_Gap!$A$1)
   - AVERAGEIFS('Data(perCrop)'!$K:$K,
                'Data(perCrop)'!$B:$B,K$22,
                'Data(perCrop)'!$O:$O,$A27,
                'Data(perCrop)'!$H:$H,Yield_Gap!$A$1)
   )
   / AVERAGEIFS('Data(perCrop)'!$L:$L,
                'Data(perCrop)'!$B:$B,K$22,
                'Data(perCrop)'!$O:$O,$A27,
                'Data(perCrop)'!$H:$H,Yield_Gap!$A$1),""),"")</f>
        <v/>
      </c>
      <c r="L27" s="51" t="str">
        <f>IFERROR(IF(AND(ISNUMBER($C17),L$23&lt;&gt;14,L$23&lt;&gt;15),
   ( AVERAGEIFS('Data(perCrop)'!$L:$L,
                'Data(perCrop)'!$B:$B,L$22,
                'Data(perCrop)'!$O:$O,$A27,
                'Data(perCrop)'!$H:$H,Yield_Gap!$A$1)
   - AVERAGEIFS('Data(perCrop)'!$K:$K,
                'Data(perCrop)'!$B:$B,L$22,
                'Data(perCrop)'!$O:$O,$A27,
                'Data(perCrop)'!$H:$H,Yield_Gap!$A$1)
   )
   / AVERAGEIFS('Data(perCrop)'!$L:$L,
                'Data(perCrop)'!$B:$B,L$22,
                'Data(perCrop)'!$O:$O,$A27,
                'Data(perCrop)'!$H:$H,Yield_Gap!$A$1),""),"")</f>
        <v/>
      </c>
      <c r="M27" s="51" t="str">
        <f>IFERROR(IF(AND(ISNUMBER($C17),M$23&lt;&gt;14,M$23&lt;&gt;15),
   ( AVERAGEIFS('Data(perCrop)'!$L:$L,
                'Data(perCrop)'!$B:$B,M$22,
                'Data(perCrop)'!$O:$O,$A27,
                'Data(perCrop)'!$H:$H,Yield_Gap!$A$1)
   - AVERAGEIFS('Data(perCrop)'!$K:$K,
                'Data(perCrop)'!$B:$B,M$22,
                'Data(perCrop)'!$O:$O,$A27,
                'Data(perCrop)'!$H:$H,Yield_Gap!$A$1)
   )
   / AVERAGEIFS('Data(perCrop)'!$L:$L,
                'Data(perCrop)'!$B:$B,M$22,
                'Data(perCrop)'!$O:$O,$A27,
                'Data(perCrop)'!$H:$H,Yield_Gap!$A$1),""),"")</f>
        <v/>
      </c>
      <c r="N27" s="51" t="str">
        <f>IFERROR(IF(AND(ISNUMBER($C17),N$23&lt;&gt;14,N$23&lt;&gt;15),
   ( AVERAGEIFS('Data(perCrop)'!$L:$L,
                'Data(perCrop)'!$B:$B,N$22,
                'Data(perCrop)'!$O:$O,$A27,
                'Data(perCrop)'!$H:$H,Yield_Gap!$A$1)
   - AVERAGEIFS('Data(perCrop)'!$K:$K,
                'Data(perCrop)'!$B:$B,N$22,
                'Data(perCrop)'!$O:$O,$A27,
                'Data(perCrop)'!$H:$H,Yield_Gap!$A$1)
   )
   / AVERAGEIFS('Data(perCrop)'!$L:$L,
                'Data(perCrop)'!$B:$B,N$22,
                'Data(perCrop)'!$O:$O,$A27,
                'Data(perCrop)'!$H:$H,Yield_Gap!$A$1),""),"")</f>
        <v/>
      </c>
      <c r="O27" s="51" t="str">
        <f>IFERROR(IF(AND(ISNUMBER($C17),O$23&lt;&gt;14,O$23&lt;&gt;15),
   ( AVERAGEIFS('Data(perCrop)'!$L:$L,
                'Data(perCrop)'!$B:$B,O$22,
                'Data(perCrop)'!$O:$O,$A27,
                'Data(perCrop)'!$H:$H,Yield_Gap!$A$1)
   - AVERAGEIFS('Data(perCrop)'!$K:$K,
                'Data(perCrop)'!$B:$B,O$22,
                'Data(perCrop)'!$O:$O,$A27,
                'Data(perCrop)'!$H:$H,Yield_Gap!$A$1)
   )
   / AVERAGEIFS('Data(perCrop)'!$L:$L,
                'Data(perCrop)'!$B:$B,O$22,
                'Data(perCrop)'!$O:$O,$A27,
                'Data(perCrop)'!$H:$H,Yield_Gap!$A$1),""),"")</f>
        <v/>
      </c>
      <c r="P27" s="51" t="str">
        <f>IFERROR(IF(AND(ISNUMBER($C17),P$23&lt;&gt;14,P$23&lt;&gt;15),
   ( AVERAGEIFS('Data(perCrop)'!$L:$L,
                'Data(perCrop)'!$B:$B,P$22,
                'Data(perCrop)'!$O:$O,$A27,
                'Data(perCrop)'!$H:$H,Yield_Gap!$A$1)
   - AVERAGEIFS('Data(perCrop)'!$K:$K,
                'Data(perCrop)'!$B:$B,P$22,
                'Data(perCrop)'!$O:$O,$A27,
                'Data(perCrop)'!$H:$H,Yield_Gap!$A$1)
   )
   / AVERAGEIFS('Data(perCrop)'!$L:$L,
                'Data(perCrop)'!$B:$B,P$22,
                'Data(perCrop)'!$O:$O,$A27,
                'Data(perCrop)'!$H:$H,Yield_Gap!$A$1),""),"")</f>
        <v/>
      </c>
      <c r="Q27" s="51" t="str">
        <f>IFERROR(IF(AND(ISNUMBER($C17),Q$23&lt;&gt;14,Q$23&lt;&gt;15),
   ( AVERAGEIFS('Data(perCrop)'!$L:$L,
                'Data(perCrop)'!$B:$B,Q$22,
                'Data(perCrop)'!$O:$O,$A27,
                'Data(perCrop)'!$H:$H,Yield_Gap!$A$1)
   - AVERAGEIFS('Data(perCrop)'!$K:$K,
                'Data(perCrop)'!$B:$B,Q$22,
                'Data(perCrop)'!$O:$O,$A27,
                'Data(perCrop)'!$H:$H,Yield_Gap!$A$1)
   )
   / AVERAGEIFS('Data(perCrop)'!$L:$L,
                'Data(perCrop)'!$B:$B,Q$22,
                'Data(perCrop)'!$O:$O,$A27,
                'Data(perCrop)'!$H:$H,Yield_Gap!$A$1),""),"")</f>
        <v/>
      </c>
      <c r="R27" s="51">
        <f>IFERROR(IF(AND(ISNUMBER($C17),R$23&lt;&gt;14,R$23&lt;&gt;15),
   ( AVERAGEIFS('Data(perCrop)'!$L:$L,
                'Data(perCrop)'!$B:$B,R$22,
                'Data(perCrop)'!$O:$O,$A27,
                'Data(perCrop)'!$H:$H,Yield_Gap!$A$1)
   - AVERAGEIFS('Data(perCrop)'!$K:$K,
                'Data(perCrop)'!$B:$B,R$22,
                'Data(perCrop)'!$O:$O,$A27,
                'Data(perCrop)'!$H:$H,Yield_Gap!$A$1)
   )
   / AVERAGEIFS('Data(perCrop)'!$L:$L,
                'Data(perCrop)'!$B:$B,R$22,
                'Data(perCrop)'!$O:$O,$A27,
                'Data(perCrop)'!$H:$H,Yield_Gap!$A$1),""),"")</f>
        <v>0.34179125934445082</v>
      </c>
      <c r="S27" s="51" t="str">
        <f>IFERROR(IF(AND(ISNUMBER($C17),S$23&lt;&gt;14,S$23&lt;&gt;15),
   ( AVERAGEIFS('Data(perCrop)'!$L:$L,
                'Data(perCrop)'!$B:$B,S$22,
                'Data(perCrop)'!$O:$O,$A27,
                'Data(perCrop)'!$H:$H,Yield_Gap!$A$1)
   - AVERAGEIFS('Data(perCrop)'!$K:$K,
                'Data(perCrop)'!$B:$B,S$22,
                'Data(perCrop)'!$O:$O,$A27,
                'Data(perCrop)'!$H:$H,Yield_Gap!$A$1)
   )
   / AVERAGEIFS('Data(perCrop)'!$L:$L,
                'Data(perCrop)'!$B:$B,S$22,
                'Data(perCrop)'!$O:$O,$A27,
                'Data(perCrop)'!$H:$H,Yield_Gap!$A$1),""),"")</f>
        <v/>
      </c>
      <c r="T27" s="51" t="str">
        <f>IFERROR(IF(AND(ISNUMBER($C17),T$23&lt;&gt;14,T$23&lt;&gt;15),
   ( AVERAGEIFS('Data(perCrop)'!$L:$L,
                'Data(perCrop)'!$B:$B,T$22,
                'Data(perCrop)'!$O:$O,$A27,
                'Data(perCrop)'!$H:$H,Yield_Gap!$A$1)
   - AVERAGEIFS('Data(perCrop)'!$K:$K,
                'Data(perCrop)'!$B:$B,T$22,
                'Data(perCrop)'!$O:$O,$A27,
                'Data(perCrop)'!$H:$H,Yield_Gap!$A$1)
   )
   / AVERAGEIFS('Data(perCrop)'!$L:$L,
                'Data(perCrop)'!$B:$B,T$22,
                'Data(perCrop)'!$O:$O,$A27,
                'Data(perCrop)'!$H:$H,Yield_Gap!$A$1),""),"")</f>
        <v/>
      </c>
      <c r="U27" s="51">
        <f>IFERROR(IF(AND(ISNUMBER($C17),U$23&lt;&gt;14,U$23&lt;&gt;15),
   ( AVERAGEIFS('Data(perCrop)'!$L:$L,
                'Data(perCrop)'!$B:$B,U$22,
                'Data(perCrop)'!$O:$O,$A27,
                'Data(perCrop)'!$H:$H,Yield_Gap!$A$1)
   - AVERAGEIFS('Data(perCrop)'!$K:$K,
                'Data(perCrop)'!$B:$B,U$22,
                'Data(perCrop)'!$O:$O,$A27,
                'Data(perCrop)'!$H:$H,Yield_Gap!$A$1)
   )
   / AVERAGEIFS('Data(perCrop)'!$L:$L,
                'Data(perCrop)'!$B:$B,U$22,
                'Data(perCrop)'!$O:$O,$A27,
                'Data(perCrop)'!$H:$H,Yield_Gap!$A$1),""),"")</f>
        <v>0.24848696461824954</v>
      </c>
      <c r="V27" s="51" t="str">
        <f>IFERROR(IF(AND(ISNUMBER($C17),V$23&lt;&gt;14,V$23&lt;&gt;15),
   ( AVERAGEIFS('Data(perCrop)'!$L:$L,
                'Data(perCrop)'!$B:$B,V$22,
                'Data(perCrop)'!$O:$O,$A27,
                'Data(perCrop)'!$H:$H,Yield_Gap!$A$1)
   - AVERAGEIFS('Data(perCrop)'!$K:$K,
                'Data(perCrop)'!$B:$B,V$22,
                'Data(perCrop)'!$O:$O,$A27,
                'Data(perCrop)'!$H:$H,Yield_Gap!$A$1)
   )
   / AVERAGEIFS('Data(perCrop)'!$L:$L,
                'Data(perCrop)'!$B:$B,V$22,
                'Data(perCrop)'!$O:$O,$A27,
                'Data(perCrop)'!$H:$H,Yield_Gap!$A$1),""),"")</f>
        <v/>
      </c>
      <c r="W27" s="51" t="str">
        <f>IFERROR(IF(AND(ISNUMBER($C17),W$23&lt;&gt;14,W$23&lt;&gt;15),
   ( AVERAGEIFS('Data(perCrop)'!$L:$L,
                'Data(perCrop)'!$B:$B,W$22,
                'Data(perCrop)'!$O:$O,$A27,
                'Data(perCrop)'!$H:$H,Yield_Gap!$A$1)
   - AVERAGEIFS('Data(perCrop)'!$K:$K,
                'Data(perCrop)'!$B:$B,W$22,
                'Data(perCrop)'!$O:$O,$A27,
                'Data(perCrop)'!$H:$H,Yield_Gap!$A$1)
   )
   / AVERAGEIFS('Data(perCrop)'!$L:$L,
                'Data(perCrop)'!$B:$B,W$22,
                'Data(perCrop)'!$O:$O,$A27,
                'Data(perCrop)'!$H:$H,Yield_Gap!$A$1),""),"")</f>
        <v/>
      </c>
      <c r="X27" s="51" t="str">
        <f>IFERROR(IF(AND(ISNUMBER($C17),X$23&lt;&gt;14,X$23&lt;&gt;15),
   ( AVERAGEIFS('Data(perCrop)'!$L:$L,
                'Data(perCrop)'!$B:$B,X$22,
                'Data(perCrop)'!$O:$O,$A27,
                'Data(perCrop)'!$H:$H,Yield_Gap!$A$1)
   - AVERAGEIFS('Data(perCrop)'!$K:$K,
                'Data(perCrop)'!$B:$B,X$22,
                'Data(perCrop)'!$O:$O,$A27,
                'Data(perCrop)'!$H:$H,Yield_Gap!$A$1)
   )
   / AVERAGEIFS('Data(perCrop)'!$L:$L,
                'Data(perCrop)'!$B:$B,X$22,
                'Data(perCrop)'!$O:$O,$A27,
                'Data(perCrop)'!$H:$H,Yield_Gap!$A$1),""),"")</f>
        <v/>
      </c>
      <c r="Y27" s="51" t="str">
        <f>IFERROR(IF(AND(ISNUMBER($C17),Y$23&lt;&gt;14,Y$23&lt;&gt;15),
   ( AVERAGEIFS('Data(perCrop)'!$L:$L,
                'Data(perCrop)'!$B:$B,Y$22,
                'Data(perCrop)'!$O:$O,$A27,
                'Data(perCrop)'!$H:$H,Yield_Gap!$A$1)
   - AVERAGEIFS('Data(perCrop)'!$K:$K,
                'Data(perCrop)'!$B:$B,Y$22,
                'Data(perCrop)'!$O:$O,$A27,
                'Data(perCrop)'!$H:$H,Yield_Gap!$A$1)
   )
   / AVERAGEIFS('Data(perCrop)'!$L:$L,
                'Data(perCrop)'!$B:$B,Y$22,
                'Data(perCrop)'!$O:$O,$A27,
                'Data(perCrop)'!$H:$H,Yield_Gap!$A$1),""),"")</f>
        <v/>
      </c>
      <c r="Z27" s="51" t="str">
        <f>IFERROR(IF(AND(ISNUMBER($C17),Z$23&lt;&gt;14,Z$23&lt;&gt;15),
   ( AVERAGEIFS('Data(perCrop)'!$L:$L,
                'Data(perCrop)'!$B:$B,Z$22,
                'Data(perCrop)'!$O:$O,$A27,
                'Data(perCrop)'!$H:$H,Yield_Gap!$A$1)
   - AVERAGEIFS('Data(perCrop)'!$K:$K,
                'Data(perCrop)'!$B:$B,Z$22,
                'Data(perCrop)'!$O:$O,$A27,
                'Data(perCrop)'!$H:$H,Yield_Gap!$A$1)
   )
   / AVERAGEIFS('Data(perCrop)'!$L:$L,
                'Data(perCrop)'!$B:$B,Z$22,
                'Data(perCrop)'!$O:$O,$A27,
                'Data(perCrop)'!$H:$H,Yield_Gap!$A$1),""),"")</f>
        <v/>
      </c>
      <c r="AA27" s="51" t="str">
        <f>IFERROR(IF(AND(ISNUMBER($C17),AA$23&lt;&gt;14,AA$23&lt;&gt;15),
   ( AVERAGEIFS('Data(perCrop)'!$L:$L,
                'Data(perCrop)'!$B:$B,AA$22,
                'Data(perCrop)'!$O:$O,$A27,
                'Data(perCrop)'!$H:$H,Yield_Gap!$A$1)
   - AVERAGEIFS('Data(perCrop)'!$K:$K,
                'Data(perCrop)'!$B:$B,AA$22,
                'Data(perCrop)'!$O:$O,$A27,
                'Data(perCrop)'!$H:$H,Yield_Gap!$A$1)
   )
   / AVERAGEIFS('Data(perCrop)'!$L:$L,
                'Data(perCrop)'!$B:$B,AA$22,
                'Data(perCrop)'!$O:$O,$A27,
                'Data(perCrop)'!$H:$H,Yield_Gap!$A$1),""),"")</f>
        <v/>
      </c>
      <c r="AB27" s="51" t="str">
        <f>IFERROR(IF(AND(ISNUMBER($C17),AB$23&lt;&gt;14,AB$23&lt;&gt;15),
   ( AVERAGEIFS('Data(perCrop)'!$L:$L,
                'Data(perCrop)'!$B:$B,AB$22,
                'Data(perCrop)'!$O:$O,$A27,
                'Data(perCrop)'!$H:$H,Yield_Gap!$A$1)
   - AVERAGEIFS('Data(perCrop)'!$K:$K,
                'Data(perCrop)'!$B:$B,AB$22,
                'Data(perCrop)'!$O:$O,$A27,
                'Data(perCrop)'!$H:$H,Yield_Gap!$A$1)
   )
   / AVERAGEIFS('Data(perCrop)'!$L:$L,
                'Data(perCrop)'!$B:$B,AB$22,
                'Data(perCrop)'!$O:$O,$A27,
                'Data(perCrop)'!$H:$H,Yield_Gap!$A$1),""),"")</f>
        <v/>
      </c>
      <c r="AC27" s="51" t="str">
        <f>IFERROR(IF(AND(ISNUMBER($C17),AC$23&lt;&gt;14,AC$23&lt;&gt;15),
   ( AVERAGEIFS('Data(perCrop)'!$L:$L,
                'Data(perCrop)'!$B:$B,AC$22,
                'Data(perCrop)'!$O:$O,$A27,
                'Data(perCrop)'!$H:$H,Yield_Gap!$A$1)
   - AVERAGEIFS('Data(perCrop)'!$K:$K,
                'Data(perCrop)'!$B:$B,AC$22,
                'Data(perCrop)'!$O:$O,$A27,
                'Data(perCrop)'!$H:$H,Yield_Gap!$A$1)
   )
   / AVERAGEIFS('Data(perCrop)'!$L:$L,
                'Data(perCrop)'!$B:$B,AC$22,
                'Data(perCrop)'!$O:$O,$A27,
                'Data(perCrop)'!$H:$H,Yield_Gap!$A$1),""),"")</f>
        <v/>
      </c>
      <c r="AD27" s="51" t="str">
        <f>IFERROR(IF(AND(ISNUMBER($C17),AD$23&lt;&gt;14,AD$23&lt;&gt;15),
   ( AVERAGEIFS('Data(perCrop)'!$L:$L,
                'Data(perCrop)'!$B:$B,AD$22,
                'Data(perCrop)'!$O:$O,$A27,
                'Data(perCrop)'!$H:$H,Yield_Gap!$A$1)
   - AVERAGEIFS('Data(perCrop)'!$K:$K,
                'Data(perCrop)'!$B:$B,AD$22,
                'Data(perCrop)'!$O:$O,$A27,
                'Data(perCrop)'!$H:$H,Yield_Gap!$A$1)
   )
   / AVERAGEIFS('Data(perCrop)'!$L:$L,
                'Data(perCrop)'!$B:$B,AD$22,
                'Data(perCrop)'!$O:$O,$A27,
                'Data(perCrop)'!$H:$H,Yield_Gap!$A$1),""),"")</f>
        <v/>
      </c>
      <c r="AE27" s="51" t="str">
        <f>IFERROR(IF(AND(ISNUMBER($C17),AE$23&lt;&gt;14,AE$23&lt;&gt;15),
   ( AVERAGEIFS('Data(perCrop)'!$L:$L,
                'Data(perCrop)'!$B:$B,AE$22,
                'Data(perCrop)'!$O:$O,$A27,
                'Data(perCrop)'!$H:$H,Yield_Gap!$A$1)
   - AVERAGEIFS('Data(perCrop)'!$K:$K,
                'Data(perCrop)'!$B:$B,AE$22,
                'Data(perCrop)'!$O:$O,$A27,
                'Data(perCrop)'!$H:$H,Yield_Gap!$A$1)
   )
   / AVERAGEIFS('Data(perCrop)'!$L:$L,
                'Data(perCrop)'!$B:$B,AE$22,
                'Data(perCrop)'!$O:$O,$A27,
                'Data(perCrop)'!$H:$H,Yield_Gap!$A$1),""),"")</f>
        <v/>
      </c>
      <c r="AF27" s="51" t="str">
        <f>IFERROR(IF(AND(ISNUMBER($C17),AF$23&lt;&gt;14,AF$23&lt;&gt;15),
   ( AVERAGEIFS('Data(perCrop)'!$L:$L,
                'Data(perCrop)'!$B:$B,AF$22,
                'Data(perCrop)'!$O:$O,$A27,
                'Data(perCrop)'!$H:$H,Yield_Gap!$A$1)
   - AVERAGEIFS('Data(perCrop)'!$K:$K,
                'Data(perCrop)'!$B:$B,AF$22,
                'Data(perCrop)'!$O:$O,$A27,
                'Data(perCrop)'!$H:$H,Yield_Gap!$A$1)
   )
   / AVERAGEIFS('Data(perCrop)'!$L:$L,
                'Data(perCrop)'!$B:$B,AF$22,
                'Data(perCrop)'!$O:$O,$A27,
                'Data(perCrop)'!$H:$H,Yield_Gap!$A$1),""),"")</f>
        <v/>
      </c>
    </row>
    <row r="28" spans="1:32" ht="18.75" x14ac:dyDescent="0.3">
      <c r="A28" s="42">
        <v>2022</v>
      </c>
      <c r="B28" s="51" t="str">
        <f>IFERROR(IF(AND(ISNUMBER($C18),B$23&lt;&gt;14,B$23&lt;&gt;15),
   ( AVERAGEIFS('Data(perCrop)'!$L:$L,
                'Data(perCrop)'!$B:$B,B$22,
                'Data(perCrop)'!$O:$O,$A28,
                'Data(perCrop)'!$H:$H,Yield_Gap!$A$1)
   - AVERAGEIFS('Data(perCrop)'!$K:$K,
                'Data(perCrop)'!$B:$B,B$22,
                'Data(perCrop)'!$O:$O,$A28,
                'Data(perCrop)'!$H:$H,Yield_Gap!$A$1)
   )
   / AVERAGEIFS('Data(perCrop)'!$L:$L,
                'Data(perCrop)'!$B:$B,B$22,
                'Data(perCrop)'!$O:$O,$A28,
                'Data(perCrop)'!$H:$H,Yield_Gap!$A$1),""),"")</f>
        <v/>
      </c>
      <c r="C28" s="51">
        <f>IFERROR(IF(AND(ISNUMBER($C18),C$23&lt;&gt;14,C$23&lt;&gt;15),
   ( AVERAGEIFS('Data(perCrop)'!$L:$L,
                'Data(perCrop)'!$B:$B,C$22,
                'Data(perCrop)'!$O:$O,$A28,
                'Data(perCrop)'!$H:$H,Yield_Gap!$A$1)
   - AVERAGEIFS('Data(perCrop)'!$K:$K,
                'Data(perCrop)'!$B:$B,C$22,
                'Data(perCrop)'!$O:$O,$A28,
                'Data(perCrop)'!$H:$H,Yield_Gap!$A$1)
   )
   / AVERAGEIFS('Data(perCrop)'!$L:$L,
                'Data(perCrop)'!$B:$B,C$22,
                'Data(perCrop)'!$O:$O,$A28,
                'Data(perCrop)'!$H:$H,Yield_Gap!$A$1),""),"")</f>
        <v>0.19764397905759162</v>
      </c>
      <c r="D28" s="51" t="str">
        <f>IFERROR(IF(AND(ISNUMBER($C18),D$23&lt;&gt;14,D$23&lt;&gt;15),
   ( AVERAGEIFS('Data(perCrop)'!$L:$L,
                'Data(perCrop)'!$B:$B,D$22,
                'Data(perCrop)'!$O:$O,$A28,
                'Data(perCrop)'!$H:$H,Yield_Gap!$A$1)
   - AVERAGEIFS('Data(perCrop)'!$K:$K,
                'Data(perCrop)'!$B:$B,D$22,
                'Data(perCrop)'!$O:$O,$A28,
                'Data(perCrop)'!$H:$H,Yield_Gap!$A$1)
   )
   / AVERAGEIFS('Data(perCrop)'!$L:$L,
                'Data(perCrop)'!$B:$B,D$22,
                'Data(perCrop)'!$O:$O,$A28,
                'Data(perCrop)'!$H:$H,Yield_Gap!$A$1),""),"")</f>
        <v/>
      </c>
      <c r="E28" s="51" t="str">
        <f>IFERROR(IF(AND(ISNUMBER($C18),E$23&lt;&gt;14,E$23&lt;&gt;15),
   ( AVERAGEIFS('Data(perCrop)'!$L:$L,
                'Data(perCrop)'!$B:$B,E$22,
                'Data(perCrop)'!$O:$O,$A28,
                'Data(perCrop)'!$H:$H,Yield_Gap!$A$1)
   - AVERAGEIFS('Data(perCrop)'!$K:$K,
                'Data(perCrop)'!$B:$B,E$22,
                'Data(perCrop)'!$O:$O,$A28,
                'Data(perCrop)'!$H:$H,Yield_Gap!$A$1)
   )
   / AVERAGEIFS('Data(perCrop)'!$L:$L,
                'Data(perCrop)'!$B:$B,E$22,
                'Data(perCrop)'!$O:$O,$A28,
                'Data(perCrop)'!$H:$H,Yield_Gap!$A$1),""),"")</f>
        <v/>
      </c>
      <c r="F28" s="51" t="str">
        <f>IFERROR(IF(AND(ISNUMBER($C18),F$23&lt;&gt;14,F$23&lt;&gt;15),
   ( AVERAGEIFS('Data(perCrop)'!$L:$L,
                'Data(perCrop)'!$B:$B,F$22,
                'Data(perCrop)'!$O:$O,$A28,
                'Data(perCrop)'!$H:$H,Yield_Gap!$A$1)
   - AVERAGEIFS('Data(perCrop)'!$K:$K,
                'Data(perCrop)'!$B:$B,F$22,
                'Data(perCrop)'!$O:$O,$A28,
                'Data(perCrop)'!$H:$H,Yield_Gap!$A$1)
   )
   / AVERAGEIFS('Data(perCrop)'!$L:$L,
                'Data(perCrop)'!$B:$B,F$22,
                'Data(perCrop)'!$O:$O,$A28,
                'Data(perCrop)'!$H:$H,Yield_Gap!$A$1),""),"")</f>
        <v/>
      </c>
      <c r="G28" s="51" t="str">
        <f>IFERROR(IF(AND(ISNUMBER($C18),G$23&lt;&gt;14,G$23&lt;&gt;15),
   ( AVERAGEIFS('Data(perCrop)'!$L:$L,
                'Data(perCrop)'!$B:$B,G$22,
                'Data(perCrop)'!$O:$O,$A28,
                'Data(perCrop)'!$H:$H,Yield_Gap!$A$1)
   - AVERAGEIFS('Data(perCrop)'!$K:$K,
                'Data(perCrop)'!$B:$B,G$22,
                'Data(perCrop)'!$O:$O,$A28,
                'Data(perCrop)'!$H:$H,Yield_Gap!$A$1)
   )
   / AVERAGEIFS('Data(perCrop)'!$L:$L,
                'Data(perCrop)'!$B:$B,G$22,
                'Data(perCrop)'!$O:$O,$A28,
                'Data(perCrop)'!$H:$H,Yield_Gap!$A$1),""),"")</f>
        <v/>
      </c>
      <c r="H28" s="51" t="str">
        <f>IFERROR(IF(AND(ISNUMBER($C18),H$23&lt;&gt;14,H$23&lt;&gt;15),
   ( AVERAGEIFS('Data(perCrop)'!$L:$L,
                'Data(perCrop)'!$B:$B,H$22,
                'Data(perCrop)'!$O:$O,$A28,
                'Data(perCrop)'!$H:$H,Yield_Gap!$A$1)
   - AVERAGEIFS('Data(perCrop)'!$K:$K,
                'Data(perCrop)'!$B:$B,H$22,
                'Data(perCrop)'!$O:$O,$A28,
                'Data(perCrop)'!$H:$H,Yield_Gap!$A$1)
   )
   / AVERAGEIFS('Data(perCrop)'!$L:$L,
                'Data(perCrop)'!$B:$B,H$22,
                'Data(perCrop)'!$O:$O,$A28,
                'Data(perCrop)'!$H:$H,Yield_Gap!$A$1),""),"")</f>
        <v/>
      </c>
      <c r="I28" s="51" t="str">
        <f>IFERROR(IF(AND(ISNUMBER($C18),I$23&lt;&gt;14,I$23&lt;&gt;15),
   ( AVERAGEIFS('Data(perCrop)'!$L:$L,
                'Data(perCrop)'!$B:$B,I$22,
                'Data(perCrop)'!$O:$O,$A28,
                'Data(perCrop)'!$H:$H,Yield_Gap!$A$1)
   - AVERAGEIFS('Data(perCrop)'!$K:$K,
                'Data(perCrop)'!$B:$B,I$22,
                'Data(perCrop)'!$O:$O,$A28,
                'Data(perCrop)'!$H:$H,Yield_Gap!$A$1)
   )
   / AVERAGEIFS('Data(perCrop)'!$L:$L,
                'Data(perCrop)'!$B:$B,I$22,
                'Data(perCrop)'!$O:$O,$A28,
                'Data(perCrop)'!$H:$H,Yield_Gap!$A$1),""),"")</f>
        <v/>
      </c>
      <c r="J28" s="51" t="str">
        <f>IFERROR(IF(AND(ISNUMBER($C18),J$23&lt;&gt;14,J$23&lt;&gt;15),
   ( AVERAGEIFS('Data(perCrop)'!$L:$L,
                'Data(perCrop)'!$B:$B,J$22,
                'Data(perCrop)'!$O:$O,$A28,
                'Data(perCrop)'!$H:$H,Yield_Gap!$A$1)
   - AVERAGEIFS('Data(perCrop)'!$K:$K,
                'Data(perCrop)'!$B:$B,J$22,
                'Data(perCrop)'!$O:$O,$A28,
                'Data(perCrop)'!$H:$H,Yield_Gap!$A$1)
   )
   / AVERAGEIFS('Data(perCrop)'!$L:$L,
                'Data(perCrop)'!$B:$B,J$22,
                'Data(perCrop)'!$O:$O,$A28,
                'Data(perCrop)'!$H:$H,Yield_Gap!$A$1),""),"")</f>
        <v/>
      </c>
      <c r="K28" s="51" t="str">
        <f>IFERROR(IF(AND(ISNUMBER($C18),K$23&lt;&gt;14,K$23&lt;&gt;15),
   ( AVERAGEIFS('Data(perCrop)'!$L:$L,
                'Data(perCrop)'!$B:$B,K$22,
                'Data(perCrop)'!$O:$O,$A28,
                'Data(perCrop)'!$H:$H,Yield_Gap!$A$1)
   - AVERAGEIFS('Data(perCrop)'!$K:$K,
                'Data(perCrop)'!$B:$B,K$22,
                'Data(perCrop)'!$O:$O,$A28,
                'Data(perCrop)'!$H:$H,Yield_Gap!$A$1)
   )
   / AVERAGEIFS('Data(perCrop)'!$L:$L,
                'Data(perCrop)'!$B:$B,K$22,
                'Data(perCrop)'!$O:$O,$A28,
                'Data(perCrop)'!$H:$H,Yield_Gap!$A$1),""),"")</f>
        <v/>
      </c>
      <c r="L28" s="51" t="str">
        <f>IFERROR(IF(AND(ISNUMBER($C18),L$23&lt;&gt;14,L$23&lt;&gt;15),
   ( AVERAGEIFS('Data(perCrop)'!$L:$L,
                'Data(perCrop)'!$B:$B,L$22,
                'Data(perCrop)'!$O:$O,$A28,
                'Data(perCrop)'!$H:$H,Yield_Gap!$A$1)
   - AVERAGEIFS('Data(perCrop)'!$K:$K,
                'Data(perCrop)'!$B:$B,L$22,
                'Data(perCrop)'!$O:$O,$A28,
                'Data(perCrop)'!$H:$H,Yield_Gap!$A$1)
   )
   / AVERAGEIFS('Data(perCrop)'!$L:$L,
                'Data(perCrop)'!$B:$B,L$22,
                'Data(perCrop)'!$O:$O,$A28,
                'Data(perCrop)'!$H:$H,Yield_Gap!$A$1),""),"")</f>
        <v/>
      </c>
      <c r="M28" s="51" t="str">
        <f>IFERROR(IF(AND(ISNUMBER($C18),M$23&lt;&gt;14,M$23&lt;&gt;15),
   ( AVERAGEIFS('Data(perCrop)'!$L:$L,
                'Data(perCrop)'!$B:$B,M$22,
                'Data(perCrop)'!$O:$O,$A28,
                'Data(perCrop)'!$H:$H,Yield_Gap!$A$1)
   - AVERAGEIFS('Data(perCrop)'!$K:$K,
                'Data(perCrop)'!$B:$B,M$22,
                'Data(perCrop)'!$O:$O,$A28,
                'Data(perCrop)'!$H:$H,Yield_Gap!$A$1)
   )
   / AVERAGEIFS('Data(perCrop)'!$L:$L,
                'Data(perCrop)'!$B:$B,M$22,
                'Data(perCrop)'!$O:$O,$A28,
                'Data(perCrop)'!$H:$H,Yield_Gap!$A$1),""),"")</f>
        <v/>
      </c>
      <c r="N28" s="51" t="str">
        <f>IFERROR(IF(AND(ISNUMBER($C18),N$23&lt;&gt;14,N$23&lt;&gt;15),
   ( AVERAGEIFS('Data(perCrop)'!$L:$L,
                'Data(perCrop)'!$B:$B,N$22,
                'Data(perCrop)'!$O:$O,$A28,
                'Data(perCrop)'!$H:$H,Yield_Gap!$A$1)
   - AVERAGEIFS('Data(perCrop)'!$K:$K,
                'Data(perCrop)'!$B:$B,N$22,
                'Data(perCrop)'!$O:$O,$A28,
                'Data(perCrop)'!$H:$H,Yield_Gap!$A$1)
   )
   / AVERAGEIFS('Data(perCrop)'!$L:$L,
                'Data(perCrop)'!$B:$B,N$22,
                'Data(perCrop)'!$O:$O,$A28,
                'Data(perCrop)'!$H:$H,Yield_Gap!$A$1),""),"")</f>
        <v/>
      </c>
      <c r="O28" s="51" t="str">
        <f>IFERROR(IF(AND(ISNUMBER($C18),O$23&lt;&gt;14,O$23&lt;&gt;15),
   ( AVERAGEIFS('Data(perCrop)'!$L:$L,
                'Data(perCrop)'!$B:$B,O$22,
                'Data(perCrop)'!$O:$O,$A28,
                'Data(perCrop)'!$H:$H,Yield_Gap!$A$1)
   - AVERAGEIFS('Data(perCrop)'!$K:$K,
                'Data(perCrop)'!$B:$B,O$22,
                'Data(perCrop)'!$O:$O,$A28,
                'Data(perCrop)'!$H:$H,Yield_Gap!$A$1)
   )
   / AVERAGEIFS('Data(perCrop)'!$L:$L,
                'Data(perCrop)'!$B:$B,O$22,
                'Data(perCrop)'!$O:$O,$A28,
                'Data(perCrop)'!$H:$H,Yield_Gap!$A$1),""),"")</f>
        <v/>
      </c>
      <c r="P28" s="51" t="str">
        <f>IFERROR(IF(AND(ISNUMBER($C18),P$23&lt;&gt;14,P$23&lt;&gt;15),
   ( AVERAGEIFS('Data(perCrop)'!$L:$L,
                'Data(perCrop)'!$B:$B,P$22,
                'Data(perCrop)'!$O:$O,$A28,
                'Data(perCrop)'!$H:$H,Yield_Gap!$A$1)
   - AVERAGEIFS('Data(perCrop)'!$K:$K,
                'Data(perCrop)'!$B:$B,P$22,
                'Data(perCrop)'!$O:$O,$A28,
                'Data(perCrop)'!$H:$H,Yield_Gap!$A$1)
   )
   / AVERAGEIFS('Data(perCrop)'!$L:$L,
                'Data(perCrop)'!$B:$B,P$22,
                'Data(perCrop)'!$O:$O,$A28,
                'Data(perCrop)'!$H:$H,Yield_Gap!$A$1),""),"")</f>
        <v/>
      </c>
      <c r="Q28" s="51" t="str">
        <f>IFERROR(IF(AND(ISNUMBER($C18),Q$23&lt;&gt;14,Q$23&lt;&gt;15),
   ( AVERAGEIFS('Data(perCrop)'!$L:$L,
                'Data(perCrop)'!$B:$B,Q$22,
                'Data(perCrop)'!$O:$O,$A28,
                'Data(perCrop)'!$H:$H,Yield_Gap!$A$1)
   - AVERAGEIFS('Data(perCrop)'!$K:$K,
                'Data(perCrop)'!$B:$B,Q$22,
                'Data(perCrop)'!$O:$O,$A28,
                'Data(perCrop)'!$H:$H,Yield_Gap!$A$1)
   )
   / AVERAGEIFS('Data(perCrop)'!$L:$L,
                'Data(perCrop)'!$B:$B,Q$22,
                'Data(perCrop)'!$O:$O,$A28,
                'Data(perCrop)'!$H:$H,Yield_Gap!$A$1),""),"")</f>
        <v/>
      </c>
      <c r="R28" s="51">
        <f>IFERROR(IF(AND(ISNUMBER($C18),R$23&lt;&gt;14,R$23&lt;&gt;15),
   ( AVERAGEIFS('Data(perCrop)'!$L:$L,
                'Data(perCrop)'!$B:$B,R$22,
                'Data(perCrop)'!$O:$O,$A28,
                'Data(perCrop)'!$H:$H,Yield_Gap!$A$1)
   - AVERAGEIFS('Data(perCrop)'!$K:$K,
                'Data(perCrop)'!$B:$B,R$22,
                'Data(perCrop)'!$O:$O,$A28,
                'Data(perCrop)'!$H:$H,Yield_Gap!$A$1)
   )
   / AVERAGEIFS('Data(perCrop)'!$L:$L,
                'Data(perCrop)'!$B:$B,R$22,
                'Data(perCrop)'!$O:$O,$A28,
                'Data(perCrop)'!$H:$H,Yield_Gap!$A$1),""),"")</f>
        <v>0.28647352388359582</v>
      </c>
      <c r="S28" s="51" t="str">
        <f>IFERROR(IF(AND(ISNUMBER($C18),S$23&lt;&gt;14,S$23&lt;&gt;15),
   ( AVERAGEIFS('Data(perCrop)'!$L:$L,
                'Data(perCrop)'!$B:$B,S$22,
                'Data(perCrop)'!$O:$O,$A28,
                'Data(perCrop)'!$H:$H,Yield_Gap!$A$1)
   - AVERAGEIFS('Data(perCrop)'!$K:$K,
                'Data(perCrop)'!$B:$B,S$22,
                'Data(perCrop)'!$O:$O,$A28,
                'Data(perCrop)'!$H:$H,Yield_Gap!$A$1)
   )
   / AVERAGEIFS('Data(perCrop)'!$L:$L,
                'Data(perCrop)'!$B:$B,S$22,
                'Data(perCrop)'!$O:$O,$A28,
                'Data(perCrop)'!$H:$H,Yield_Gap!$A$1),""),"")</f>
        <v/>
      </c>
      <c r="T28" s="51" t="str">
        <f>IFERROR(IF(AND(ISNUMBER($C18),T$23&lt;&gt;14,T$23&lt;&gt;15),
   ( AVERAGEIFS('Data(perCrop)'!$L:$L,
                'Data(perCrop)'!$B:$B,T$22,
                'Data(perCrop)'!$O:$O,$A28,
                'Data(perCrop)'!$H:$H,Yield_Gap!$A$1)
   - AVERAGEIFS('Data(perCrop)'!$K:$K,
                'Data(perCrop)'!$B:$B,T$22,
                'Data(perCrop)'!$O:$O,$A28,
                'Data(perCrop)'!$H:$H,Yield_Gap!$A$1)
   )
   / AVERAGEIFS('Data(perCrop)'!$L:$L,
                'Data(perCrop)'!$B:$B,T$22,
                'Data(perCrop)'!$O:$O,$A28,
                'Data(perCrop)'!$H:$H,Yield_Gap!$A$1),""),"")</f>
        <v/>
      </c>
      <c r="U28" s="51">
        <f>IFERROR(IF(AND(ISNUMBER($C18),U$23&lt;&gt;14,U$23&lt;&gt;15),
   ( AVERAGEIFS('Data(perCrop)'!$L:$L,
                'Data(perCrop)'!$B:$B,U$22,
                'Data(perCrop)'!$O:$O,$A28,
                'Data(perCrop)'!$H:$H,Yield_Gap!$A$1)
   - AVERAGEIFS('Data(perCrop)'!$K:$K,
                'Data(perCrop)'!$B:$B,U$22,
                'Data(perCrop)'!$O:$O,$A28,
                'Data(perCrop)'!$H:$H,Yield_Gap!$A$1)
   )
   / AVERAGEIFS('Data(perCrop)'!$L:$L,
                'Data(perCrop)'!$B:$B,U$22,
                'Data(perCrop)'!$O:$O,$A28,
                'Data(perCrop)'!$H:$H,Yield_Gap!$A$1),""),"")</f>
        <v>0.22997376138292946</v>
      </c>
      <c r="V28" s="51" t="str">
        <f>IFERROR(IF(AND(ISNUMBER($C18),V$23&lt;&gt;14,V$23&lt;&gt;15),
   ( AVERAGEIFS('Data(perCrop)'!$L:$L,
                'Data(perCrop)'!$B:$B,V$22,
                'Data(perCrop)'!$O:$O,$A28,
                'Data(perCrop)'!$H:$H,Yield_Gap!$A$1)
   - AVERAGEIFS('Data(perCrop)'!$K:$K,
                'Data(perCrop)'!$B:$B,V$22,
                'Data(perCrop)'!$O:$O,$A28,
                'Data(perCrop)'!$H:$H,Yield_Gap!$A$1)
   )
   / AVERAGEIFS('Data(perCrop)'!$L:$L,
                'Data(perCrop)'!$B:$B,V$22,
                'Data(perCrop)'!$O:$O,$A28,
                'Data(perCrop)'!$H:$H,Yield_Gap!$A$1),""),"")</f>
        <v/>
      </c>
      <c r="W28" s="51" t="str">
        <f>IFERROR(IF(AND(ISNUMBER($C18),W$23&lt;&gt;14,W$23&lt;&gt;15),
   ( AVERAGEIFS('Data(perCrop)'!$L:$L,
                'Data(perCrop)'!$B:$B,W$22,
                'Data(perCrop)'!$O:$O,$A28,
                'Data(perCrop)'!$H:$H,Yield_Gap!$A$1)
   - AVERAGEIFS('Data(perCrop)'!$K:$K,
                'Data(perCrop)'!$B:$B,W$22,
                'Data(perCrop)'!$O:$O,$A28,
                'Data(perCrop)'!$H:$H,Yield_Gap!$A$1)
   )
   / AVERAGEIFS('Data(perCrop)'!$L:$L,
                'Data(perCrop)'!$B:$B,W$22,
                'Data(perCrop)'!$O:$O,$A28,
                'Data(perCrop)'!$H:$H,Yield_Gap!$A$1),""),"")</f>
        <v/>
      </c>
      <c r="X28" s="51" t="str">
        <f>IFERROR(IF(AND(ISNUMBER($C18),X$23&lt;&gt;14,X$23&lt;&gt;15),
   ( AVERAGEIFS('Data(perCrop)'!$L:$L,
                'Data(perCrop)'!$B:$B,X$22,
                'Data(perCrop)'!$O:$O,$A28,
                'Data(perCrop)'!$H:$H,Yield_Gap!$A$1)
   - AVERAGEIFS('Data(perCrop)'!$K:$K,
                'Data(perCrop)'!$B:$B,X$22,
                'Data(perCrop)'!$O:$O,$A28,
                'Data(perCrop)'!$H:$H,Yield_Gap!$A$1)
   )
   / AVERAGEIFS('Data(perCrop)'!$L:$L,
                'Data(perCrop)'!$B:$B,X$22,
                'Data(perCrop)'!$O:$O,$A28,
                'Data(perCrop)'!$H:$H,Yield_Gap!$A$1),""),"")</f>
        <v/>
      </c>
      <c r="Y28" s="51" t="str">
        <f>IFERROR(IF(AND(ISNUMBER($C18),Y$23&lt;&gt;14,Y$23&lt;&gt;15),
   ( AVERAGEIFS('Data(perCrop)'!$L:$L,
                'Data(perCrop)'!$B:$B,Y$22,
                'Data(perCrop)'!$O:$O,$A28,
                'Data(perCrop)'!$H:$H,Yield_Gap!$A$1)
   - AVERAGEIFS('Data(perCrop)'!$K:$K,
                'Data(perCrop)'!$B:$B,Y$22,
                'Data(perCrop)'!$O:$O,$A28,
                'Data(perCrop)'!$H:$H,Yield_Gap!$A$1)
   )
   / AVERAGEIFS('Data(perCrop)'!$L:$L,
                'Data(perCrop)'!$B:$B,Y$22,
                'Data(perCrop)'!$O:$O,$A28,
                'Data(perCrop)'!$H:$H,Yield_Gap!$A$1),""),"")</f>
        <v/>
      </c>
      <c r="Z28" s="51" t="str">
        <f>IFERROR(IF(AND(ISNUMBER($C18),Z$23&lt;&gt;14,Z$23&lt;&gt;15),
   ( AVERAGEIFS('Data(perCrop)'!$L:$L,
                'Data(perCrop)'!$B:$B,Z$22,
                'Data(perCrop)'!$O:$O,$A28,
                'Data(perCrop)'!$H:$H,Yield_Gap!$A$1)
   - AVERAGEIFS('Data(perCrop)'!$K:$K,
                'Data(perCrop)'!$B:$B,Z$22,
                'Data(perCrop)'!$O:$O,$A28,
                'Data(perCrop)'!$H:$H,Yield_Gap!$A$1)
   )
   / AVERAGEIFS('Data(perCrop)'!$L:$L,
                'Data(perCrop)'!$B:$B,Z$22,
                'Data(perCrop)'!$O:$O,$A28,
                'Data(perCrop)'!$H:$H,Yield_Gap!$A$1),""),"")</f>
        <v/>
      </c>
      <c r="AA28" s="51" t="str">
        <f>IFERROR(IF(AND(ISNUMBER($C18),AA$23&lt;&gt;14,AA$23&lt;&gt;15),
   ( AVERAGEIFS('Data(perCrop)'!$L:$L,
                'Data(perCrop)'!$B:$B,AA$22,
                'Data(perCrop)'!$O:$O,$A28,
                'Data(perCrop)'!$H:$H,Yield_Gap!$A$1)
   - AVERAGEIFS('Data(perCrop)'!$K:$K,
                'Data(perCrop)'!$B:$B,AA$22,
                'Data(perCrop)'!$O:$O,$A28,
                'Data(perCrop)'!$H:$H,Yield_Gap!$A$1)
   )
   / AVERAGEIFS('Data(perCrop)'!$L:$L,
                'Data(perCrop)'!$B:$B,AA$22,
                'Data(perCrop)'!$O:$O,$A28,
                'Data(perCrop)'!$H:$H,Yield_Gap!$A$1),""),"")</f>
        <v/>
      </c>
      <c r="AB28" s="51" t="str">
        <f>IFERROR(IF(AND(ISNUMBER($C18),AB$23&lt;&gt;14,AB$23&lt;&gt;15),
   ( AVERAGEIFS('Data(perCrop)'!$L:$L,
                'Data(perCrop)'!$B:$B,AB$22,
                'Data(perCrop)'!$O:$O,$A28,
                'Data(perCrop)'!$H:$H,Yield_Gap!$A$1)
   - AVERAGEIFS('Data(perCrop)'!$K:$K,
                'Data(perCrop)'!$B:$B,AB$22,
                'Data(perCrop)'!$O:$O,$A28,
                'Data(perCrop)'!$H:$H,Yield_Gap!$A$1)
   )
   / AVERAGEIFS('Data(perCrop)'!$L:$L,
                'Data(perCrop)'!$B:$B,AB$22,
                'Data(perCrop)'!$O:$O,$A28,
                'Data(perCrop)'!$H:$H,Yield_Gap!$A$1),""),"")</f>
        <v/>
      </c>
      <c r="AC28" s="51" t="str">
        <f>IFERROR(IF(AND(ISNUMBER($C18),AC$23&lt;&gt;14,AC$23&lt;&gt;15),
   ( AVERAGEIFS('Data(perCrop)'!$L:$L,
                'Data(perCrop)'!$B:$B,AC$22,
                'Data(perCrop)'!$O:$O,$A28,
                'Data(perCrop)'!$H:$H,Yield_Gap!$A$1)
   - AVERAGEIFS('Data(perCrop)'!$K:$K,
                'Data(perCrop)'!$B:$B,AC$22,
                'Data(perCrop)'!$O:$O,$A28,
                'Data(perCrop)'!$H:$H,Yield_Gap!$A$1)
   )
   / AVERAGEIFS('Data(perCrop)'!$L:$L,
                'Data(perCrop)'!$B:$B,AC$22,
                'Data(perCrop)'!$O:$O,$A28,
                'Data(perCrop)'!$H:$H,Yield_Gap!$A$1),""),"")</f>
        <v/>
      </c>
      <c r="AD28" s="51" t="str">
        <f>IFERROR(IF(AND(ISNUMBER($C18),AD$23&lt;&gt;14,AD$23&lt;&gt;15),
   ( AVERAGEIFS('Data(perCrop)'!$L:$L,
                'Data(perCrop)'!$B:$B,AD$22,
                'Data(perCrop)'!$O:$O,$A28,
                'Data(perCrop)'!$H:$H,Yield_Gap!$A$1)
   - AVERAGEIFS('Data(perCrop)'!$K:$K,
                'Data(perCrop)'!$B:$B,AD$22,
                'Data(perCrop)'!$O:$O,$A28,
                'Data(perCrop)'!$H:$H,Yield_Gap!$A$1)
   )
   / AVERAGEIFS('Data(perCrop)'!$L:$L,
                'Data(perCrop)'!$B:$B,AD$22,
                'Data(perCrop)'!$O:$O,$A28,
                'Data(perCrop)'!$H:$H,Yield_Gap!$A$1),""),"")</f>
        <v/>
      </c>
      <c r="AE28" s="51" t="str">
        <f>IFERROR(IF(AND(ISNUMBER($C18),AE$23&lt;&gt;14,AE$23&lt;&gt;15),
   ( AVERAGEIFS('Data(perCrop)'!$L:$L,
                'Data(perCrop)'!$B:$B,AE$22,
                'Data(perCrop)'!$O:$O,$A28,
                'Data(perCrop)'!$H:$H,Yield_Gap!$A$1)
   - AVERAGEIFS('Data(perCrop)'!$K:$K,
                'Data(perCrop)'!$B:$B,AE$22,
                'Data(perCrop)'!$O:$O,$A28,
                'Data(perCrop)'!$H:$H,Yield_Gap!$A$1)
   )
   / AVERAGEIFS('Data(perCrop)'!$L:$L,
                'Data(perCrop)'!$B:$B,AE$22,
                'Data(perCrop)'!$O:$O,$A28,
                'Data(perCrop)'!$H:$H,Yield_Gap!$A$1),""),"")</f>
        <v/>
      </c>
      <c r="AF28" s="51" t="str">
        <f>IFERROR(IF(AND(ISNUMBER($C18),AF$23&lt;&gt;14,AF$23&lt;&gt;15),
   ( AVERAGEIFS('Data(perCrop)'!$L:$L,
                'Data(perCrop)'!$B:$B,AF$22,
                'Data(perCrop)'!$O:$O,$A28,
                'Data(perCrop)'!$H:$H,Yield_Gap!$A$1)
   - AVERAGEIFS('Data(perCrop)'!$K:$K,
                'Data(perCrop)'!$B:$B,AF$22,
                'Data(perCrop)'!$O:$O,$A28,
                'Data(perCrop)'!$H:$H,Yield_Gap!$A$1)
   )
   / AVERAGEIFS('Data(perCrop)'!$L:$L,
                'Data(perCrop)'!$B:$B,AF$22,
                'Data(perCrop)'!$O:$O,$A28,
                'Data(perCrop)'!$H:$H,Yield_Gap!$A$1),""),"")</f>
        <v/>
      </c>
    </row>
    <row r="29" spans="1:32" ht="18.75" x14ac:dyDescent="0.3">
      <c r="A29" s="52" t="s">
        <v>184</v>
      </c>
      <c r="B29" s="52"/>
      <c r="C29" s="52">
        <f t="shared" ref="C29:AF29" si="2">IF(ISNUMBER(AVERAGE(C24:C28)),AVERAGE(C24:C28),"")</f>
        <v>0.22279631885680962</v>
      </c>
      <c r="D29" s="52" t="str">
        <f t="shared" si="2"/>
        <v/>
      </c>
      <c r="E29" s="52" t="str">
        <f t="shared" si="2"/>
        <v/>
      </c>
      <c r="F29" s="52" t="str">
        <f t="shared" si="2"/>
        <v/>
      </c>
      <c r="G29" s="52" t="str">
        <f t="shared" si="2"/>
        <v/>
      </c>
      <c r="H29" s="52" t="str">
        <f t="shared" si="2"/>
        <v/>
      </c>
      <c r="I29" s="52" t="str">
        <f t="shared" si="2"/>
        <v/>
      </c>
      <c r="J29" s="52" t="str">
        <f t="shared" si="2"/>
        <v/>
      </c>
      <c r="K29" s="52" t="str">
        <f t="shared" si="2"/>
        <v/>
      </c>
      <c r="L29" s="52" t="str">
        <f t="shared" si="2"/>
        <v/>
      </c>
      <c r="M29" s="52" t="str">
        <f t="shared" si="2"/>
        <v/>
      </c>
      <c r="N29" s="52" t="str">
        <f t="shared" si="2"/>
        <v/>
      </c>
      <c r="O29" s="52" t="str">
        <f t="shared" si="2"/>
        <v/>
      </c>
      <c r="P29" s="52" t="str">
        <f t="shared" si="2"/>
        <v/>
      </c>
      <c r="Q29" s="52" t="str">
        <f t="shared" si="2"/>
        <v/>
      </c>
      <c r="R29" s="52">
        <f t="shared" si="2"/>
        <v>0.30905861138815055</v>
      </c>
      <c r="S29" s="52" t="str">
        <f t="shared" si="2"/>
        <v/>
      </c>
      <c r="T29" s="52" t="str">
        <f t="shared" si="2"/>
        <v/>
      </c>
      <c r="U29" s="52">
        <f t="shared" si="2"/>
        <v>0.24234632896747535</v>
      </c>
      <c r="V29" s="52" t="str">
        <f t="shared" si="2"/>
        <v/>
      </c>
      <c r="W29" s="52" t="str">
        <f t="shared" si="2"/>
        <v/>
      </c>
      <c r="X29" s="52" t="str">
        <f t="shared" si="2"/>
        <v/>
      </c>
      <c r="Y29" s="52" t="str">
        <f t="shared" si="2"/>
        <v/>
      </c>
      <c r="Z29" s="52" t="str">
        <f t="shared" si="2"/>
        <v/>
      </c>
      <c r="AA29" s="52" t="str">
        <f t="shared" si="2"/>
        <v/>
      </c>
      <c r="AB29" s="52" t="str">
        <f t="shared" si="2"/>
        <v/>
      </c>
      <c r="AC29" s="52" t="str">
        <f t="shared" si="2"/>
        <v/>
      </c>
      <c r="AD29" s="52" t="str">
        <f t="shared" si="2"/>
        <v/>
      </c>
      <c r="AE29" s="52" t="str">
        <f t="shared" si="2"/>
        <v/>
      </c>
      <c r="AF29" s="52" t="str">
        <f t="shared" si="2"/>
        <v/>
      </c>
    </row>
    <row r="31" spans="1:32" ht="18.75" x14ac:dyDescent="0.3">
      <c r="A31" s="42" t="s">
        <v>208</v>
      </c>
      <c r="B31" s="42" t="s">
        <v>120</v>
      </c>
    </row>
    <row r="32" spans="1:32" ht="18.75" x14ac:dyDescent="0.3">
      <c r="A32" s="42">
        <v>2018</v>
      </c>
      <c r="B32" s="51">
        <f>SUMPRODUCT(B24:AF24,B5:AF5)/SUM(B5:AF5)</f>
        <v>0.20085748757203595</v>
      </c>
      <c r="E32" s="7"/>
      <c r="F32" s="7"/>
      <c r="G32" s="7"/>
      <c r="H32" s="7"/>
      <c r="I32" s="7"/>
    </row>
    <row r="33" spans="1:9" ht="18.75" x14ac:dyDescent="0.3">
      <c r="A33" s="42">
        <v>2019</v>
      </c>
      <c r="B33" s="51">
        <f>SUMPRODUCT(B25:AF25,B6:AF6)/SUM(B6:AF6)</f>
        <v>0.24216257229357302</v>
      </c>
      <c r="E33" s="7"/>
      <c r="F33" s="7"/>
      <c r="G33" s="7"/>
      <c r="H33" s="7"/>
      <c r="I33" s="7"/>
    </row>
    <row r="34" spans="1:9" ht="18.75" x14ac:dyDescent="0.3">
      <c r="A34" s="42">
        <v>2020</v>
      </c>
      <c r="B34" s="51">
        <f>SUMPRODUCT(B26:AF26,B7:AF7)/SUM(B7:AF7)</f>
        <v>0.25755934983391321</v>
      </c>
    </row>
    <row r="35" spans="1:9" ht="18.75" x14ac:dyDescent="0.3">
      <c r="A35" s="42">
        <v>2021</v>
      </c>
      <c r="B35" s="51">
        <f>SUMPRODUCT(B27:AF27,B8:AF8)/SUM(B8:AF8)</f>
        <v>0.27366613632069664</v>
      </c>
    </row>
    <row r="36" spans="1:9" ht="18.75" x14ac:dyDescent="0.3">
      <c r="A36" s="42">
        <v>2022</v>
      </c>
      <c r="B36" s="51">
        <f>SUMPRODUCT(B28:AF28,B9:AF9)/SUM(B9:AF9)</f>
        <v>0.21149678857841764</v>
      </c>
    </row>
    <row r="37" spans="1:9" ht="18.75" x14ac:dyDescent="0.3">
      <c r="A37" s="52" t="s">
        <v>184</v>
      </c>
      <c r="B37" s="52">
        <f>AVERAGE(B32:B36)</f>
        <v>0.2371484669197273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801F-BC90-47A7-94B1-DB13A49C3C6A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89BA-8A98-42E9-BCBF-2D0EA47D6485}">
  <dimension ref="A1"/>
  <sheetViews>
    <sheetView workbookViewId="0">
      <selection activeCell="O25" sqref="O25"/>
    </sheetView>
  </sheetViews>
  <sheetFormatPr defaultRowHeight="15.7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8333-B428-4599-B2FE-864F444348A4}">
  <dimension ref="A1"/>
  <sheetViews>
    <sheetView workbookViewId="0">
      <selection activeCell="E14" sqref="E14"/>
    </sheetView>
  </sheetViews>
  <sheetFormatPr defaultRowHeight="15.7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59555-8D8B-A844-816B-723C71F9F29D}">
  <dimension ref="A3:I40"/>
  <sheetViews>
    <sheetView workbookViewId="0">
      <pane xSplit="1" topLeftCell="B1" activePane="topRight" state="frozen"/>
      <selection pane="topRight" activeCell="B14" sqref="B14"/>
    </sheetView>
  </sheetViews>
  <sheetFormatPr defaultColWidth="11.25" defaultRowHeight="15.75" x14ac:dyDescent="0.25"/>
  <cols>
    <col min="1" max="1" width="32" bestFit="1" customWidth="1"/>
    <col min="4" max="4" width="19.5" bestFit="1" customWidth="1"/>
    <col min="5" max="5" width="22" bestFit="1" customWidth="1"/>
    <col min="8" max="8" width="11.25" bestFit="1" customWidth="1"/>
  </cols>
  <sheetData>
    <row r="3" spans="1:7" x14ac:dyDescent="0.25">
      <c r="A3" s="4" t="s">
        <v>89</v>
      </c>
      <c r="B3" s="4" t="s">
        <v>90</v>
      </c>
      <c r="C3" s="4" t="s">
        <v>172</v>
      </c>
      <c r="D3" s="4" t="s">
        <v>92</v>
      </c>
      <c r="E3" s="4" t="s">
        <v>93</v>
      </c>
      <c r="F3" s="4" t="s">
        <v>67</v>
      </c>
    </row>
    <row r="5" spans="1:7" x14ac:dyDescent="0.25">
      <c r="A5" s="8" t="s">
        <v>47</v>
      </c>
      <c r="B5" s="20" t="e">
        <f>AVERAGEIFS(#REF!,#REF!,'Data(FAO-AQUASTAT)'!$A5)</f>
        <v>#REF!</v>
      </c>
      <c r="C5" s="20" t="e">
        <f>AVERAGEIFS(#REF!,#REF!,'Data(FAO-AQUASTAT)'!$A5)</f>
        <v>#REF!</v>
      </c>
      <c r="E5" s="32"/>
      <c r="F5" t="str">
        <f>IF(ISNUMBER(B5),IF(E5&gt;=SCORES!I$5,1,0),"")</f>
        <v/>
      </c>
      <c r="G5" s="7"/>
    </row>
    <row r="6" spans="1:7" x14ac:dyDescent="0.25">
      <c r="A6" s="8" t="s">
        <v>57</v>
      </c>
      <c r="B6" s="20" t="e">
        <f>AVERAGEIFS(#REF!,#REF!,'Data(FAO-AQUASTAT)'!$A6)</f>
        <v>#REF!</v>
      </c>
      <c r="C6" s="20" t="e">
        <f>AVERAGEIFS(#REF!,#REF!,'Data(FAO-AQUASTAT)'!$A6)</f>
        <v>#REF!</v>
      </c>
      <c r="D6">
        <v>7</v>
      </c>
      <c r="E6" s="32">
        <v>746</v>
      </c>
      <c r="F6" t="str">
        <f>IF(ISNUMBER(B6),IF(E6&gt;=SCORES!I$5,1,0),"")</f>
        <v/>
      </c>
      <c r="G6" s="7"/>
    </row>
    <row r="7" spans="1:7" x14ac:dyDescent="0.25">
      <c r="A7" s="8" t="s">
        <v>110</v>
      </c>
      <c r="B7" s="20" t="e">
        <f>AVERAGEIFS(#REF!,#REF!,'Data(FAO-AQUASTAT)'!$A7)</f>
        <v>#REF!</v>
      </c>
      <c r="C7" s="20" t="e">
        <f>AVERAGEIFS(#REF!,#REF!,'Data(FAO-AQUASTAT)'!$A7)</f>
        <v>#REF!</v>
      </c>
      <c r="E7" s="32"/>
      <c r="F7" t="str">
        <f>IF(ISNUMBER(B7),IF(E7&gt;=SCORES!I$5,1,0),"")</f>
        <v/>
      </c>
      <c r="G7" s="7"/>
    </row>
    <row r="8" spans="1:7" x14ac:dyDescent="0.25">
      <c r="A8" s="8" t="s">
        <v>50</v>
      </c>
      <c r="B8" s="20" t="e">
        <f>AVERAGEIFS(#REF!,#REF!,'Data(FAO-AQUASTAT)'!$A8)</f>
        <v>#REF!</v>
      </c>
      <c r="C8" s="20" t="e">
        <f>AVERAGEIFS(#REF!,#REF!,'Data(FAO-AQUASTAT)'!$A8)</f>
        <v>#REF!</v>
      </c>
      <c r="E8" s="32"/>
      <c r="F8" t="str">
        <f>IF(ISNUMBER(B8),IF(E8&gt;=SCORES!I$5,1,0),"")</f>
        <v/>
      </c>
      <c r="G8" s="7"/>
    </row>
    <row r="9" spans="1:7" x14ac:dyDescent="0.25">
      <c r="A9" s="8" t="s">
        <v>58</v>
      </c>
      <c r="B9" s="20" t="e">
        <f>AVERAGEIFS(#REF!,#REF!,'Data(FAO-AQUASTAT)'!$A9)</f>
        <v>#REF!</v>
      </c>
      <c r="C9" s="20" t="e">
        <f>AVERAGEIFS(#REF!,#REF!,'Data(FAO-AQUASTAT)'!$A9)</f>
        <v>#REF!</v>
      </c>
      <c r="E9" s="32"/>
      <c r="F9" t="str">
        <f>IF(ISNUMBER(B9),IF(E9&gt;=SCORES!I$5,1,0),"")</f>
        <v/>
      </c>
      <c r="G9" s="7"/>
    </row>
    <row r="10" spans="1:7" x14ac:dyDescent="0.25">
      <c r="A10" s="8" t="s">
        <v>51</v>
      </c>
      <c r="B10" s="20" t="e">
        <f>AVERAGEIFS(#REF!,#REF!,'Data(FAO-AQUASTAT)'!$A10)</f>
        <v>#REF!</v>
      </c>
      <c r="C10" s="20" t="e">
        <f>AVERAGEIFS(#REF!,#REF!,'Data(FAO-AQUASTAT)'!$A10)</f>
        <v>#REF!</v>
      </c>
      <c r="E10" s="32"/>
      <c r="F10" t="str">
        <f>IF(ISNUMBER(B10),IF(E10&gt;=SCORES!I$5,1,0),"")</f>
        <v/>
      </c>
      <c r="G10" s="7"/>
    </row>
    <row r="11" spans="1:7" x14ac:dyDescent="0.25">
      <c r="A11" s="8" t="s">
        <v>97</v>
      </c>
      <c r="B11" s="20" t="e">
        <f>AVERAGEIFS(#REF!,#REF!,'Data(FAO-AQUASTAT)'!$A11)</f>
        <v>#REF!</v>
      </c>
      <c r="C11" s="20" t="e">
        <f>AVERAGEIFS(#REF!,#REF!,'Data(FAO-AQUASTAT)'!$A11)</f>
        <v>#REF!</v>
      </c>
      <c r="E11" s="32"/>
      <c r="F11" t="str">
        <f>IF(ISNUMBER(B11),IF(E11&gt;=SCORES!I$5,1,0),"")</f>
        <v/>
      </c>
      <c r="G11" s="7"/>
    </row>
    <row r="12" spans="1:7" x14ac:dyDescent="0.25">
      <c r="A12" s="8" t="s">
        <v>52</v>
      </c>
      <c r="B12" s="20" t="e">
        <f>AVERAGEIFS(#REF!,#REF!,'Data(FAO-AQUASTAT)'!$A12)</f>
        <v>#REF!</v>
      </c>
      <c r="C12" s="20" t="e">
        <f>AVERAGEIFS(#REF!,#REF!,'Data(FAO-AQUASTAT)'!$A12)</f>
        <v>#REF!</v>
      </c>
      <c r="E12" s="30"/>
      <c r="F12" t="str">
        <f>IF(ISNUMBER(B12),IF(E12&gt;=SCORES!I$5,1,0),"")</f>
        <v/>
      </c>
    </row>
    <row r="13" spans="1:7" x14ac:dyDescent="0.25">
      <c r="A13" s="8" t="s">
        <v>59</v>
      </c>
      <c r="B13" s="20" t="e">
        <f>AVERAGEIFS(#REF!,#REF!,'Data(FAO-AQUASTAT)'!$A13)</f>
        <v>#REF!</v>
      </c>
      <c r="C13" s="20" t="e">
        <f>AVERAGEIFS(#REF!,#REF!,'Data(FAO-AQUASTAT)'!$A13)</f>
        <v>#REF!</v>
      </c>
      <c r="E13" s="30"/>
      <c r="F13" t="str">
        <f>IF(ISNUMBER(B13),IF(E13&gt;=SCORES!I$5,1,0),"")</f>
        <v/>
      </c>
    </row>
    <row r="14" spans="1:7" x14ac:dyDescent="0.25">
      <c r="A14" s="8" t="s">
        <v>111</v>
      </c>
      <c r="B14" s="20" t="e">
        <f>AVERAGEIFS(#REF!,#REF!,'Data(FAO-AQUASTAT)'!$A14)</f>
        <v>#REF!</v>
      </c>
      <c r="C14" s="20" t="e">
        <f>AVERAGEIFS(#REF!,#REF!,'Data(FAO-AQUASTAT)'!$A14)</f>
        <v>#REF!</v>
      </c>
      <c r="E14" s="30"/>
      <c r="F14" t="str">
        <f>IF(ISNUMBER(B14),IF(E14&gt;=SCORES!I$5,1,0),"")</f>
        <v/>
      </c>
    </row>
    <row r="15" spans="1:7" x14ac:dyDescent="0.25">
      <c r="A15" s="8" t="s">
        <v>54</v>
      </c>
      <c r="B15" s="20" t="e">
        <f>AVERAGEIFS(#REF!,#REF!,'Data(FAO-AQUASTAT)'!$A15)</f>
        <v>#REF!</v>
      </c>
      <c r="C15" s="20" t="e">
        <f>AVERAGEIFS(#REF!,#REF!,'Data(FAO-AQUASTAT)'!$A15)</f>
        <v>#REF!</v>
      </c>
      <c r="E15" s="30"/>
      <c r="F15" t="str">
        <f>IF(ISNUMBER(B15),IF(E15&gt;=SCORES!I$5,1,0),"")</f>
        <v/>
      </c>
    </row>
    <row r="16" spans="1:7" x14ac:dyDescent="0.25">
      <c r="A16" s="8" t="s">
        <v>112</v>
      </c>
      <c r="B16" s="20" t="e">
        <f>AVERAGEIFS(#REF!,#REF!,'Data(FAO-AQUASTAT)'!$A16)</f>
        <v>#REF!</v>
      </c>
      <c r="C16" s="20" t="e">
        <f>AVERAGEIFS(#REF!,#REF!,'Data(FAO-AQUASTAT)'!$A16)</f>
        <v>#REF!</v>
      </c>
      <c r="E16" s="32"/>
      <c r="F16" t="str">
        <f>IF(ISNUMBER(B16),IF(E16&gt;=SCORES!I$5,1,0),"")</f>
        <v/>
      </c>
      <c r="G16" s="7"/>
    </row>
    <row r="17" spans="1:9" x14ac:dyDescent="0.25">
      <c r="A17" s="8" t="s">
        <v>48</v>
      </c>
      <c r="B17" s="20" t="e">
        <f>AVERAGEIFS(#REF!,#REF!,'Data(FAO-AQUASTAT)'!$A17)</f>
        <v>#REF!</v>
      </c>
      <c r="C17" s="20" t="e">
        <f>AVERAGEIFS(#REF!,#REF!,'Data(FAO-AQUASTAT)'!$A17)</f>
        <v>#REF!</v>
      </c>
      <c r="E17" s="32"/>
      <c r="F17" t="str">
        <f>IF(ISNUMBER(B17),IF(E17&gt;=SCORES!I$5,1,0),"")</f>
        <v/>
      </c>
      <c r="G17" s="7"/>
    </row>
    <row r="18" spans="1:9" x14ac:dyDescent="0.25">
      <c r="A18" s="8" t="s">
        <v>53</v>
      </c>
      <c r="B18" s="20" t="e">
        <f>AVERAGEIFS(#REF!,#REF!,'Data(FAO-AQUASTAT)'!$A18)</f>
        <v>#REF!</v>
      </c>
      <c r="C18" s="20" t="e">
        <f>AVERAGEIFS(#REF!,#REF!,'Data(FAO-AQUASTAT)'!$A18)</f>
        <v>#REF!</v>
      </c>
      <c r="E18" s="32"/>
      <c r="F18">
        <v>1</v>
      </c>
      <c r="G18" s="7"/>
    </row>
    <row r="19" spans="1:9" x14ac:dyDescent="0.25">
      <c r="A19" s="8" t="s">
        <v>49</v>
      </c>
      <c r="B19" s="20" t="e">
        <f>AVERAGEIFS(#REF!,#REF!,'Data(FAO-AQUASTAT)'!$A19)</f>
        <v>#REF!</v>
      </c>
      <c r="C19" s="20" t="e">
        <f>AVERAGEIFS(#REF!,#REF!,'Data(FAO-AQUASTAT)'!$A19)</f>
        <v>#REF!</v>
      </c>
      <c r="E19" s="32"/>
      <c r="F19" t="str">
        <f>IF(ISNUMBER(B19),IF(E19&gt;=SCORES!I$5,1,0),"")</f>
        <v/>
      </c>
      <c r="G19" s="7"/>
    </row>
    <row r="20" spans="1:9" x14ac:dyDescent="0.25">
      <c r="A20" s="8" t="s">
        <v>56</v>
      </c>
      <c r="B20" s="20" t="e">
        <f>AVERAGEIFS(#REF!,#REF!,'Data(FAO-AQUASTAT)'!$A20)</f>
        <v>#REF!</v>
      </c>
      <c r="C20" s="20" t="e">
        <f>AVERAGEIFS(#REF!,#REF!,'Data(FAO-AQUASTAT)'!$A20)</f>
        <v>#REF!</v>
      </c>
      <c r="E20" s="32"/>
      <c r="G20" s="7"/>
    </row>
    <row r="21" spans="1:9" x14ac:dyDescent="0.25">
      <c r="A21" s="8" t="s">
        <v>102</v>
      </c>
      <c r="B21" s="20" t="e">
        <f>AVERAGEIFS(#REF!,#REF!,'Data(FAO-AQUASTAT)'!$A21)</f>
        <v>#REF!</v>
      </c>
      <c r="C21" s="20" t="e">
        <f>AVERAGEIFS(#REF!,#REF!,'Data(FAO-AQUASTAT)'!$A21)</f>
        <v>#REF!</v>
      </c>
      <c r="E21" s="32"/>
      <c r="G21" s="7"/>
    </row>
    <row r="22" spans="1:9" x14ac:dyDescent="0.25">
      <c r="A22" s="8" t="s">
        <v>103</v>
      </c>
      <c r="B22" s="20" t="e">
        <f>AVERAGEIFS(#REF!,#REF!,'Data(FAO-AQUASTAT)'!$A22)</f>
        <v>#REF!</v>
      </c>
      <c r="C22" s="20" t="e">
        <f>AVERAGEIFS(#REF!,#REF!,'Data(FAO-AQUASTAT)'!$A22)</f>
        <v>#REF!</v>
      </c>
      <c r="E22" s="32"/>
      <c r="G22" s="7"/>
    </row>
    <row r="23" spans="1:9" x14ac:dyDescent="0.25">
      <c r="A23" s="8" t="s">
        <v>101</v>
      </c>
      <c r="B23" s="20" t="e">
        <f>AVERAGEIFS(#REF!,#REF!,'Data(FAO-AQUASTAT)'!$A23)</f>
        <v>#REF!</v>
      </c>
      <c r="C23" s="20" t="e">
        <f>AVERAGEIFS(#REF!,#REF!,'Data(FAO-AQUASTAT)'!$A23)</f>
        <v>#REF!</v>
      </c>
      <c r="E23" s="32"/>
      <c r="G23" s="7"/>
    </row>
    <row r="24" spans="1:9" x14ac:dyDescent="0.25">
      <c r="A24" s="8" t="s">
        <v>106</v>
      </c>
      <c r="B24" s="20" t="e">
        <f>AVERAGEIFS(#REF!,#REF!,'Data(FAO-AQUASTAT)'!$A24)</f>
        <v>#REF!</v>
      </c>
      <c r="C24" s="20" t="e">
        <f>AVERAGEIFS(#REF!,#REF!,'Data(FAO-AQUASTAT)'!$A24)</f>
        <v>#REF!</v>
      </c>
      <c r="E24" s="32"/>
      <c r="G24" s="7"/>
    </row>
    <row r="25" spans="1:9" x14ac:dyDescent="0.25">
      <c r="A25" s="8" t="s">
        <v>113</v>
      </c>
      <c r="B25" s="20" t="e">
        <f>AVERAGEIFS(#REF!,#REF!,'Data(FAO-AQUASTAT)'!$A25)</f>
        <v>#REF!</v>
      </c>
      <c r="C25" s="20" t="e">
        <f>AVERAGEIFS(#REF!,#REF!,'Data(FAO-AQUASTAT)'!$A25)</f>
        <v>#REF!</v>
      </c>
      <c r="E25" s="32"/>
      <c r="G25" s="7"/>
    </row>
    <row r="26" spans="1:9" x14ac:dyDescent="0.25">
      <c r="A26" s="8" t="s">
        <v>114</v>
      </c>
      <c r="B26" s="20" t="e">
        <f>AVERAGEIFS(#REF!,#REF!,'Data(FAO-AQUASTAT)'!$A26)</f>
        <v>#REF!</v>
      </c>
      <c r="C26" s="20" t="e">
        <f>AVERAGEIFS(#REF!,#REF!,'Data(FAO-AQUASTAT)'!$A26)</f>
        <v>#REF!</v>
      </c>
      <c r="E26" s="32"/>
      <c r="G26" s="7"/>
    </row>
    <row r="27" spans="1:9" x14ac:dyDescent="0.25">
      <c r="A27" s="8" t="s">
        <v>115</v>
      </c>
      <c r="B27" s="20" t="e">
        <f>AVERAGEIFS(#REF!,#REF!,'Data(FAO-AQUASTAT)'!$A27)</f>
        <v>#REF!</v>
      </c>
      <c r="C27" s="20" t="e">
        <f>AVERAGEIFS(#REF!,#REF!,'Data(FAO-AQUASTAT)'!$A27)</f>
        <v>#REF!</v>
      </c>
      <c r="E27" s="32"/>
      <c r="G27" s="7"/>
    </row>
    <row r="28" spans="1:9" x14ac:dyDescent="0.25">
      <c r="A28" s="8" t="s">
        <v>116</v>
      </c>
      <c r="B28" s="20" t="e">
        <f>AVERAGEIFS(#REF!,#REF!,'Data(FAO-AQUASTAT)'!$A28)</f>
        <v>#REF!</v>
      </c>
      <c r="C28" s="20" t="e">
        <f>AVERAGEIFS(#REF!,#REF!,'Data(FAO-AQUASTAT)'!$A28)</f>
        <v>#REF!</v>
      </c>
      <c r="E28" s="32"/>
      <c r="G28" s="7"/>
    </row>
    <row r="29" spans="1:9" x14ac:dyDescent="0.25">
      <c r="A29" s="8" t="s">
        <v>107</v>
      </c>
      <c r="B29" s="20" t="e">
        <f>AVERAGEIFS(#REF!,#REF!,'Data(FAO-AQUASTAT)'!$A29)</f>
        <v>#REF!</v>
      </c>
      <c r="C29" s="20" t="e">
        <f>AVERAGEIFS(#REF!,#REF!,'Data(FAO-AQUASTAT)'!$A29)</f>
        <v>#REF!</v>
      </c>
      <c r="E29" s="30"/>
      <c r="F29" s="7"/>
      <c r="G29" s="7"/>
      <c r="H29" s="20"/>
      <c r="I29" s="27"/>
    </row>
    <row r="30" spans="1:9" x14ac:dyDescent="0.25">
      <c r="A30" s="8" t="s">
        <v>104</v>
      </c>
      <c r="B30" s="20" t="e">
        <f>AVERAGEIFS(#REF!,#REF!,'Data(FAO-AQUASTAT)'!$A30)</f>
        <v>#REF!</v>
      </c>
      <c r="C30" s="20" t="e">
        <f>AVERAGEIFS(#REF!,#REF!,'Data(FAO-AQUASTAT)'!$A30)</f>
        <v>#REF!</v>
      </c>
      <c r="E30" s="30"/>
      <c r="F30" s="7"/>
      <c r="G30" s="7"/>
      <c r="H30" s="27"/>
      <c r="I30" s="27"/>
    </row>
    <row r="31" spans="1:9" x14ac:dyDescent="0.25">
      <c r="A31" s="8" t="s">
        <v>117</v>
      </c>
      <c r="B31" s="20" t="e">
        <f>AVERAGEIFS(#REF!,#REF!,'Data(FAO-AQUASTAT)'!$A31)</f>
        <v>#REF!</v>
      </c>
      <c r="C31" s="20" t="e">
        <f>AVERAGEIFS(#REF!,#REF!,'Data(FAO-AQUASTAT)'!$A31)</f>
        <v>#REF!</v>
      </c>
      <c r="E31" s="33"/>
      <c r="F31" s="7"/>
      <c r="G31" s="7"/>
      <c r="H31" s="27"/>
      <c r="I31" s="27"/>
    </row>
    <row r="32" spans="1:9" x14ac:dyDescent="0.25">
      <c r="A32" s="8" t="s">
        <v>118</v>
      </c>
      <c r="B32" s="20" t="e">
        <f>AVERAGEIFS(#REF!,#REF!,'Data(FAO-AQUASTAT)'!$A32)</f>
        <v>#REF!</v>
      </c>
      <c r="C32" s="20" t="e">
        <f>AVERAGEIFS(#REF!,#REF!,'Data(FAO-AQUASTAT)'!$A32)</f>
        <v>#REF!</v>
      </c>
      <c r="E32" s="33"/>
      <c r="F32" s="7"/>
      <c r="G32" s="7"/>
      <c r="H32" s="27"/>
      <c r="I32" s="27"/>
    </row>
    <row r="33" spans="1:9" x14ac:dyDescent="0.25">
      <c r="A33" s="8" t="s">
        <v>119</v>
      </c>
      <c r="B33" s="20" t="e">
        <f>AVERAGEIFS(#REF!,#REF!,'Data(FAO-AQUASTAT)'!$A33)</f>
        <v>#REF!</v>
      </c>
      <c r="C33" s="20" t="e">
        <f>AVERAGEIFS(#REF!,#REF!,'Data(FAO-AQUASTAT)'!$A33)</f>
        <v>#REF!</v>
      </c>
      <c r="E33" s="33"/>
      <c r="F33" s="7"/>
      <c r="G33" s="7"/>
      <c r="H33" s="27"/>
      <c r="I33" s="27"/>
    </row>
    <row r="34" spans="1:9" x14ac:dyDescent="0.25">
      <c r="A34" s="8" t="s">
        <v>108</v>
      </c>
      <c r="B34" s="20" t="e">
        <f>AVERAGEIFS(#REF!,#REF!,'Data(FAO-AQUASTAT)'!$A34)</f>
        <v>#REF!</v>
      </c>
      <c r="C34" s="20" t="e">
        <f>AVERAGEIFS(#REF!,#REF!,'Data(FAO-AQUASTAT)'!$A34)</f>
        <v>#REF!</v>
      </c>
      <c r="E34" s="33"/>
      <c r="F34" s="7"/>
      <c r="G34" s="7"/>
      <c r="H34" s="27"/>
      <c r="I34" s="27"/>
    </row>
    <row r="35" spans="1:9" x14ac:dyDescent="0.25">
      <c r="A35" s="8" t="s">
        <v>105</v>
      </c>
      <c r="B35" s="20" t="e">
        <f>AVERAGEIFS(#REF!,#REF!,'Data(FAO-AQUASTAT)'!$A35)</f>
        <v>#REF!</v>
      </c>
      <c r="C35" s="20" t="e">
        <f>AVERAGEIFS(#REF!,#REF!,'Data(FAO-AQUASTAT)'!$A35)</f>
        <v>#REF!</v>
      </c>
      <c r="E35" s="30"/>
      <c r="F35" s="8"/>
      <c r="G35" s="8"/>
    </row>
    <row r="36" spans="1:9" x14ac:dyDescent="0.25">
      <c r="E36" s="20"/>
      <c r="G36" s="7"/>
      <c r="I36" s="27"/>
    </row>
    <row r="37" spans="1:9" x14ac:dyDescent="0.25">
      <c r="E37" s="20"/>
      <c r="G37" s="7"/>
      <c r="I37" s="27"/>
    </row>
    <row r="39" spans="1:9" x14ac:dyDescent="0.25">
      <c r="E39" s="20"/>
      <c r="G39" s="7"/>
      <c r="I39" s="27"/>
    </row>
    <row r="40" spans="1:9" x14ac:dyDescent="0.25">
      <c r="E40" s="20"/>
      <c r="G40" s="7"/>
      <c r="I40" s="27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142E-7CC0-6B49-B39B-DBEA2F4A2BEC}">
  <dimension ref="L2:AA44"/>
  <sheetViews>
    <sheetView workbookViewId="0">
      <selection activeCell="O17" sqref="O17"/>
    </sheetView>
  </sheetViews>
  <sheetFormatPr defaultColWidth="11.25" defaultRowHeight="15.75" x14ac:dyDescent="0.25"/>
  <sheetData>
    <row r="2" spans="12:27" x14ac:dyDescent="0.25">
      <c r="L2" s="24"/>
      <c r="M2" s="24"/>
      <c r="N2" s="24"/>
      <c r="O2" s="24"/>
      <c r="P2" s="24"/>
      <c r="Q2" s="24"/>
    </row>
    <row r="3" spans="12:27" x14ac:dyDescent="0.25">
      <c r="L3" s="24"/>
      <c r="M3" s="24"/>
      <c r="N3" s="24"/>
      <c r="O3" s="25"/>
      <c r="P3" s="25"/>
      <c r="Q3" s="26"/>
      <c r="R3" s="25"/>
      <c r="S3" s="25"/>
      <c r="T3" s="26"/>
    </row>
    <row r="4" spans="12:27" x14ac:dyDescent="0.25">
      <c r="L4" s="24"/>
      <c r="M4" s="24"/>
      <c r="N4" s="24"/>
      <c r="O4" s="25"/>
      <c r="P4" s="25"/>
      <c r="Q4" s="26"/>
      <c r="R4" s="25"/>
      <c r="S4" s="25"/>
      <c r="T4" s="26"/>
    </row>
    <row r="5" spans="12:27" x14ac:dyDescent="0.25">
      <c r="L5" s="24"/>
      <c r="M5" s="24"/>
      <c r="N5" s="24"/>
      <c r="O5" s="25"/>
      <c r="P5" s="25"/>
      <c r="Q5" s="26"/>
      <c r="R5" s="25"/>
      <c r="S5" s="25"/>
      <c r="T5" s="26"/>
    </row>
    <row r="6" spans="12:27" x14ac:dyDescent="0.25">
      <c r="L6" s="24"/>
      <c r="M6" s="24"/>
      <c r="N6" s="24"/>
      <c r="O6" s="25"/>
      <c r="P6" s="25"/>
      <c r="Q6" s="26"/>
      <c r="R6" s="25"/>
      <c r="S6" s="25"/>
      <c r="T6" s="26"/>
    </row>
    <row r="7" spans="12:27" x14ac:dyDescent="0.25">
      <c r="L7" s="24"/>
      <c r="M7" s="24"/>
      <c r="N7" s="24"/>
      <c r="O7" s="25"/>
      <c r="P7" s="25"/>
      <c r="Q7" s="26"/>
      <c r="R7" s="25"/>
      <c r="S7" s="25"/>
      <c r="T7" s="26"/>
      <c r="V7" s="6" t="s">
        <v>0</v>
      </c>
      <c r="W7" s="6"/>
      <c r="X7" s="6" t="s">
        <v>1</v>
      </c>
      <c r="Y7" s="6"/>
      <c r="Z7" t="s">
        <v>121</v>
      </c>
    </row>
    <row r="8" spans="12:27" ht="18.75" x14ac:dyDescent="0.3">
      <c r="L8" s="24"/>
      <c r="M8" s="24"/>
      <c r="N8" s="24"/>
      <c r="O8" s="25"/>
      <c r="P8" s="25"/>
      <c r="Q8" s="26"/>
      <c r="R8" s="25"/>
      <c r="S8" s="25"/>
      <c r="T8" s="26"/>
      <c r="V8" s="3" t="s">
        <v>85</v>
      </c>
      <c r="W8" s="3" t="s">
        <v>94</v>
      </c>
      <c r="X8" s="3" t="s">
        <v>85</v>
      </c>
      <c r="Y8" s="3" t="s">
        <v>94</v>
      </c>
      <c r="Z8" s="3" t="s">
        <v>85</v>
      </c>
      <c r="AA8" s="3" t="s">
        <v>94</v>
      </c>
    </row>
    <row r="9" spans="12:27" x14ac:dyDescent="0.25">
      <c r="L9" s="24"/>
      <c r="M9" s="24"/>
      <c r="N9" s="24"/>
      <c r="O9" s="25"/>
      <c r="P9" s="25"/>
      <c r="Q9" s="26"/>
      <c r="R9" s="25"/>
      <c r="S9" s="25"/>
      <c r="T9" s="26"/>
      <c r="U9" s="8" t="s">
        <v>47</v>
      </c>
      <c r="V9" s="6">
        <f>SCORES!K$7</f>
        <v>0</v>
      </c>
      <c r="W9" s="7">
        <f>SCORES!J$7</f>
        <v>0.4</v>
      </c>
      <c r="X9" s="6">
        <f>SCORES!K$17</f>
        <v>0</v>
      </c>
      <c r="Y9" s="7">
        <f>SCORES!J$17</f>
        <v>0.4</v>
      </c>
      <c r="Z9">
        <f>SCORES!K$18</f>
        <v>0</v>
      </c>
      <c r="AA9">
        <f>SCORES!J$18</f>
        <v>0.4</v>
      </c>
    </row>
    <row r="10" spans="12:27" x14ac:dyDescent="0.25">
      <c r="L10" s="24"/>
      <c r="M10" s="24"/>
      <c r="N10" s="24"/>
      <c r="O10" s="25"/>
      <c r="P10" s="25"/>
      <c r="Q10" s="26"/>
      <c r="R10" s="25"/>
      <c r="S10" s="25"/>
      <c r="T10" s="26"/>
      <c r="U10" s="8" t="s">
        <v>57</v>
      </c>
      <c r="V10" s="6">
        <f>SCORES!K$7</f>
        <v>0</v>
      </c>
      <c r="W10" s="7">
        <f>SCORES!J$7</f>
        <v>0.4</v>
      </c>
      <c r="X10" s="6">
        <f>SCORES!K$17</f>
        <v>0</v>
      </c>
      <c r="Y10" s="7">
        <f>SCORES!J$17</f>
        <v>0.4</v>
      </c>
      <c r="Z10">
        <f>SCORES!K$18</f>
        <v>0</v>
      </c>
      <c r="AA10">
        <f>SCORES!J$18</f>
        <v>0.4</v>
      </c>
    </row>
    <row r="11" spans="12:27" x14ac:dyDescent="0.25">
      <c r="L11" s="24"/>
      <c r="M11" s="24"/>
      <c r="N11" s="24"/>
      <c r="O11" s="25"/>
      <c r="P11" s="25"/>
      <c r="Q11" s="26"/>
      <c r="R11" s="25"/>
      <c r="S11" s="25"/>
      <c r="T11" s="26"/>
      <c r="U11" s="8" t="s">
        <v>110</v>
      </c>
      <c r="V11" s="6">
        <f>SCORES!K$7</f>
        <v>0</v>
      </c>
      <c r="W11" s="7">
        <f>SCORES!J$7</f>
        <v>0.4</v>
      </c>
      <c r="X11" s="6">
        <f>SCORES!K$17</f>
        <v>0</v>
      </c>
      <c r="Y11" s="7">
        <f>SCORES!J$17</f>
        <v>0.4</v>
      </c>
      <c r="Z11">
        <f>SCORES!K$18</f>
        <v>0</v>
      </c>
      <c r="AA11">
        <f>SCORES!J$18</f>
        <v>0.4</v>
      </c>
    </row>
    <row r="12" spans="12:27" x14ac:dyDescent="0.25">
      <c r="L12" s="24"/>
      <c r="M12" s="24"/>
      <c r="N12" s="24"/>
      <c r="O12" s="25"/>
      <c r="P12" s="25"/>
      <c r="Q12" s="26"/>
      <c r="R12" s="25"/>
      <c r="S12" s="25"/>
      <c r="T12" s="26"/>
      <c r="U12" s="8" t="s">
        <v>50</v>
      </c>
      <c r="V12" s="6">
        <f>SCORES!K$7</f>
        <v>0</v>
      </c>
      <c r="W12" s="7">
        <f>SCORES!J$7</f>
        <v>0.4</v>
      </c>
      <c r="X12" s="6">
        <f>SCORES!K$17</f>
        <v>0</v>
      </c>
      <c r="Y12" s="7">
        <f>SCORES!J$17</f>
        <v>0.4</v>
      </c>
      <c r="Z12">
        <f>SCORES!K$18</f>
        <v>0</v>
      </c>
      <c r="AA12">
        <f>SCORES!J$18</f>
        <v>0.4</v>
      </c>
    </row>
    <row r="13" spans="12:27" x14ac:dyDescent="0.25">
      <c r="L13" s="24"/>
      <c r="M13" s="24"/>
      <c r="N13" s="24"/>
      <c r="O13" s="25"/>
      <c r="P13" s="25"/>
      <c r="Q13" s="26"/>
      <c r="R13" s="25"/>
      <c r="S13" s="25"/>
      <c r="T13" s="26"/>
      <c r="U13" s="8" t="s">
        <v>58</v>
      </c>
      <c r="V13" s="6">
        <f>SCORES!K$7</f>
        <v>0</v>
      </c>
      <c r="W13" s="7">
        <f>SCORES!J$7</f>
        <v>0.4</v>
      </c>
      <c r="X13" s="6">
        <f>SCORES!K$17</f>
        <v>0</v>
      </c>
      <c r="Y13" s="7">
        <f>SCORES!J$17</f>
        <v>0.4</v>
      </c>
      <c r="Z13">
        <f>SCORES!K$18</f>
        <v>0</v>
      </c>
      <c r="AA13">
        <f>SCORES!J$18</f>
        <v>0.4</v>
      </c>
    </row>
    <row r="14" spans="12:27" x14ac:dyDescent="0.25">
      <c r="L14" s="24"/>
      <c r="M14" s="24"/>
      <c r="N14" s="24"/>
      <c r="O14" s="25"/>
      <c r="P14" s="25"/>
      <c r="Q14" s="26"/>
      <c r="R14" s="25"/>
      <c r="S14" s="25"/>
      <c r="T14" s="26"/>
      <c r="U14" s="8" t="s">
        <v>51</v>
      </c>
      <c r="V14" s="6">
        <f>SCORES!K$7</f>
        <v>0</v>
      </c>
      <c r="W14" s="7">
        <f>SCORES!J$7</f>
        <v>0.4</v>
      </c>
      <c r="X14" s="6">
        <f>SCORES!K$17</f>
        <v>0</v>
      </c>
      <c r="Y14" s="7">
        <f>SCORES!J$17</f>
        <v>0.4</v>
      </c>
      <c r="Z14">
        <f>SCORES!K$18</f>
        <v>0</v>
      </c>
      <c r="AA14">
        <f>SCORES!J$18</f>
        <v>0.4</v>
      </c>
    </row>
    <row r="15" spans="12:27" x14ac:dyDescent="0.25">
      <c r="L15" s="24"/>
      <c r="M15" s="24"/>
      <c r="N15" s="24"/>
      <c r="O15" s="25"/>
      <c r="P15" s="25"/>
      <c r="Q15" s="26"/>
      <c r="R15" s="25"/>
      <c r="S15" s="25"/>
      <c r="T15" s="26"/>
      <c r="U15" s="8" t="s">
        <v>97</v>
      </c>
      <c r="V15" s="6">
        <f>SCORES!K$7</f>
        <v>0</v>
      </c>
      <c r="W15" s="7">
        <f>SCORES!J$7</f>
        <v>0.4</v>
      </c>
      <c r="X15" s="6">
        <f>SCORES!K$17</f>
        <v>0</v>
      </c>
      <c r="Y15" s="7">
        <f>SCORES!J$17</f>
        <v>0.4</v>
      </c>
      <c r="Z15">
        <f>SCORES!K$18</f>
        <v>0</v>
      </c>
      <c r="AA15">
        <f>SCORES!J$18</f>
        <v>0.4</v>
      </c>
    </row>
    <row r="16" spans="12:27" x14ac:dyDescent="0.25">
      <c r="L16" s="24"/>
      <c r="M16" s="24"/>
      <c r="N16" s="24"/>
      <c r="O16" s="25"/>
      <c r="P16" s="25"/>
      <c r="Q16" s="26"/>
      <c r="R16" s="25"/>
      <c r="S16" s="25"/>
      <c r="T16" s="26"/>
      <c r="U16" s="8" t="s">
        <v>52</v>
      </c>
      <c r="V16" s="6">
        <f>SCORES!K$7</f>
        <v>0</v>
      </c>
      <c r="W16" s="7">
        <f>SCORES!J$7</f>
        <v>0.4</v>
      </c>
      <c r="X16" s="6">
        <f>SCORES!K$17</f>
        <v>0</v>
      </c>
      <c r="Y16" s="7">
        <f>SCORES!J$17</f>
        <v>0.4</v>
      </c>
      <c r="Z16">
        <f>SCORES!K$18</f>
        <v>0</v>
      </c>
      <c r="AA16">
        <f>SCORES!J$18</f>
        <v>0.4</v>
      </c>
    </row>
    <row r="17" spans="12:27" x14ac:dyDescent="0.25">
      <c r="L17" s="24"/>
      <c r="M17" s="24"/>
      <c r="N17" s="24"/>
      <c r="O17" s="25"/>
      <c r="P17" s="25"/>
      <c r="Q17" s="26"/>
      <c r="R17" s="25"/>
      <c r="S17" s="25"/>
      <c r="T17" s="26"/>
      <c r="U17" s="8" t="s">
        <v>59</v>
      </c>
      <c r="V17" s="6">
        <f>SCORES!K$7</f>
        <v>0</v>
      </c>
      <c r="W17" s="7">
        <f>SCORES!J$7</f>
        <v>0.4</v>
      </c>
      <c r="X17" s="6">
        <f>SCORES!K$17</f>
        <v>0</v>
      </c>
      <c r="Y17" s="7">
        <f>SCORES!J$17</f>
        <v>0.4</v>
      </c>
      <c r="Z17">
        <f>SCORES!K$18</f>
        <v>0</v>
      </c>
      <c r="AA17">
        <f>SCORES!J$18</f>
        <v>0.4</v>
      </c>
    </row>
    <row r="18" spans="12:27" x14ac:dyDescent="0.25">
      <c r="U18" s="8" t="s">
        <v>111</v>
      </c>
      <c r="V18" s="6">
        <f>SCORES!K$7</f>
        <v>0</v>
      </c>
      <c r="W18" s="7">
        <f>SCORES!J$7</f>
        <v>0.4</v>
      </c>
      <c r="X18" s="6">
        <f>SCORES!K$17</f>
        <v>0</v>
      </c>
      <c r="Y18" s="7">
        <f>SCORES!J$17</f>
        <v>0.4</v>
      </c>
      <c r="Z18">
        <f>SCORES!K$18</f>
        <v>0</v>
      </c>
      <c r="AA18">
        <f>SCORES!J$18</f>
        <v>0.4</v>
      </c>
    </row>
    <row r="19" spans="12:27" x14ac:dyDescent="0.25">
      <c r="U19" s="8" t="s">
        <v>54</v>
      </c>
      <c r="V19" s="6">
        <f>SCORES!K$7</f>
        <v>0</v>
      </c>
      <c r="W19" s="7">
        <f>SCORES!J$7</f>
        <v>0.4</v>
      </c>
      <c r="X19" s="6">
        <f>SCORES!K$17</f>
        <v>0</v>
      </c>
      <c r="Y19" s="7">
        <f>SCORES!J$17</f>
        <v>0.4</v>
      </c>
      <c r="Z19">
        <f>SCORES!K$18</f>
        <v>0</v>
      </c>
      <c r="AA19">
        <f>SCORES!J$18</f>
        <v>0.4</v>
      </c>
    </row>
    <row r="20" spans="12:27" x14ac:dyDescent="0.25">
      <c r="U20" s="8" t="s">
        <v>112</v>
      </c>
      <c r="V20" s="6">
        <f>SCORES!K$7</f>
        <v>0</v>
      </c>
      <c r="W20" s="7">
        <f>SCORES!J$7</f>
        <v>0.4</v>
      </c>
      <c r="X20" s="6">
        <f>SCORES!K$17</f>
        <v>0</v>
      </c>
      <c r="Y20" s="7">
        <f>SCORES!J$17</f>
        <v>0.4</v>
      </c>
      <c r="Z20">
        <f>SCORES!K$18</f>
        <v>0</v>
      </c>
      <c r="AA20">
        <f>SCORES!J$18</f>
        <v>0.4</v>
      </c>
    </row>
    <row r="21" spans="12:27" x14ac:dyDescent="0.25">
      <c r="U21" s="8" t="s">
        <v>48</v>
      </c>
      <c r="V21" s="6">
        <f>SCORES!K$7</f>
        <v>0</v>
      </c>
      <c r="W21" s="7">
        <f>SCORES!J$7</f>
        <v>0.4</v>
      </c>
      <c r="X21" s="6">
        <f>SCORES!K$17</f>
        <v>0</v>
      </c>
      <c r="Y21" s="7">
        <f>SCORES!J$17</f>
        <v>0.4</v>
      </c>
      <c r="Z21">
        <f>SCORES!K$18</f>
        <v>0</v>
      </c>
      <c r="AA21">
        <f>SCORES!J$18</f>
        <v>0.4</v>
      </c>
    </row>
    <row r="22" spans="12:27" x14ac:dyDescent="0.25">
      <c r="V22" s="6">
        <f>SCORES!K$7</f>
        <v>0</v>
      </c>
      <c r="W22" s="7">
        <f>SCORES!J$7</f>
        <v>0.4</v>
      </c>
      <c r="X22" s="6">
        <f>SCORES!K$17</f>
        <v>0</v>
      </c>
      <c r="Y22" s="7">
        <f>SCORES!J$17</f>
        <v>0.4</v>
      </c>
      <c r="Z22">
        <f>SCORES!K$18</f>
        <v>0</v>
      </c>
      <c r="AA22">
        <f>SCORES!J$18</f>
        <v>0.4</v>
      </c>
    </row>
    <row r="23" spans="12:27" x14ac:dyDescent="0.25">
      <c r="V23" s="6">
        <f>SCORES!K$7</f>
        <v>0</v>
      </c>
      <c r="W23" s="7">
        <f>SCORES!J$7</f>
        <v>0.4</v>
      </c>
      <c r="X23" s="6">
        <f>SCORES!K$17</f>
        <v>0</v>
      </c>
      <c r="Y23" s="7">
        <f>SCORES!J$17</f>
        <v>0.4</v>
      </c>
      <c r="Z23">
        <f>SCORES!K$18</f>
        <v>0</v>
      </c>
      <c r="AA23">
        <f>SCORES!J$18</f>
        <v>0.4</v>
      </c>
    </row>
    <row r="24" spans="12:27" x14ac:dyDescent="0.25">
      <c r="V24" s="6">
        <f>SCORES!K$7</f>
        <v>0</v>
      </c>
      <c r="W24" s="7">
        <f>SCORES!J$7</f>
        <v>0.4</v>
      </c>
      <c r="X24" s="6">
        <f>SCORES!K$17</f>
        <v>0</v>
      </c>
      <c r="Y24" s="7">
        <f>SCORES!J$17</f>
        <v>0.4</v>
      </c>
      <c r="Z24">
        <f>SCORES!K$18</f>
        <v>0</v>
      </c>
      <c r="AA24">
        <f>SCORES!J$18</f>
        <v>0.4</v>
      </c>
    </row>
    <row r="25" spans="12:27" x14ac:dyDescent="0.25">
      <c r="V25" s="6">
        <f>SCORES!K$7</f>
        <v>0</v>
      </c>
      <c r="W25" s="7">
        <f>SCORES!J$7</f>
        <v>0.4</v>
      </c>
      <c r="X25" s="6">
        <f>SCORES!K$17</f>
        <v>0</v>
      </c>
      <c r="Y25" s="7">
        <f>SCORES!J$17</f>
        <v>0.4</v>
      </c>
      <c r="Z25">
        <f>SCORES!K$18</f>
        <v>0</v>
      </c>
      <c r="AA25">
        <f>SCORES!J$18</f>
        <v>0.4</v>
      </c>
    </row>
    <row r="26" spans="12:27" x14ac:dyDescent="0.25">
      <c r="V26" s="6">
        <f>SCORES!K$7</f>
        <v>0</v>
      </c>
      <c r="W26" s="7">
        <f>SCORES!J$7</f>
        <v>0.4</v>
      </c>
      <c r="X26" s="6">
        <f>SCORES!K$17</f>
        <v>0</v>
      </c>
      <c r="Y26" s="7">
        <f>SCORES!J$17</f>
        <v>0.4</v>
      </c>
      <c r="Z26">
        <f>SCORES!K$18</f>
        <v>0</v>
      </c>
      <c r="AA26">
        <f>SCORES!J$18</f>
        <v>0.4</v>
      </c>
    </row>
    <row r="27" spans="12:27" x14ac:dyDescent="0.25">
      <c r="U27" s="8">
        <v>2018</v>
      </c>
      <c r="V27" s="6">
        <f>SCORES!K$7</f>
        <v>0</v>
      </c>
      <c r="W27" s="7">
        <f>SCORES!J$7</f>
        <v>0.4</v>
      </c>
      <c r="X27" s="6">
        <f>SCORES!K$17</f>
        <v>0</v>
      </c>
      <c r="Y27" s="7">
        <f>SCORES!J$17</f>
        <v>0.4</v>
      </c>
      <c r="Z27">
        <f>SCORES!K$18</f>
        <v>0</v>
      </c>
      <c r="AA27">
        <f>SCORES!J$18</f>
        <v>0.4</v>
      </c>
    </row>
    <row r="28" spans="12:27" x14ac:dyDescent="0.25">
      <c r="U28" s="8">
        <v>2019</v>
      </c>
      <c r="V28" s="6">
        <f>SCORES!K$7</f>
        <v>0</v>
      </c>
      <c r="W28" s="7">
        <f>SCORES!J$7</f>
        <v>0.4</v>
      </c>
      <c r="X28" s="6">
        <f>SCORES!K$17</f>
        <v>0</v>
      </c>
      <c r="Y28" s="7">
        <f>SCORES!J$17</f>
        <v>0.4</v>
      </c>
      <c r="Z28">
        <f>SCORES!K$18</f>
        <v>0</v>
      </c>
      <c r="AA28">
        <f>SCORES!J$18</f>
        <v>0.4</v>
      </c>
    </row>
    <row r="29" spans="12:27" x14ac:dyDescent="0.25">
      <c r="U29" s="8">
        <v>2020</v>
      </c>
      <c r="V29" s="6">
        <f>SCORES!K$7</f>
        <v>0</v>
      </c>
      <c r="W29" s="7">
        <f>SCORES!J$7</f>
        <v>0.4</v>
      </c>
      <c r="X29" s="6">
        <f>SCORES!K$17</f>
        <v>0</v>
      </c>
      <c r="Y29" s="7">
        <f>SCORES!J$17</f>
        <v>0.4</v>
      </c>
      <c r="Z29">
        <f>SCORES!K$18</f>
        <v>0</v>
      </c>
      <c r="AA29">
        <f>SCORES!J$18</f>
        <v>0.4</v>
      </c>
    </row>
    <row r="30" spans="12:27" x14ac:dyDescent="0.25">
      <c r="U30" s="8">
        <v>2021</v>
      </c>
      <c r="V30" s="6">
        <f>SCORES!K$7</f>
        <v>0</v>
      </c>
      <c r="W30" s="7">
        <f>SCORES!J$7</f>
        <v>0.4</v>
      </c>
      <c r="X30" s="6">
        <f>SCORES!K$17</f>
        <v>0</v>
      </c>
      <c r="Y30" s="7">
        <f>SCORES!J$17</f>
        <v>0.4</v>
      </c>
      <c r="Z30">
        <f>SCORES!K$18</f>
        <v>0</v>
      </c>
      <c r="AA30">
        <f>SCORES!J$18</f>
        <v>0.4</v>
      </c>
    </row>
    <row r="31" spans="12:27" x14ac:dyDescent="0.25">
      <c r="U31" s="8">
        <v>2022</v>
      </c>
      <c r="V31" s="6">
        <f>SCORES!K$7</f>
        <v>0</v>
      </c>
      <c r="W31" s="7">
        <f>SCORES!J$7</f>
        <v>0.4</v>
      </c>
      <c r="X31" s="6">
        <f>SCORES!K$17</f>
        <v>0</v>
      </c>
      <c r="Y31" s="7">
        <f>SCORES!J$17</f>
        <v>0.4</v>
      </c>
      <c r="Z31">
        <f>SCORES!K$18</f>
        <v>0</v>
      </c>
      <c r="AA31">
        <f>SCORES!J$18</f>
        <v>0.4</v>
      </c>
    </row>
    <row r="32" spans="12:27" x14ac:dyDescent="0.25">
      <c r="U32" s="8" t="s">
        <v>63</v>
      </c>
      <c r="V32" s="6">
        <f>SCORES!K$7</f>
        <v>0</v>
      </c>
      <c r="W32" s="7">
        <f>SCORES!J$7</f>
        <v>0.4</v>
      </c>
      <c r="X32" s="6">
        <f>SCORES!K$17</f>
        <v>0</v>
      </c>
      <c r="Y32" s="7">
        <f>SCORES!J$17</f>
        <v>0.4</v>
      </c>
      <c r="Z32">
        <f>SCORES!K$18</f>
        <v>0</v>
      </c>
      <c r="AA32">
        <f>SCORES!J$18</f>
        <v>0.4</v>
      </c>
    </row>
    <row r="33" spans="15:27" x14ac:dyDescent="0.25">
      <c r="V33" s="6">
        <f>SCORES!K$7</f>
        <v>0</v>
      </c>
      <c r="W33" s="7">
        <f>SCORES!J$7</f>
        <v>0.4</v>
      </c>
      <c r="X33" s="6">
        <f>SCORES!K$17</f>
        <v>0</v>
      </c>
      <c r="Y33" s="7">
        <f>SCORES!J$17</f>
        <v>0.4</v>
      </c>
      <c r="Z33">
        <f>SCORES!K$18</f>
        <v>0</v>
      </c>
      <c r="AA33">
        <f>SCORES!J$18</f>
        <v>0.4</v>
      </c>
    </row>
    <row r="34" spans="15:27" x14ac:dyDescent="0.25">
      <c r="V34" s="6">
        <f>SCORES!K$7</f>
        <v>0</v>
      </c>
      <c r="W34" s="7">
        <f>SCORES!J$7</f>
        <v>0.4</v>
      </c>
      <c r="X34" s="6">
        <f>SCORES!K$17</f>
        <v>0</v>
      </c>
      <c r="Y34" s="7">
        <f>SCORES!J$17</f>
        <v>0.4</v>
      </c>
      <c r="Z34">
        <f>SCORES!K$18</f>
        <v>0</v>
      </c>
      <c r="AA34">
        <f>SCORES!J$18</f>
        <v>0.4</v>
      </c>
    </row>
    <row r="35" spans="15:27" x14ac:dyDescent="0.25">
      <c r="V35" s="6">
        <f>SCORES!K$7</f>
        <v>0</v>
      </c>
      <c r="W35" s="7">
        <f>SCORES!J$7</f>
        <v>0.4</v>
      </c>
      <c r="X35" s="6">
        <f>SCORES!K$17</f>
        <v>0</v>
      </c>
      <c r="Y35" s="7">
        <f>SCORES!J$17</f>
        <v>0.4</v>
      </c>
      <c r="Z35">
        <f>SCORES!K$18</f>
        <v>0</v>
      </c>
      <c r="AA35">
        <f>SCORES!J$18</f>
        <v>0.4</v>
      </c>
    </row>
    <row r="36" spans="15:27" x14ac:dyDescent="0.25">
      <c r="V36" s="6">
        <f>SCORES!K$7</f>
        <v>0</v>
      </c>
      <c r="W36" s="7">
        <f>SCORES!J$7</f>
        <v>0.4</v>
      </c>
      <c r="X36" s="6">
        <f>SCORES!K$17</f>
        <v>0</v>
      </c>
      <c r="Y36" s="7">
        <f>SCORES!J$17</f>
        <v>0.4</v>
      </c>
      <c r="Z36">
        <f>SCORES!K$18</f>
        <v>0</v>
      </c>
      <c r="AA36">
        <f>SCORES!J$18</f>
        <v>0.4</v>
      </c>
    </row>
    <row r="37" spans="15:27" x14ac:dyDescent="0.25">
      <c r="V37" s="6">
        <f>SCORES!K$7</f>
        <v>0</v>
      </c>
      <c r="W37" s="7">
        <f>SCORES!J$7</f>
        <v>0.4</v>
      </c>
      <c r="X37" s="6">
        <f>SCORES!K$17</f>
        <v>0</v>
      </c>
      <c r="Y37" s="7">
        <f>SCORES!J$17</f>
        <v>0.4</v>
      </c>
      <c r="Z37">
        <f>SCORES!K$18</f>
        <v>0</v>
      </c>
      <c r="AA37">
        <f>SCORES!J$18</f>
        <v>0.4</v>
      </c>
    </row>
    <row r="38" spans="15:27" x14ac:dyDescent="0.25">
      <c r="P38" s="6"/>
      <c r="Q38" s="6"/>
      <c r="R38" s="6"/>
      <c r="V38" s="6">
        <f>SCORES!K$7</f>
        <v>0</v>
      </c>
      <c r="W38" s="7">
        <f>SCORES!J$7</f>
        <v>0.4</v>
      </c>
      <c r="X38" s="6">
        <f>SCORES!K$17</f>
        <v>0</v>
      </c>
      <c r="Y38" s="7">
        <f>SCORES!J$17</f>
        <v>0.4</v>
      </c>
      <c r="Z38">
        <f>SCORES!K$18</f>
        <v>0</v>
      </c>
      <c r="AA38">
        <f>SCORES!J$18</f>
        <v>0.4</v>
      </c>
    </row>
    <row r="39" spans="15:27" x14ac:dyDescent="0.25">
      <c r="P39" s="6"/>
      <c r="Q39" s="6"/>
      <c r="V39" s="6">
        <f>SCORES!K$7</f>
        <v>0</v>
      </c>
      <c r="W39" s="7">
        <f>SCORES!J$7</f>
        <v>0.4</v>
      </c>
      <c r="X39" s="6">
        <f>SCORES!K$17</f>
        <v>0</v>
      </c>
      <c r="Y39" s="7">
        <f>SCORES!J$17</f>
        <v>0.4</v>
      </c>
      <c r="Z39">
        <f>SCORES!K$18</f>
        <v>0</v>
      </c>
      <c r="AA39">
        <f>SCORES!J$18</f>
        <v>0.4</v>
      </c>
    </row>
    <row r="40" spans="15:27" x14ac:dyDescent="0.25">
      <c r="P40" s="6"/>
      <c r="Q40" s="6"/>
      <c r="V40" s="6">
        <f>SCORES!K$7</f>
        <v>0</v>
      </c>
      <c r="W40" s="7">
        <f>SCORES!J$7</f>
        <v>0.4</v>
      </c>
      <c r="X40" s="6">
        <f>SCORES!K$17</f>
        <v>0</v>
      </c>
      <c r="Y40" s="7">
        <f>SCORES!J$17</f>
        <v>0.4</v>
      </c>
      <c r="Z40">
        <f>SCORES!K$18</f>
        <v>0</v>
      </c>
      <c r="AA40">
        <f>SCORES!J$18</f>
        <v>0.4</v>
      </c>
    </row>
    <row r="41" spans="15:27" x14ac:dyDescent="0.25">
      <c r="P41" s="6"/>
      <c r="Q41" s="6"/>
    </row>
    <row r="42" spans="15:27" x14ac:dyDescent="0.25">
      <c r="P42" s="6"/>
      <c r="Q42" s="6"/>
    </row>
    <row r="43" spans="15:27" x14ac:dyDescent="0.25">
      <c r="P43" s="6"/>
      <c r="Q43" s="6"/>
    </row>
    <row r="44" spans="15:27" x14ac:dyDescent="0.25">
      <c r="O44" s="6"/>
      <c r="P44" s="6"/>
      <c r="Q44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User_Inputs</vt:lpstr>
      <vt:lpstr>SCORES</vt:lpstr>
      <vt:lpstr>SummaryTable</vt:lpstr>
      <vt:lpstr>Data(perSeason,perCrop)</vt:lpstr>
      <vt:lpstr>Data(perCrop)</vt:lpstr>
      <vt:lpstr>Cropping_Intensity</vt:lpstr>
      <vt:lpstr>Indicators</vt:lpstr>
      <vt:lpstr>Irrigation_Utilization</vt:lpstr>
      <vt:lpstr>Adequacy</vt:lpstr>
      <vt:lpstr>Productivity</vt:lpstr>
      <vt:lpstr>Equity</vt:lpstr>
      <vt:lpstr>Reliability</vt:lpstr>
      <vt:lpstr>Yield_Gap</vt:lpstr>
      <vt:lpstr>Sheet3</vt:lpstr>
      <vt:lpstr>Indicators(perCrop)</vt:lpstr>
      <vt:lpstr>Low_Water_Intensive_Crops</vt:lpstr>
      <vt:lpstr>Data(FAO-AQUASTAT)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 Ragettli</dc:creator>
  <cp:lastModifiedBy>Praveen Kalura</cp:lastModifiedBy>
  <dcterms:created xsi:type="dcterms:W3CDTF">2024-04-03T11:57:49Z</dcterms:created>
  <dcterms:modified xsi:type="dcterms:W3CDTF">2025-12-15T05:19:11Z</dcterms:modified>
</cp:coreProperties>
</file>