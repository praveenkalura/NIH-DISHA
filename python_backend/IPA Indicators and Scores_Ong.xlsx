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p_kalura_wr_iitr_ac_in/Documents/1_EDIPA_PAper/"/>
    </mc:Choice>
  </mc:AlternateContent>
  <xr:revisionPtr revIDLastSave="144" documentId="13_ncr:1_{D408EF06-84CA-47A0-85AB-C6A2ACA8D8A2}" xr6:coauthVersionLast="47" xr6:coauthVersionMax="47" xr10:uidLastSave="{5C788AD4-EB7D-4B22-A8BF-EA4A9DF7224E}"/>
  <bookViews>
    <workbookView xWindow="-120" yWindow="-120" windowWidth="29040" windowHeight="15720" tabRatio="687" activeTab="1" xr2:uid="{91FBBD06-9469-4641-A589-F75E145B8FDA}"/>
  </bookViews>
  <sheets>
    <sheet name="Summary" sheetId="1" r:id="rId1"/>
    <sheet name="SCORES" sheetId="5" r:id="rId2"/>
    <sheet name="SummaryTable" sheetId="9" r:id="rId3"/>
    <sheet name="Data(perSeason,perCrop)" sheetId="2" r:id="rId4"/>
    <sheet name="Indicators" sheetId="4" r:id="rId5"/>
    <sheet name="Data(perCrop)" sheetId="8" r:id="rId6"/>
    <sheet name="Data(FAO-AQUASTAT)" sheetId="7" r:id="rId7"/>
    <sheet name="Indicators(perCrop)" sheetId="12" r:id="rId8"/>
    <sheet name="Figures" sheetId="6" r:id="rId9"/>
  </sheets>
  <definedNames>
    <definedName name="_xlnm._FilterDatabase" localSheetId="5" hidden="1">'Data(perCrop)'!$A$1:$Q$26</definedName>
    <definedName name="_xlnm._FilterDatabase" localSheetId="3" hidden="1">'Data(perSeason,perCrop)'!$A$1:$T$485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12" l="1"/>
  <c r="X21" i="12"/>
  <c r="Y21" i="12"/>
  <c r="Z21" i="12"/>
  <c r="V21" i="12"/>
  <c r="K74" i="4"/>
  <c r="F80" i="4"/>
  <c r="K15" i="4"/>
  <c r="K8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AZ68" i="4"/>
  <c r="AY68" i="4"/>
  <c r="K80" i="4"/>
  <c r="J6" i="12"/>
  <c r="P12" i="8"/>
  <c r="B490" i="2"/>
  <c r="G25" i="12" l="1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" i="8"/>
  <c r="T69" i="4"/>
  <c r="C7" i="1" l="1"/>
  <c r="C2" i="4" l="1"/>
  <c r="D2" i="4"/>
  <c r="E2" i="4"/>
  <c r="F2" i="4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56" i="8"/>
  <c r="Q55" i="8"/>
  <c r="Q54" i="8"/>
  <c r="Q53" i="8"/>
  <c r="Q52" i="8"/>
  <c r="Q51" i="8"/>
  <c r="Q16" i="8"/>
  <c r="Q11" i="8"/>
  <c r="Q21" i="8"/>
  <c r="Q6" i="8"/>
  <c r="Q26" i="8"/>
  <c r="Q10" i="8"/>
  <c r="Q15" i="8"/>
  <c r="Q5" i="8"/>
  <c r="Q20" i="8"/>
  <c r="Q25" i="8"/>
  <c r="Q9" i="8"/>
  <c r="Q14" i="8"/>
  <c r="Q4" i="8"/>
  <c r="Q19" i="8"/>
  <c r="Q24" i="8"/>
  <c r="Q8" i="8"/>
  <c r="Q3" i="8"/>
  <c r="Q18" i="8"/>
  <c r="Q13" i="8"/>
  <c r="Q23" i="8"/>
  <c r="Q7" i="8"/>
  <c r="Q12" i="8"/>
  <c r="Q2" i="8"/>
  <c r="Q17" i="8"/>
  <c r="Q22" i="8"/>
  <c r="C75" i="4"/>
  <c r="D75" i="4"/>
  <c r="E75" i="4"/>
  <c r="F75" i="4"/>
  <c r="C76" i="4"/>
  <c r="D76" i="4"/>
  <c r="E76" i="4"/>
  <c r="F76" i="4"/>
  <c r="C77" i="4"/>
  <c r="D77" i="4"/>
  <c r="E77" i="4"/>
  <c r="F77" i="4"/>
  <c r="C78" i="4"/>
  <c r="D78" i="4"/>
  <c r="E78" i="4"/>
  <c r="F78" i="4"/>
  <c r="D74" i="4"/>
  <c r="E74" i="4"/>
  <c r="F74" i="4"/>
  <c r="C74" i="4"/>
  <c r="C68" i="4"/>
  <c r="C69" i="4"/>
  <c r="D69" i="4"/>
  <c r="E69" i="4"/>
  <c r="F69" i="4"/>
  <c r="C70" i="4"/>
  <c r="D70" i="4"/>
  <c r="E70" i="4"/>
  <c r="F70" i="4"/>
  <c r="C71" i="4"/>
  <c r="D71" i="4"/>
  <c r="E71" i="4"/>
  <c r="F71" i="4"/>
  <c r="C72" i="4"/>
  <c r="D72" i="4"/>
  <c r="E72" i="4"/>
  <c r="F72" i="4"/>
  <c r="D68" i="4"/>
  <c r="E68" i="4"/>
  <c r="F6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D23" i="4"/>
  <c r="E23" i="4"/>
  <c r="F23" i="4"/>
  <c r="C23" i="4"/>
  <c r="C16" i="4"/>
  <c r="D16" i="4"/>
  <c r="E16" i="4"/>
  <c r="C17" i="4"/>
  <c r="D17" i="4"/>
  <c r="E17" i="4"/>
  <c r="C18" i="4"/>
  <c r="D18" i="4"/>
  <c r="E18" i="4"/>
  <c r="C19" i="4"/>
  <c r="D19" i="4"/>
  <c r="E19" i="4"/>
  <c r="D15" i="4"/>
  <c r="E15" i="4"/>
  <c r="C15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U68" i="4"/>
  <c r="U80" i="4" s="1"/>
  <c r="V68" i="4"/>
  <c r="V80" i="4" s="1"/>
  <c r="W68" i="4"/>
  <c r="W80" i="4" s="1"/>
  <c r="X68" i="4"/>
  <c r="X80" i="4" s="1"/>
  <c r="Y68" i="4"/>
  <c r="Y80" i="4" s="1"/>
  <c r="Z68" i="4"/>
  <c r="Z73" i="4" s="1"/>
  <c r="Z85" i="4" s="1"/>
  <c r="AA68" i="4"/>
  <c r="AA73" i="4" s="1"/>
  <c r="AA85" i="4" s="1"/>
  <c r="AB68" i="4"/>
  <c r="AB73" i="4" s="1"/>
  <c r="AB85" i="4" s="1"/>
  <c r="AC68" i="4"/>
  <c r="AC73" i="4" s="1"/>
  <c r="AC85" i="4" s="1"/>
  <c r="AD68" i="4"/>
  <c r="AD80" i="4" s="1"/>
  <c r="AE68" i="4"/>
  <c r="AE80" i="4" s="1"/>
  <c r="AF68" i="4"/>
  <c r="U69" i="4"/>
  <c r="U81" i="4" s="1"/>
  <c r="V69" i="4"/>
  <c r="V81" i="4" s="1"/>
  <c r="W69" i="4"/>
  <c r="W81" i="4" s="1"/>
  <c r="X69" i="4"/>
  <c r="X81" i="4" s="1"/>
  <c r="Y69" i="4"/>
  <c r="Y81" i="4" s="1"/>
  <c r="Z69" i="4"/>
  <c r="Z81" i="4" s="1"/>
  <c r="AA69" i="4"/>
  <c r="AA81" i="4" s="1"/>
  <c r="AB69" i="4"/>
  <c r="AB81" i="4" s="1"/>
  <c r="AC69" i="4"/>
  <c r="AC81" i="4" s="1"/>
  <c r="AD69" i="4"/>
  <c r="AD81" i="4" s="1"/>
  <c r="AE69" i="4"/>
  <c r="AE81" i="4" s="1"/>
  <c r="AF69" i="4"/>
  <c r="U70" i="4"/>
  <c r="U82" i="4" s="1"/>
  <c r="V70" i="4"/>
  <c r="V82" i="4" s="1"/>
  <c r="W70" i="4"/>
  <c r="W82" i="4" s="1"/>
  <c r="X70" i="4"/>
  <c r="X82" i="4" s="1"/>
  <c r="Y70" i="4"/>
  <c r="Y82" i="4" s="1"/>
  <c r="Z70" i="4"/>
  <c r="Z82" i="4" s="1"/>
  <c r="AA70" i="4"/>
  <c r="AA82" i="4" s="1"/>
  <c r="AB70" i="4"/>
  <c r="AB82" i="4" s="1"/>
  <c r="AC70" i="4"/>
  <c r="AC82" i="4" s="1"/>
  <c r="AD70" i="4"/>
  <c r="AD82" i="4" s="1"/>
  <c r="AE70" i="4"/>
  <c r="AE82" i="4" s="1"/>
  <c r="AF70" i="4"/>
  <c r="U71" i="4"/>
  <c r="U83" i="4" s="1"/>
  <c r="V71" i="4"/>
  <c r="V83" i="4" s="1"/>
  <c r="W71" i="4"/>
  <c r="W83" i="4" s="1"/>
  <c r="X71" i="4"/>
  <c r="X83" i="4" s="1"/>
  <c r="Y71" i="4"/>
  <c r="Y83" i="4" s="1"/>
  <c r="Z71" i="4"/>
  <c r="Z83" i="4" s="1"/>
  <c r="AA71" i="4"/>
  <c r="AA83" i="4" s="1"/>
  <c r="AB71" i="4"/>
  <c r="AB83" i="4" s="1"/>
  <c r="AC71" i="4"/>
  <c r="AC83" i="4" s="1"/>
  <c r="AD71" i="4"/>
  <c r="AD83" i="4" s="1"/>
  <c r="AE71" i="4"/>
  <c r="AE83" i="4" s="1"/>
  <c r="AF71" i="4"/>
  <c r="U72" i="4"/>
  <c r="U84" i="4" s="1"/>
  <c r="V72" i="4"/>
  <c r="V84" i="4" s="1"/>
  <c r="W72" i="4"/>
  <c r="W84" i="4" s="1"/>
  <c r="X72" i="4"/>
  <c r="X84" i="4" s="1"/>
  <c r="Y72" i="4"/>
  <c r="Y84" i="4" s="1"/>
  <c r="Z72" i="4"/>
  <c r="Z84" i="4" s="1"/>
  <c r="AA72" i="4"/>
  <c r="AA84" i="4" s="1"/>
  <c r="AB72" i="4"/>
  <c r="AB84" i="4" s="1"/>
  <c r="AC72" i="4"/>
  <c r="AC84" i="4" s="1"/>
  <c r="AD72" i="4"/>
  <c r="AD84" i="4" s="1"/>
  <c r="AE72" i="4"/>
  <c r="AE84" i="4" s="1"/>
  <c r="AF72" i="4"/>
  <c r="U74" i="4"/>
  <c r="U79" i="4" s="1"/>
  <c r="V74" i="4"/>
  <c r="V79" i="4" s="1"/>
  <c r="W74" i="4"/>
  <c r="W79" i="4" s="1"/>
  <c r="X74" i="4"/>
  <c r="X79" i="4" s="1"/>
  <c r="Y74" i="4"/>
  <c r="Y79" i="4" s="1"/>
  <c r="Z74" i="4"/>
  <c r="Z79" i="4" s="1"/>
  <c r="AA74" i="4"/>
  <c r="AA79" i="4" s="1"/>
  <c r="AB74" i="4"/>
  <c r="AB79" i="4" s="1"/>
  <c r="AC74" i="4"/>
  <c r="AC79" i="4" s="1"/>
  <c r="AD74" i="4"/>
  <c r="AD79" i="4" s="1"/>
  <c r="AE74" i="4"/>
  <c r="AE79" i="4" s="1"/>
  <c r="AF74" i="4"/>
  <c r="U75" i="4"/>
  <c r="V75" i="4"/>
  <c r="W75" i="4"/>
  <c r="X75" i="4"/>
  <c r="Y75" i="4"/>
  <c r="Z75" i="4"/>
  <c r="AA75" i="4"/>
  <c r="AB75" i="4"/>
  <c r="AC75" i="4"/>
  <c r="AD75" i="4"/>
  <c r="AE75" i="4"/>
  <c r="AF75" i="4"/>
  <c r="U76" i="4"/>
  <c r="V76" i="4"/>
  <c r="W76" i="4"/>
  <c r="X76" i="4"/>
  <c r="Y76" i="4"/>
  <c r="Z76" i="4"/>
  <c r="AA76" i="4"/>
  <c r="AB76" i="4"/>
  <c r="AC76" i="4"/>
  <c r="AD76" i="4"/>
  <c r="AE76" i="4"/>
  <c r="AF76" i="4"/>
  <c r="U77" i="4"/>
  <c r="V77" i="4"/>
  <c r="W77" i="4"/>
  <c r="X77" i="4"/>
  <c r="Y77" i="4"/>
  <c r="Z77" i="4"/>
  <c r="AA77" i="4"/>
  <c r="AB77" i="4"/>
  <c r="AC77" i="4"/>
  <c r="AD77" i="4"/>
  <c r="AE77" i="4"/>
  <c r="AF77" i="4"/>
  <c r="U78" i="4"/>
  <c r="V78" i="4"/>
  <c r="W78" i="4"/>
  <c r="X78" i="4"/>
  <c r="Y78" i="4"/>
  <c r="Z78" i="4"/>
  <c r="AA78" i="4"/>
  <c r="AB78" i="4"/>
  <c r="AC78" i="4"/>
  <c r="AD78" i="4"/>
  <c r="AE78" i="4"/>
  <c r="AF7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S15" i="4"/>
  <c r="T15" i="4"/>
  <c r="T62" i="4" s="1"/>
  <c r="U15" i="4"/>
  <c r="U62" i="4" s="1"/>
  <c r="V15" i="4"/>
  <c r="V62" i="4" s="1"/>
  <c r="W15" i="4"/>
  <c r="W62" i="4" s="1"/>
  <c r="X15" i="4"/>
  <c r="X62" i="4" s="1"/>
  <c r="Y15" i="4"/>
  <c r="Y62" i="4" s="1"/>
  <c r="Z15" i="4"/>
  <c r="Z62" i="4" s="1"/>
  <c r="AA15" i="4"/>
  <c r="AA62" i="4" s="1"/>
  <c r="AB15" i="4"/>
  <c r="AB62" i="4" s="1"/>
  <c r="AC15" i="4"/>
  <c r="AC62" i="4" s="1"/>
  <c r="AD15" i="4"/>
  <c r="AD62" i="4" s="1"/>
  <c r="AE15" i="4"/>
  <c r="AE62" i="4" s="1"/>
  <c r="AF15" i="4"/>
  <c r="AF62" i="4" s="1"/>
  <c r="S16" i="4"/>
  <c r="S63" i="4" s="1"/>
  <c r="T16" i="4"/>
  <c r="T63" i="4" s="1"/>
  <c r="U16" i="4"/>
  <c r="U63" i="4" s="1"/>
  <c r="V16" i="4"/>
  <c r="V63" i="4" s="1"/>
  <c r="W16" i="4"/>
  <c r="W63" i="4" s="1"/>
  <c r="X16" i="4"/>
  <c r="X63" i="4" s="1"/>
  <c r="Y16" i="4"/>
  <c r="Y63" i="4" s="1"/>
  <c r="Z16" i="4"/>
  <c r="Z63" i="4" s="1"/>
  <c r="AA16" i="4"/>
  <c r="AA63" i="4" s="1"/>
  <c r="AB16" i="4"/>
  <c r="AB63" i="4" s="1"/>
  <c r="AC16" i="4"/>
  <c r="AC63" i="4" s="1"/>
  <c r="AD16" i="4"/>
  <c r="AD63" i="4" s="1"/>
  <c r="AE16" i="4"/>
  <c r="AE63" i="4" s="1"/>
  <c r="AF16" i="4"/>
  <c r="AF63" i="4" s="1"/>
  <c r="S17" i="4"/>
  <c r="S64" i="4" s="1"/>
  <c r="T17" i="4"/>
  <c r="T64" i="4" s="1"/>
  <c r="U17" i="4"/>
  <c r="U64" i="4" s="1"/>
  <c r="V17" i="4"/>
  <c r="V64" i="4" s="1"/>
  <c r="W17" i="4"/>
  <c r="W64" i="4" s="1"/>
  <c r="X17" i="4"/>
  <c r="X64" i="4" s="1"/>
  <c r="Y17" i="4"/>
  <c r="Y64" i="4" s="1"/>
  <c r="Z17" i="4"/>
  <c r="Z64" i="4" s="1"/>
  <c r="AA17" i="4"/>
  <c r="AA64" i="4" s="1"/>
  <c r="AB17" i="4"/>
  <c r="AB64" i="4" s="1"/>
  <c r="AC17" i="4"/>
  <c r="AC64" i="4" s="1"/>
  <c r="AD17" i="4"/>
  <c r="AD64" i="4" s="1"/>
  <c r="AE17" i="4"/>
  <c r="AE64" i="4" s="1"/>
  <c r="AF17" i="4"/>
  <c r="AF64" i="4" s="1"/>
  <c r="S18" i="4"/>
  <c r="S65" i="4" s="1"/>
  <c r="T18" i="4"/>
  <c r="T65" i="4" s="1"/>
  <c r="U18" i="4"/>
  <c r="U65" i="4" s="1"/>
  <c r="V18" i="4"/>
  <c r="V65" i="4" s="1"/>
  <c r="W18" i="4"/>
  <c r="W65" i="4" s="1"/>
  <c r="X18" i="4"/>
  <c r="X65" i="4" s="1"/>
  <c r="Y18" i="4"/>
  <c r="Y65" i="4" s="1"/>
  <c r="Z18" i="4"/>
  <c r="Z65" i="4" s="1"/>
  <c r="AA18" i="4"/>
  <c r="AA65" i="4" s="1"/>
  <c r="AB18" i="4"/>
  <c r="AB65" i="4" s="1"/>
  <c r="AC18" i="4"/>
  <c r="AC65" i="4" s="1"/>
  <c r="AD18" i="4"/>
  <c r="AD65" i="4" s="1"/>
  <c r="AE18" i="4"/>
  <c r="AE65" i="4" s="1"/>
  <c r="AF18" i="4"/>
  <c r="AF65" i="4" s="1"/>
  <c r="S19" i="4"/>
  <c r="S66" i="4" s="1"/>
  <c r="T19" i="4"/>
  <c r="T66" i="4" s="1"/>
  <c r="U19" i="4"/>
  <c r="U66" i="4" s="1"/>
  <c r="V19" i="4"/>
  <c r="V66" i="4" s="1"/>
  <c r="W19" i="4"/>
  <c r="W66" i="4" s="1"/>
  <c r="X19" i="4"/>
  <c r="X66" i="4" s="1"/>
  <c r="Y19" i="4"/>
  <c r="Y66" i="4" s="1"/>
  <c r="Z19" i="4"/>
  <c r="Z66" i="4" s="1"/>
  <c r="AA19" i="4"/>
  <c r="AA66" i="4" s="1"/>
  <c r="AB19" i="4"/>
  <c r="AB66" i="4" s="1"/>
  <c r="AC19" i="4"/>
  <c r="AC66" i="4" s="1"/>
  <c r="AD19" i="4"/>
  <c r="AD66" i="4" s="1"/>
  <c r="AE19" i="4"/>
  <c r="AE66" i="4" s="1"/>
  <c r="AF19" i="4"/>
  <c r="AF66" i="4" s="1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AX15" i="4"/>
  <c r="AX62" i="4" s="1"/>
  <c r="AY15" i="4"/>
  <c r="AY62" i="4" s="1"/>
  <c r="AZ15" i="4"/>
  <c r="AZ62" i="4" s="1"/>
  <c r="BA15" i="4"/>
  <c r="BA62" i="4" s="1"/>
  <c r="BB15" i="4"/>
  <c r="BB62" i="4" s="1"/>
  <c r="BC15" i="4"/>
  <c r="BC62" i="4" s="1"/>
  <c r="BD15" i="4"/>
  <c r="BD62" i="4" s="1"/>
  <c r="BE15" i="4"/>
  <c r="BE62" i="4" s="1"/>
  <c r="BF15" i="4"/>
  <c r="BF62" i="4" s="1"/>
  <c r="BG15" i="4"/>
  <c r="BG62" i="4" s="1"/>
  <c r="BH15" i="4"/>
  <c r="BH62" i="4" s="1"/>
  <c r="BI15" i="4"/>
  <c r="BI62" i="4" s="1"/>
  <c r="BJ15" i="4"/>
  <c r="BJ62" i="4" s="1"/>
  <c r="BK15" i="4"/>
  <c r="BK62" i="4" s="1"/>
  <c r="AX16" i="4"/>
  <c r="AX63" i="4" s="1"/>
  <c r="AY16" i="4"/>
  <c r="AY63" i="4" s="1"/>
  <c r="AZ16" i="4"/>
  <c r="AZ63" i="4" s="1"/>
  <c r="BA16" i="4"/>
  <c r="BA63" i="4" s="1"/>
  <c r="BB16" i="4"/>
  <c r="BB63" i="4" s="1"/>
  <c r="BC16" i="4"/>
  <c r="BC63" i="4" s="1"/>
  <c r="BD16" i="4"/>
  <c r="BD63" i="4" s="1"/>
  <c r="BE16" i="4"/>
  <c r="BE63" i="4" s="1"/>
  <c r="BF16" i="4"/>
  <c r="BF63" i="4" s="1"/>
  <c r="BG16" i="4"/>
  <c r="BG63" i="4" s="1"/>
  <c r="BH16" i="4"/>
  <c r="BH63" i="4" s="1"/>
  <c r="BI16" i="4"/>
  <c r="BI63" i="4" s="1"/>
  <c r="BJ16" i="4"/>
  <c r="BJ63" i="4" s="1"/>
  <c r="BK16" i="4"/>
  <c r="BK63" i="4" s="1"/>
  <c r="AX17" i="4"/>
  <c r="AX64" i="4" s="1"/>
  <c r="AY17" i="4"/>
  <c r="AY64" i="4" s="1"/>
  <c r="AZ17" i="4"/>
  <c r="AZ64" i="4" s="1"/>
  <c r="BA17" i="4"/>
  <c r="BA64" i="4" s="1"/>
  <c r="BB17" i="4"/>
  <c r="BB64" i="4" s="1"/>
  <c r="BC17" i="4"/>
  <c r="BC64" i="4" s="1"/>
  <c r="BD17" i="4"/>
  <c r="BD64" i="4" s="1"/>
  <c r="BE17" i="4"/>
  <c r="BE64" i="4" s="1"/>
  <c r="BF17" i="4"/>
  <c r="BF64" i="4" s="1"/>
  <c r="BG17" i="4"/>
  <c r="BG64" i="4" s="1"/>
  <c r="BH17" i="4"/>
  <c r="BH64" i="4" s="1"/>
  <c r="BI17" i="4"/>
  <c r="BI64" i="4" s="1"/>
  <c r="BJ17" i="4"/>
  <c r="BJ64" i="4" s="1"/>
  <c r="BK17" i="4"/>
  <c r="BK64" i="4" s="1"/>
  <c r="AX18" i="4"/>
  <c r="AX65" i="4" s="1"/>
  <c r="AY18" i="4"/>
  <c r="AY65" i="4" s="1"/>
  <c r="AZ18" i="4"/>
  <c r="AZ65" i="4" s="1"/>
  <c r="BA18" i="4"/>
  <c r="BA65" i="4" s="1"/>
  <c r="BB18" i="4"/>
  <c r="BB65" i="4" s="1"/>
  <c r="BC18" i="4"/>
  <c r="BC65" i="4" s="1"/>
  <c r="BD18" i="4"/>
  <c r="BD65" i="4" s="1"/>
  <c r="BE18" i="4"/>
  <c r="BE65" i="4" s="1"/>
  <c r="BF18" i="4"/>
  <c r="BF65" i="4" s="1"/>
  <c r="BG18" i="4"/>
  <c r="BG65" i="4" s="1"/>
  <c r="BH18" i="4"/>
  <c r="BH65" i="4" s="1"/>
  <c r="BI18" i="4"/>
  <c r="BI65" i="4" s="1"/>
  <c r="BJ18" i="4"/>
  <c r="BJ65" i="4" s="1"/>
  <c r="BK18" i="4"/>
  <c r="BK65" i="4" s="1"/>
  <c r="AX19" i="4"/>
  <c r="AX66" i="4" s="1"/>
  <c r="AY19" i="4"/>
  <c r="AY66" i="4" s="1"/>
  <c r="AZ19" i="4"/>
  <c r="AZ66" i="4" s="1"/>
  <c r="BA19" i="4"/>
  <c r="BA66" i="4" s="1"/>
  <c r="BB19" i="4"/>
  <c r="BB66" i="4" s="1"/>
  <c r="BC19" i="4"/>
  <c r="BC66" i="4" s="1"/>
  <c r="BD19" i="4"/>
  <c r="BD66" i="4" s="1"/>
  <c r="BE19" i="4"/>
  <c r="BE66" i="4" s="1"/>
  <c r="BF19" i="4"/>
  <c r="BF66" i="4" s="1"/>
  <c r="BG19" i="4"/>
  <c r="BG66" i="4" s="1"/>
  <c r="BH19" i="4"/>
  <c r="BH66" i="4" s="1"/>
  <c r="BI19" i="4"/>
  <c r="BI66" i="4" s="1"/>
  <c r="BJ19" i="4"/>
  <c r="BJ66" i="4" s="1"/>
  <c r="BK19" i="4"/>
  <c r="BK66" i="4" s="1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C15" i="4"/>
  <c r="CC62" i="4" s="1"/>
  <c r="CD15" i="4"/>
  <c r="CD62" i="4" s="1"/>
  <c r="CE15" i="4"/>
  <c r="CE62" i="4" s="1"/>
  <c r="CF15" i="4"/>
  <c r="CF62" i="4" s="1"/>
  <c r="CG15" i="4"/>
  <c r="CG62" i="4" s="1"/>
  <c r="CH15" i="4"/>
  <c r="CH62" i="4" s="1"/>
  <c r="CI15" i="4"/>
  <c r="CI62" i="4" s="1"/>
  <c r="CJ15" i="4"/>
  <c r="CJ62" i="4" s="1"/>
  <c r="CK15" i="4"/>
  <c r="CK62" i="4" s="1"/>
  <c r="CL15" i="4"/>
  <c r="CL62" i="4" s="1"/>
  <c r="CM15" i="4"/>
  <c r="CM62" i="4" s="1"/>
  <c r="CN15" i="4"/>
  <c r="CN62" i="4" s="1"/>
  <c r="CO15" i="4"/>
  <c r="CO62" i="4" s="1"/>
  <c r="CC16" i="4"/>
  <c r="CC63" i="4" s="1"/>
  <c r="CD16" i="4"/>
  <c r="CD63" i="4" s="1"/>
  <c r="CE16" i="4"/>
  <c r="CE63" i="4" s="1"/>
  <c r="CF16" i="4"/>
  <c r="CF63" i="4" s="1"/>
  <c r="CG16" i="4"/>
  <c r="CG63" i="4" s="1"/>
  <c r="CH16" i="4"/>
  <c r="CH63" i="4" s="1"/>
  <c r="CI16" i="4"/>
  <c r="CI63" i="4" s="1"/>
  <c r="CJ16" i="4"/>
  <c r="CJ63" i="4" s="1"/>
  <c r="CK16" i="4"/>
  <c r="CK63" i="4" s="1"/>
  <c r="CL16" i="4"/>
  <c r="CL63" i="4" s="1"/>
  <c r="CM16" i="4"/>
  <c r="CM63" i="4" s="1"/>
  <c r="CN16" i="4"/>
  <c r="CN63" i="4" s="1"/>
  <c r="CO16" i="4"/>
  <c r="CO63" i="4" s="1"/>
  <c r="CC17" i="4"/>
  <c r="CC64" i="4" s="1"/>
  <c r="CD17" i="4"/>
  <c r="CD64" i="4" s="1"/>
  <c r="CE17" i="4"/>
  <c r="CE64" i="4" s="1"/>
  <c r="CF17" i="4"/>
  <c r="CF64" i="4" s="1"/>
  <c r="CG17" i="4"/>
  <c r="CG64" i="4" s="1"/>
  <c r="CH17" i="4"/>
  <c r="CH64" i="4" s="1"/>
  <c r="CI17" i="4"/>
  <c r="CI64" i="4" s="1"/>
  <c r="CJ17" i="4"/>
  <c r="CJ64" i="4" s="1"/>
  <c r="CK17" i="4"/>
  <c r="CK64" i="4" s="1"/>
  <c r="CL17" i="4"/>
  <c r="CL64" i="4" s="1"/>
  <c r="CM17" i="4"/>
  <c r="CM64" i="4" s="1"/>
  <c r="CN17" i="4"/>
  <c r="CN64" i="4" s="1"/>
  <c r="CO17" i="4"/>
  <c r="CO64" i="4" s="1"/>
  <c r="CC18" i="4"/>
  <c r="CC65" i="4" s="1"/>
  <c r="CD18" i="4"/>
  <c r="CD65" i="4" s="1"/>
  <c r="CE18" i="4"/>
  <c r="CE65" i="4" s="1"/>
  <c r="CF18" i="4"/>
  <c r="CF65" i="4" s="1"/>
  <c r="CG18" i="4"/>
  <c r="CG65" i="4" s="1"/>
  <c r="CH18" i="4"/>
  <c r="CH65" i="4" s="1"/>
  <c r="CI18" i="4"/>
  <c r="CI65" i="4" s="1"/>
  <c r="CJ18" i="4"/>
  <c r="CJ65" i="4" s="1"/>
  <c r="CK18" i="4"/>
  <c r="CK65" i="4" s="1"/>
  <c r="CL18" i="4"/>
  <c r="CL65" i="4" s="1"/>
  <c r="CM18" i="4"/>
  <c r="CM65" i="4" s="1"/>
  <c r="CN18" i="4"/>
  <c r="CN65" i="4" s="1"/>
  <c r="CO18" i="4"/>
  <c r="CO65" i="4" s="1"/>
  <c r="CC19" i="4"/>
  <c r="CC66" i="4" s="1"/>
  <c r="CD19" i="4"/>
  <c r="CD66" i="4" s="1"/>
  <c r="CE19" i="4"/>
  <c r="CE66" i="4" s="1"/>
  <c r="CF19" i="4"/>
  <c r="CF66" i="4" s="1"/>
  <c r="CG19" i="4"/>
  <c r="CG66" i="4" s="1"/>
  <c r="CH19" i="4"/>
  <c r="CH66" i="4" s="1"/>
  <c r="CI19" i="4"/>
  <c r="CI66" i="4" s="1"/>
  <c r="CJ19" i="4"/>
  <c r="CJ66" i="4" s="1"/>
  <c r="CK19" i="4"/>
  <c r="CK66" i="4" s="1"/>
  <c r="CL19" i="4"/>
  <c r="CL66" i="4" s="1"/>
  <c r="CM19" i="4"/>
  <c r="CM66" i="4" s="1"/>
  <c r="CN19" i="4"/>
  <c r="CN66" i="4" s="1"/>
  <c r="CO19" i="4"/>
  <c r="CO66" i="4" s="1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C68" i="4"/>
  <c r="CC80" i="4" s="1"/>
  <c r="CD68" i="4"/>
  <c r="CD80" i="4" s="1"/>
  <c r="CE68" i="4"/>
  <c r="CE73" i="4" s="1"/>
  <c r="CF68" i="4"/>
  <c r="CF73" i="4" s="1"/>
  <c r="CG68" i="4"/>
  <c r="CG80" i="4" s="1"/>
  <c r="CH68" i="4"/>
  <c r="CH73" i="4" s="1"/>
  <c r="CI68" i="4"/>
  <c r="CI73" i="4" s="1"/>
  <c r="CJ68" i="4"/>
  <c r="CJ73" i="4" s="1"/>
  <c r="CK68" i="4"/>
  <c r="CK73" i="4" s="1"/>
  <c r="CL68" i="4"/>
  <c r="CL80" i="4" s="1"/>
  <c r="CM68" i="4"/>
  <c r="CM80" i="4" s="1"/>
  <c r="CN68" i="4"/>
  <c r="CN80" i="4" s="1"/>
  <c r="CO68" i="4"/>
  <c r="CO73" i="4" s="1"/>
  <c r="CC69" i="4"/>
  <c r="CC81" i="4" s="1"/>
  <c r="CD69" i="4"/>
  <c r="CE69" i="4"/>
  <c r="CE81" i="4" s="1"/>
  <c r="CF69" i="4"/>
  <c r="CF81" i="4" s="1"/>
  <c r="CG69" i="4"/>
  <c r="CG81" i="4" s="1"/>
  <c r="CH69" i="4"/>
  <c r="CH81" i="4" s="1"/>
  <c r="CI69" i="4"/>
  <c r="CI81" i="4" s="1"/>
  <c r="CJ69" i="4"/>
  <c r="CJ81" i="4" s="1"/>
  <c r="CK69" i="4"/>
  <c r="CK81" i="4" s="1"/>
  <c r="CL69" i="4"/>
  <c r="CL81" i="4" s="1"/>
  <c r="CM69" i="4"/>
  <c r="CM81" i="4" s="1"/>
  <c r="CN69" i="4"/>
  <c r="CN81" i="4" s="1"/>
  <c r="CO69" i="4"/>
  <c r="CO81" i="4" s="1"/>
  <c r="CC70" i="4"/>
  <c r="CC82" i="4" s="1"/>
  <c r="CD70" i="4"/>
  <c r="CE70" i="4"/>
  <c r="CE82" i="4" s="1"/>
  <c r="CF70" i="4"/>
  <c r="CF82" i="4" s="1"/>
  <c r="CG70" i="4"/>
  <c r="CG82" i="4" s="1"/>
  <c r="CH70" i="4"/>
  <c r="CH82" i="4" s="1"/>
  <c r="CI70" i="4"/>
  <c r="CI82" i="4" s="1"/>
  <c r="CJ70" i="4"/>
  <c r="CJ82" i="4" s="1"/>
  <c r="CK70" i="4"/>
  <c r="CK82" i="4" s="1"/>
  <c r="CL70" i="4"/>
  <c r="CL82" i="4" s="1"/>
  <c r="CM70" i="4"/>
  <c r="CM82" i="4" s="1"/>
  <c r="CN70" i="4"/>
  <c r="CN82" i="4" s="1"/>
  <c r="CO70" i="4"/>
  <c r="CO82" i="4" s="1"/>
  <c r="CC71" i="4"/>
  <c r="CC83" i="4" s="1"/>
  <c r="CD71" i="4"/>
  <c r="CD83" i="4" s="1"/>
  <c r="CE71" i="4"/>
  <c r="CE83" i="4" s="1"/>
  <c r="CF71" i="4"/>
  <c r="CF83" i="4" s="1"/>
  <c r="CG71" i="4"/>
  <c r="CG83" i="4" s="1"/>
  <c r="CH71" i="4"/>
  <c r="CH83" i="4" s="1"/>
  <c r="CI71" i="4"/>
  <c r="CI83" i="4" s="1"/>
  <c r="CJ71" i="4"/>
  <c r="CJ83" i="4" s="1"/>
  <c r="CK71" i="4"/>
  <c r="CK83" i="4" s="1"/>
  <c r="CL71" i="4"/>
  <c r="CL83" i="4" s="1"/>
  <c r="CM71" i="4"/>
  <c r="CM83" i="4" s="1"/>
  <c r="CN71" i="4"/>
  <c r="CN83" i="4" s="1"/>
  <c r="CO71" i="4"/>
  <c r="CO83" i="4" s="1"/>
  <c r="CC72" i="4"/>
  <c r="CC84" i="4" s="1"/>
  <c r="CD72" i="4"/>
  <c r="CE72" i="4"/>
  <c r="CE84" i="4" s="1"/>
  <c r="CF72" i="4"/>
  <c r="CF84" i="4" s="1"/>
  <c r="CG72" i="4"/>
  <c r="CG84" i="4" s="1"/>
  <c r="CH72" i="4"/>
  <c r="CH84" i="4" s="1"/>
  <c r="CI72" i="4"/>
  <c r="CI84" i="4" s="1"/>
  <c r="CJ72" i="4"/>
  <c r="CJ84" i="4" s="1"/>
  <c r="CK72" i="4"/>
  <c r="CK84" i="4" s="1"/>
  <c r="CL72" i="4"/>
  <c r="CL84" i="4" s="1"/>
  <c r="CM72" i="4"/>
  <c r="CM84" i="4" s="1"/>
  <c r="CN72" i="4"/>
  <c r="CN84" i="4" s="1"/>
  <c r="CO72" i="4"/>
  <c r="CO84" i="4" s="1"/>
  <c r="CC74" i="4"/>
  <c r="CC79" i="4" s="1"/>
  <c r="CD74" i="4"/>
  <c r="CE74" i="4"/>
  <c r="CE79" i="4" s="1"/>
  <c r="CF74" i="4"/>
  <c r="CF79" i="4" s="1"/>
  <c r="CG74" i="4"/>
  <c r="CG79" i="4" s="1"/>
  <c r="CH74" i="4"/>
  <c r="CH79" i="4" s="1"/>
  <c r="CI74" i="4"/>
  <c r="CI79" i="4" s="1"/>
  <c r="CJ74" i="4"/>
  <c r="CJ79" i="4" s="1"/>
  <c r="CK74" i="4"/>
  <c r="CK79" i="4" s="1"/>
  <c r="CL74" i="4"/>
  <c r="CL79" i="4" s="1"/>
  <c r="CM74" i="4"/>
  <c r="CM79" i="4" s="1"/>
  <c r="CN74" i="4"/>
  <c r="CN79" i="4" s="1"/>
  <c r="CO74" i="4"/>
  <c r="CO79" i="4" s="1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DG78" i="4"/>
  <c r="DF78" i="4"/>
  <c r="DE78" i="4"/>
  <c r="DD78" i="4"/>
  <c r="DC78" i="4"/>
  <c r="DB78" i="4"/>
  <c r="DA78" i="4"/>
  <c r="CZ78" i="4"/>
  <c r="CY78" i="4"/>
  <c r="CX78" i="4"/>
  <c r="CW78" i="4"/>
  <c r="CV78" i="4"/>
  <c r="CU78" i="4"/>
  <c r="CT78" i="4"/>
  <c r="CS78" i="4"/>
  <c r="CR78" i="4"/>
  <c r="CQ78" i="4"/>
  <c r="CP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G78" i="4"/>
  <c r="BE78" i="4"/>
  <c r="BD78" i="4"/>
  <c r="BC78" i="4"/>
  <c r="BB78" i="4"/>
  <c r="AZ78" i="4"/>
  <c r="AY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T78" i="4"/>
  <c r="S78" i="4"/>
  <c r="DG77" i="4"/>
  <c r="DF77" i="4"/>
  <c r="DE77" i="4"/>
  <c r="DD77" i="4"/>
  <c r="DC77" i="4"/>
  <c r="DB77" i="4"/>
  <c r="DA77" i="4"/>
  <c r="CZ77" i="4"/>
  <c r="CY77" i="4"/>
  <c r="CX77" i="4"/>
  <c r="CW77" i="4"/>
  <c r="CV77" i="4"/>
  <c r="CU77" i="4"/>
  <c r="CT77" i="4"/>
  <c r="CS77" i="4"/>
  <c r="CR77" i="4"/>
  <c r="CQ77" i="4"/>
  <c r="CP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G77" i="4"/>
  <c r="BE77" i="4"/>
  <c r="BD77" i="4"/>
  <c r="BC77" i="4"/>
  <c r="BB77" i="4"/>
  <c r="AZ77" i="4"/>
  <c r="AY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T77" i="4"/>
  <c r="S77" i="4"/>
  <c r="DG76" i="4"/>
  <c r="DF76" i="4"/>
  <c r="DE76" i="4"/>
  <c r="DD76" i="4"/>
  <c r="DC76" i="4"/>
  <c r="DB76" i="4"/>
  <c r="DA76" i="4"/>
  <c r="CZ76" i="4"/>
  <c r="CY76" i="4"/>
  <c r="CX76" i="4"/>
  <c r="CW76" i="4"/>
  <c r="CV76" i="4"/>
  <c r="CU76" i="4"/>
  <c r="CT76" i="4"/>
  <c r="CS76" i="4"/>
  <c r="CR76" i="4"/>
  <c r="CQ76" i="4"/>
  <c r="CP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G76" i="4"/>
  <c r="BE76" i="4"/>
  <c r="BD76" i="4"/>
  <c r="BC76" i="4"/>
  <c r="BB76" i="4"/>
  <c r="AZ76" i="4"/>
  <c r="AY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T76" i="4"/>
  <c r="S76" i="4"/>
  <c r="DG75" i="4"/>
  <c r="DF75" i="4"/>
  <c r="DE75" i="4"/>
  <c r="DD75" i="4"/>
  <c r="DC75" i="4"/>
  <c r="DB75" i="4"/>
  <c r="DA75" i="4"/>
  <c r="CZ75" i="4"/>
  <c r="CY75" i="4"/>
  <c r="CX75" i="4"/>
  <c r="CW75" i="4"/>
  <c r="CV75" i="4"/>
  <c r="CU75" i="4"/>
  <c r="CT75" i="4"/>
  <c r="CS75" i="4"/>
  <c r="CR75" i="4"/>
  <c r="CQ75" i="4"/>
  <c r="CP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G75" i="4"/>
  <c r="BE75" i="4"/>
  <c r="BD75" i="4"/>
  <c r="BC75" i="4"/>
  <c r="BB75" i="4"/>
  <c r="AZ75" i="4"/>
  <c r="AY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T75" i="4"/>
  <c r="S75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G74" i="4"/>
  <c r="BE74" i="4"/>
  <c r="BD74" i="4"/>
  <c r="BC74" i="4"/>
  <c r="BB74" i="4"/>
  <c r="AZ74" i="4"/>
  <c r="AY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T74" i="4"/>
  <c r="S74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T72" i="4"/>
  <c r="S72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S71" i="4"/>
  <c r="CR71" i="4"/>
  <c r="CQ71" i="4"/>
  <c r="CP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T71" i="4"/>
  <c r="S71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T70" i="4"/>
  <c r="S70" i="4"/>
  <c r="DG69" i="4"/>
  <c r="DF69" i="4"/>
  <c r="DE69" i="4"/>
  <c r="DD69" i="4"/>
  <c r="DC69" i="4"/>
  <c r="DB69" i="4"/>
  <c r="DA69" i="4"/>
  <c r="CZ69" i="4"/>
  <c r="CY69" i="4"/>
  <c r="CX69" i="4"/>
  <c r="CW69" i="4"/>
  <c r="CV69" i="4"/>
  <c r="CU69" i="4"/>
  <c r="CT69" i="4"/>
  <c r="CS69" i="4"/>
  <c r="CR69" i="4"/>
  <c r="CQ69" i="4"/>
  <c r="CP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S69" i="4"/>
  <c r="DG68" i="4"/>
  <c r="DF68" i="4"/>
  <c r="DE68" i="4"/>
  <c r="DD68" i="4"/>
  <c r="DC68" i="4"/>
  <c r="DB68" i="4"/>
  <c r="DA68" i="4"/>
  <c r="CZ68" i="4"/>
  <c r="CY68" i="4"/>
  <c r="CX68" i="4"/>
  <c r="CW68" i="4"/>
  <c r="CV68" i="4"/>
  <c r="CU68" i="4"/>
  <c r="CT68" i="4"/>
  <c r="CS68" i="4"/>
  <c r="CR68" i="4"/>
  <c r="CQ68" i="4"/>
  <c r="CP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T68" i="4"/>
  <c r="S68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DG19" i="4"/>
  <c r="DG66" i="4" s="1"/>
  <c r="DF19" i="4"/>
  <c r="DF66" i="4" s="1"/>
  <c r="DE19" i="4"/>
  <c r="DE66" i="4" s="1"/>
  <c r="DD19" i="4"/>
  <c r="DD66" i="4" s="1"/>
  <c r="DC19" i="4"/>
  <c r="DC66" i="4" s="1"/>
  <c r="DB19" i="4"/>
  <c r="DB66" i="4" s="1"/>
  <c r="DA19" i="4"/>
  <c r="DA66" i="4" s="1"/>
  <c r="CZ19" i="4"/>
  <c r="CZ66" i="4" s="1"/>
  <c r="CY19" i="4"/>
  <c r="CY66" i="4" s="1"/>
  <c r="CX19" i="4"/>
  <c r="CX66" i="4" s="1"/>
  <c r="CW19" i="4"/>
  <c r="CW66" i="4" s="1"/>
  <c r="CV19" i="4"/>
  <c r="CV66" i="4" s="1"/>
  <c r="CU19" i="4"/>
  <c r="CU66" i="4" s="1"/>
  <c r="CT19" i="4"/>
  <c r="CT66" i="4" s="1"/>
  <c r="CS19" i="4"/>
  <c r="CS66" i="4" s="1"/>
  <c r="CR19" i="4"/>
  <c r="CR66" i="4" s="1"/>
  <c r="CQ19" i="4"/>
  <c r="CQ66" i="4" s="1"/>
  <c r="CP19" i="4"/>
  <c r="CP66" i="4" s="1"/>
  <c r="CB19" i="4"/>
  <c r="CB66" i="4" s="1"/>
  <c r="CA19" i="4"/>
  <c r="CA66" i="4" s="1"/>
  <c r="BZ19" i="4"/>
  <c r="BZ66" i="4" s="1"/>
  <c r="BY19" i="4"/>
  <c r="BY66" i="4" s="1"/>
  <c r="BX19" i="4"/>
  <c r="BX66" i="4" s="1"/>
  <c r="BW19" i="4"/>
  <c r="BW66" i="4" s="1"/>
  <c r="BV19" i="4"/>
  <c r="BV66" i="4" s="1"/>
  <c r="BU19" i="4"/>
  <c r="BU66" i="4" s="1"/>
  <c r="BT19" i="4"/>
  <c r="BT66" i="4" s="1"/>
  <c r="BS19" i="4"/>
  <c r="BS66" i="4" s="1"/>
  <c r="BR19" i="4"/>
  <c r="BR66" i="4" s="1"/>
  <c r="BQ19" i="4"/>
  <c r="BQ66" i="4" s="1"/>
  <c r="BP19" i="4"/>
  <c r="BP66" i="4" s="1"/>
  <c r="BO19" i="4"/>
  <c r="BO66" i="4" s="1"/>
  <c r="BN19" i="4"/>
  <c r="BN66" i="4" s="1"/>
  <c r="BM19" i="4"/>
  <c r="BM66" i="4" s="1"/>
  <c r="BL19" i="4"/>
  <c r="BL66" i="4" s="1"/>
  <c r="AW19" i="4"/>
  <c r="AW66" i="4" s="1"/>
  <c r="AV19" i="4"/>
  <c r="AV66" i="4" s="1"/>
  <c r="AU19" i="4"/>
  <c r="AU66" i="4" s="1"/>
  <c r="AT19" i="4"/>
  <c r="AT66" i="4" s="1"/>
  <c r="AS19" i="4"/>
  <c r="AS66" i="4" s="1"/>
  <c r="AR19" i="4"/>
  <c r="AR66" i="4" s="1"/>
  <c r="AQ19" i="4"/>
  <c r="AQ66" i="4" s="1"/>
  <c r="AP19" i="4"/>
  <c r="AP66" i="4" s="1"/>
  <c r="AO19" i="4"/>
  <c r="AO66" i="4" s="1"/>
  <c r="AN19" i="4"/>
  <c r="AN66" i="4" s="1"/>
  <c r="AM19" i="4"/>
  <c r="AM66" i="4" s="1"/>
  <c r="AL19" i="4"/>
  <c r="AL66" i="4" s="1"/>
  <c r="AK19" i="4"/>
  <c r="AK66" i="4" s="1"/>
  <c r="AJ19" i="4"/>
  <c r="AJ66" i="4" s="1"/>
  <c r="AI19" i="4"/>
  <c r="AI66" i="4" s="1"/>
  <c r="AH19" i="4"/>
  <c r="AH66" i="4" s="1"/>
  <c r="AG19" i="4"/>
  <c r="AG66" i="4" s="1"/>
  <c r="DG18" i="4"/>
  <c r="DG65" i="4" s="1"/>
  <c r="DF18" i="4"/>
  <c r="DF65" i="4" s="1"/>
  <c r="DE18" i="4"/>
  <c r="DE65" i="4" s="1"/>
  <c r="DD18" i="4"/>
  <c r="DD65" i="4" s="1"/>
  <c r="DC18" i="4"/>
  <c r="DC65" i="4" s="1"/>
  <c r="DB18" i="4"/>
  <c r="DB65" i="4" s="1"/>
  <c r="DA18" i="4"/>
  <c r="DA65" i="4" s="1"/>
  <c r="CZ18" i="4"/>
  <c r="CZ65" i="4" s="1"/>
  <c r="CY18" i="4"/>
  <c r="CY65" i="4" s="1"/>
  <c r="CX18" i="4"/>
  <c r="CX65" i="4" s="1"/>
  <c r="CW18" i="4"/>
  <c r="CW65" i="4" s="1"/>
  <c r="CV18" i="4"/>
  <c r="CV65" i="4" s="1"/>
  <c r="CU18" i="4"/>
  <c r="CU65" i="4" s="1"/>
  <c r="CT18" i="4"/>
  <c r="CT65" i="4" s="1"/>
  <c r="CS18" i="4"/>
  <c r="CS65" i="4" s="1"/>
  <c r="CR18" i="4"/>
  <c r="CR65" i="4" s="1"/>
  <c r="CQ18" i="4"/>
  <c r="CQ65" i="4" s="1"/>
  <c r="CP18" i="4"/>
  <c r="CP65" i="4" s="1"/>
  <c r="CB18" i="4"/>
  <c r="CB65" i="4" s="1"/>
  <c r="CA18" i="4"/>
  <c r="CA65" i="4" s="1"/>
  <c r="BZ18" i="4"/>
  <c r="BZ65" i="4" s="1"/>
  <c r="BY18" i="4"/>
  <c r="BY65" i="4" s="1"/>
  <c r="BX18" i="4"/>
  <c r="BX65" i="4" s="1"/>
  <c r="BW18" i="4"/>
  <c r="BW65" i="4" s="1"/>
  <c r="BV18" i="4"/>
  <c r="BV65" i="4" s="1"/>
  <c r="BU18" i="4"/>
  <c r="BU65" i="4" s="1"/>
  <c r="BT18" i="4"/>
  <c r="BT65" i="4" s="1"/>
  <c r="BS18" i="4"/>
  <c r="BS65" i="4" s="1"/>
  <c r="BR18" i="4"/>
  <c r="BR65" i="4" s="1"/>
  <c r="BQ18" i="4"/>
  <c r="BQ65" i="4" s="1"/>
  <c r="BP18" i="4"/>
  <c r="BP65" i="4" s="1"/>
  <c r="BO18" i="4"/>
  <c r="BO65" i="4" s="1"/>
  <c r="BN18" i="4"/>
  <c r="BN65" i="4" s="1"/>
  <c r="BM18" i="4"/>
  <c r="BM65" i="4" s="1"/>
  <c r="BL18" i="4"/>
  <c r="BL65" i="4" s="1"/>
  <c r="AW18" i="4"/>
  <c r="AW65" i="4" s="1"/>
  <c r="AV18" i="4"/>
  <c r="AV65" i="4" s="1"/>
  <c r="AU18" i="4"/>
  <c r="AU65" i="4" s="1"/>
  <c r="AT18" i="4"/>
  <c r="AT65" i="4" s="1"/>
  <c r="AS18" i="4"/>
  <c r="AS65" i="4" s="1"/>
  <c r="AR18" i="4"/>
  <c r="AR65" i="4" s="1"/>
  <c r="AQ18" i="4"/>
  <c r="AQ65" i="4" s="1"/>
  <c r="AP18" i="4"/>
  <c r="AP65" i="4" s="1"/>
  <c r="AO18" i="4"/>
  <c r="AO65" i="4" s="1"/>
  <c r="AN18" i="4"/>
  <c r="AN65" i="4" s="1"/>
  <c r="AM18" i="4"/>
  <c r="AM65" i="4" s="1"/>
  <c r="AL18" i="4"/>
  <c r="AL65" i="4" s="1"/>
  <c r="AK18" i="4"/>
  <c r="AK65" i="4" s="1"/>
  <c r="AJ18" i="4"/>
  <c r="AJ65" i="4" s="1"/>
  <c r="AI18" i="4"/>
  <c r="AI65" i="4" s="1"/>
  <c r="AH18" i="4"/>
  <c r="AH65" i="4" s="1"/>
  <c r="AG18" i="4"/>
  <c r="AG65" i="4" s="1"/>
  <c r="DG17" i="4"/>
  <c r="DG64" i="4" s="1"/>
  <c r="DF17" i="4"/>
  <c r="DF64" i="4" s="1"/>
  <c r="DE17" i="4"/>
  <c r="DE64" i="4" s="1"/>
  <c r="DD17" i="4"/>
  <c r="DD64" i="4" s="1"/>
  <c r="DC17" i="4"/>
  <c r="DC64" i="4" s="1"/>
  <c r="DB17" i="4"/>
  <c r="DB64" i="4" s="1"/>
  <c r="DA17" i="4"/>
  <c r="DA64" i="4" s="1"/>
  <c r="CZ17" i="4"/>
  <c r="CZ64" i="4" s="1"/>
  <c r="CY17" i="4"/>
  <c r="CY64" i="4" s="1"/>
  <c r="CX17" i="4"/>
  <c r="CX64" i="4" s="1"/>
  <c r="CW17" i="4"/>
  <c r="CW64" i="4" s="1"/>
  <c r="CV17" i="4"/>
  <c r="CV64" i="4" s="1"/>
  <c r="CU17" i="4"/>
  <c r="CU64" i="4" s="1"/>
  <c r="CT17" i="4"/>
  <c r="CT64" i="4" s="1"/>
  <c r="CS17" i="4"/>
  <c r="CS64" i="4" s="1"/>
  <c r="CR17" i="4"/>
  <c r="CR64" i="4" s="1"/>
  <c r="CQ17" i="4"/>
  <c r="CQ64" i="4" s="1"/>
  <c r="CP17" i="4"/>
  <c r="CP64" i="4" s="1"/>
  <c r="CB17" i="4"/>
  <c r="CB64" i="4" s="1"/>
  <c r="CA17" i="4"/>
  <c r="CA64" i="4" s="1"/>
  <c r="BZ17" i="4"/>
  <c r="BZ64" i="4" s="1"/>
  <c r="BY17" i="4"/>
  <c r="BY64" i="4" s="1"/>
  <c r="BX17" i="4"/>
  <c r="BX64" i="4" s="1"/>
  <c r="BW17" i="4"/>
  <c r="BW64" i="4" s="1"/>
  <c r="BV17" i="4"/>
  <c r="BV64" i="4" s="1"/>
  <c r="BU17" i="4"/>
  <c r="BU64" i="4" s="1"/>
  <c r="BT17" i="4"/>
  <c r="BT64" i="4" s="1"/>
  <c r="BS17" i="4"/>
  <c r="BS64" i="4" s="1"/>
  <c r="BR17" i="4"/>
  <c r="BR64" i="4" s="1"/>
  <c r="BQ17" i="4"/>
  <c r="BQ64" i="4" s="1"/>
  <c r="BP17" i="4"/>
  <c r="BP64" i="4" s="1"/>
  <c r="BO17" i="4"/>
  <c r="BO64" i="4" s="1"/>
  <c r="BN17" i="4"/>
  <c r="BN64" i="4" s="1"/>
  <c r="BM17" i="4"/>
  <c r="BM64" i="4" s="1"/>
  <c r="BL17" i="4"/>
  <c r="BL64" i="4" s="1"/>
  <c r="AW17" i="4"/>
  <c r="AW64" i="4" s="1"/>
  <c r="AV17" i="4"/>
  <c r="AV64" i="4" s="1"/>
  <c r="AU17" i="4"/>
  <c r="AU64" i="4" s="1"/>
  <c r="AT17" i="4"/>
  <c r="AT64" i="4" s="1"/>
  <c r="AS17" i="4"/>
  <c r="AS64" i="4" s="1"/>
  <c r="AR17" i="4"/>
  <c r="AR64" i="4" s="1"/>
  <c r="AQ17" i="4"/>
  <c r="AQ64" i="4" s="1"/>
  <c r="AP17" i="4"/>
  <c r="AP64" i="4" s="1"/>
  <c r="AO17" i="4"/>
  <c r="AO64" i="4" s="1"/>
  <c r="AN17" i="4"/>
  <c r="AN64" i="4" s="1"/>
  <c r="AM17" i="4"/>
  <c r="AM64" i="4" s="1"/>
  <c r="AL17" i="4"/>
  <c r="AL64" i="4" s="1"/>
  <c r="AK17" i="4"/>
  <c r="AK64" i="4" s="1"/>
  <c r="AJ17" i="4"/>
  <c r="AJ64" i="4" s="1"/>
  <c r="AI17" i="4"/>
  <c r="AI64" i="4" s="1"/>
  <c r="AH17" i="4"/>
  <c r="AH64" i="4" s="1"/>
  <c r="AG17" i="4"/>
  <c r="AG64" i="4" s="1"/>
  <c r="DG16" i="4"/>
  <c r="DG63" i="4" s="1"/>
  <c r="DF16" i="4"/>
  <c r="DF63" i="4" s="1"/>
  <c r="DE16" i="4"/>
  <c r="DE63" i="4" s="1"/>
  <c r="DD16" i="4"/>
  <c r="DD63" i="4" s="1"/>
  <c r="DC16" i="4"/>
  <c r="DC63" i="4" s="1"/>
  <c r="DB16" i="4"/>
  <c r="DB63" i="4" s="1"/>
  <c r="DA16" i="4"/>
  <c r="DA63" i="4" s="1"/>
  <c r="CZ16" i="4"/>
  <c r="CZ63" i="4" s="1"/>
  <c r="CY16" i="4"/>
  <c r="CY63" i="4" s="1"/>
  <c r="CX16" i="4"/>
  <c r="CX63" i="4" s="1"/>
  <c r="CW16" i="4"/>
  <c r="CW63" i="4" s="1"/>
  <c r="CV16" i="4"/>
  <c r="CV63" i="4" s="1"/>
  <c r="CU16" i="4"/>
  <c r="CU63" i="4" s="1"/>
  <c r="CT16" i="4"/>
  <c r="CT63" i="4" s="1"/>
  <c r="CS16" i="4"/>
  <c r="CS63" i="4" s="1"/>
  <c r="CR16" i="4"/>
  <c r="CR63" i="4" s="1"/>
  <c r="CQ16" i="4"/>
  <c r="CQ63" i="4" s="1"/>
  <c r="CP16" i="4"/>
  <c r="CP63" i="4" s="1"/>
  <c r="CB16" i="4"/>
  <c r="CB63" i="4" s="1"/>
  <c r="CA16" i="4"/>
  <c r="CA63" i="4" s="1"/>
  <c r="BZ16" i="4"/>
  <c r="BZ63" i="4" s="1"/>
  <c r="BY16" i="4"/>
  <c r="BY63" i="4" s="1"/>
  <c r="BX16" i="4"/>
  <c r="BX63" i="4" s="1"/>
  <c r="BW16" i="4"/>
  <c r="BW63" i="4" s="1"/>
  <c r="BV16" i="4"/>
  <c r="BV63" i="4" s="1"/>
  <c r="BU16" i="4"/>
  <c r="BU63" i="4" s="1"/>
  <c r="BT16" i="4"/>
  <c r="BT63" i="4" s="1"/>
  <c r="BS16" i="4"/>
  <c r="BS63" i="4" s="1"/>
  <c r="BR16" i="4"/>
  <c r="BR63" i="4" s="1"/>
  <c r="BQ16" i="4"/>
  <c r="BQ63" i="4" s="1"/>
  <c r="BP16" i="4"/>
  <c r="BP63" i="4" s="1"/>
  <c r="BO16" i="4"/>
  <c r="BO63" i="4" s="1"/>
  <c r="BN16" i="4"/>
  <c r="BN63" i="4" s="1"/>
  <c r="BM16" i="4"/>
  <c r="BM63" i="4" s="1"/>
  <c r="BL16" i="4"/>
  <c r="BL63" i="4" s="1"/>
  <c r="AW16" i="4"/>
  <c r="AW63" i="4" s="1"/>
  <c r="AV16" i="4"/>
  <c r="AV63" i="4" s="1"/>
  <c r="AU16" i="4"/>
  <c r="AU63" i="4" s="1"/>
  <c r="AT16" i="4"/>
  <c r="AT63" i="4" s="1"/>
  <c r="AS16" i="4"/>
  <c r="AS63" i="4" s="1"/>
  <c r="AR16" i="4"/>
  <c r="AR63" i="4" s="1"/>
  <c r="AQ16" i="4"/>
  <c r="AQ63" i="4" s="1"/>
  <c r="AP16" i="4"/>
  <c r="AP63" i="4" s="1"/>
  <c r="AO16" i="4"/>
  <c r="AO63" i="4" s="1"/>
  <c r="AN16" i="4"/>
  <c r="AN63" i="4" s="1"/>
  <c r="AM16" i="4"/>
  <c r="AM63" i="4" s="1"/>
  <c r="AL16" i="4"/>
  <c r="AL63" i="4" s="1"/>
  <c r="AK16" i="4"/>
  <c r="AK63" i="4" s="1"/>
  <c r="AJ16" i="4"/>
  <c r="AJ63" i="4" s="1"/>
  <c r="AI16" i="4"/>
  <c r="AI63" i="4" s="1"/>
  <c r="AH16" i="4"/>
  <c r="AH63" i="4" s="1"/>
  <c r="AG16" i="4"/>
  <c r="AG63" i="4" s="1"/>
  <c r="DG15" i="4"/>
  <c r="DG62" i="4" s="1"/>
  <c r="DF15" i="4"/>
  <c r="DF62" i="4" s="1"/>
  <c r="DE15" i="4"/>
  <c r="DE62" i="4" s="1"/>
  <c r="DD15" i="4"/>
  <c r="DD62" i="4" s="1"/>
  <c r="DC15" i="4"/>
  <c r="DC62" i="4" s="1"/>
  <c r="DB15" i="4"/>
  <c r="DB62" i="4" s="1"/>
  <c r="DA15" i="4"/>
  <c r="DA62" i="4" s="1"/>
  <c r="CZ15" i="4"/>
  <c r="CZ62" i="4" s="1"/>
  <c r="CY15" i="4"/>
  <c r="CY62" i="4" s="1"/>
  <c r="CX15" i="4"/>
  <c r="CX62" i="4" s="1"/>
  <c r="CW15" i="4"/>
  <c r="CW62" i="4" s="1"/>
  <c r="CV15" i="4"/>
  <c r="CV62" i="4" s="1"/>
  <c r="CU15" i="4"/>
  <c r="CU62" i="4" s="1"/>
  <c r="CT15" i="4"/>
  <c r="CT62" i="4" s="1"/>
  <c r="CS15" i="4"/>
  <c r="CS62" i="4" s="1"/>
  <c r="CR15" i="4"/>
  <c r="CR62" i="4" s="1"/>
  <c r="CQ15" i="4"/>
  <c r="CQ62" i="4" s="1"/>
  <c r="CP15" i="4"/>
  <c r="CP62" i="4" s="1"/>
  <c r="CB15" i="4"/>
  <c r="CB62" i="4" s="1"/>
  <c r="CA15" i="4"/>
  <c r="CA62" i="4" s="1"/>
  <c r="BZ15" i="4"/>
  <c r="BZ62" i="4" s="1"/>
  <c r="BY15" i="4"/>
  <c r="BY62" i="4" s="1"/>
  <c r="BX15" i="4"/>
  <c r="BX62" i="4" s="1"/>
  <c r="BW15" i="4"/>
  <c r="BW62" i="4" s="1"/>
  <c r="BV15" i="4"/>
  <c r="BV62" i="4" s="1"/>
  <c r="BU15" i="4"/>
  <c r="BU62" i="4" s="1"/>
  <c r="BT15" i="4"/>
  <c r="BT62" i="4" s="1"/>
  <c r="BS15" i="4"/>
  <c r="BS62" i="4" s="1"/>
  <c r="BR15" i="4"/>
  <c r="BR62" i="4" s="1"/>
  <c r="BQ15" i="4"/>
  <c r="BQ62" i="4" s="1"/>
  <c r="BP15" i="4"/>
  <c r="BP62" i="4" s="1"/>
  <c r="BO15" i="4"/>
  <c r="BO62" i="4" s="1"/>
  <c r="BN15" i="4"/>
  <c r="BN62" i="4" s="1"/>
  <c r="BM15" i="4"/>
  <c r="BM62" i="4" s="1"/>
  <c r="BL15" i="4"/>
  <c r="BL62" i="4" s="1"/>
  <c r="AW15" i="4"/>
  <c r="AW62" i="4" s="1"/>
  <c r="AV15" i="4"/>
  <c r="AV62" i="4" s="1"/>
  <c r="AU15" i="4"/>
  <c r="AU62" i="4" s="1"/>
  <c r="AT15" i="4"/>
  <c r="AT62" i="4" s="1"/>
  <c r="AS15" i="4"/>
  <c r="AS62" i="4" s="1"/>
  <c r="AR15" i="4"/>
  <c r="AR62" i="4" s="1"/>
  <c r="AQ15" i="4"/>
  <c r="AQ62" i="4" s="1"/>
  <c r="AP15" i="4"/>
  <c r="AP62" i="4" s="1"/>
  <c r="AO15" i="4"/>
  <c r="AO62" i="4" s="1"/>
  <c r="AN15" i="4"/>
  <c r="AN62" i="4" s="1"/>
  <c r="AM15" i="4"/>
  <c r="AM62" i="4" s="1"/>
  <c r="AL15" i="4"/>
  <c r="AL62" i="4" s="1"/>
  <c r="AK15" i="4"/>
  <c r="AK62" i="4" s="1"/>
  <c r="AJ15" i="4"/>
  <c r="AJ62" i="4" s="1"/>
  <c r="AI15" i="4"/>
  <c r="AI62" i="4" s="1"/>
  <c r="AH15" i="4"/>
  <c r="AH62" i="4" s="1"/>
  <c r="AG15" i="4"/>
  <c r="AG62" i="4" s="1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R78" i="4"/>
  <c r="Q78" i="4"/>
  <c r="P78" i="4"/>
  <c r="O78" i="4"/>
  <c r="N78" i="4"/>
  <c r="M78" i="4"/>
  <c r="L78" i="4"/>
  <c r="K78" i="4"/>
  <c r="R77" i="4"/>
  <c r="Q77" i="4"/>
  <c r="P77" i="4"/>
  <c r="O77" i="4"/>
  <c r="N77" i="4"/>
  <c r="M77" i="4"/>
  <c r="L77" i="4"/>
  <c r="K77" i="4"/>
  <c r="R76" i="4"/>
  <c r="Q76" i="4"/>
  <c r="P76" i="4"/>
  <c r="O76" i="4"/>
  <c r="N76" i="4"/>
  <c r="M76" i="4"/>
  <c r="L76" i="4"/>
  <c r="K76" i="4"/>
  <c r="R75" i="4"/>
  <c r="Q75" i="4"/>
  <c r="P75" i="4"/>
  <c r="O75" i="4"/>
  <c r="N75" i="4"/>
  <c r="M75" i="4"/>
  <c r="L75" i="4"/>
  <c r="K75" i="4"/>
  <c r="R74" i="4"/>
  <c r="Q74" i="4"/>
  <c r="P74" i="4"/>
  <c r="O74" i="4"/>
  <c r="N74" i="4"/>
  <c r="M74" i="4"/>
  <c r="L74" i="4"/>
  <c r="R72" i="4"/>
  <c r="Q72" i="4"/>
  <c r="P72" i="4"/>
  <c r="O72" i="4"/>
  <c r="N72" i="4"/>
  <c r="M72" i="4"/>
  <c r="L72" i="4"/>
  <c r="K72" i="4"/>
  <c r="R71" i="4"/>
  <c r="Q71" i="4"/>
  <c r="P71" i="4"/>
  <c r="O71" i="4"/>
  <c r="N71" i="4"/>
  <c r="M71" i="4"/>
  <c r="L71" i="4"/>
  <c r="K71" i="4"/>
  <c r="R70" i="4"/>
  <c r="Q70" i="4"/>
  <c r="P70" i="4"/>
  <c r="O70" i="4"/>
  <c r="N70" i="4"/>
  <c r="M70" i="4"/>
  <c r="L70" i="4"/>
  <c r="K70" i="4"/>
  <c r="R69" i="4"/>
  <c r="Q69" i="4"/>
  <c r="P69" i="4"/>
  <c r="O69" i="4"/>
  <c r="N69" i="4"/>
  <c r="M69" i="4"/>
  <c r="L69" i="4"/>
  <c r="K69" i="4"/>
  <c r="R68" i="4"/>
  <c r="Q68" i="4"/>
  <c r="P68" i="4"/>
  <c r="O68" i="4"/>
  <c r="N68" i="4"/>
  <c r="M68" i="4"/>
  <c r="L68" i="4"/>
  <c r="K68" i="4"/>
  <c r="R27" i="4"/>
  <c r="Q27" i="4"/>
  <c r="P27" i="4"/>
  <c r="O27" i="4"/>
  <c r="N27" i="4"/>
  <c r="M27" i="4"/>
  <c r="L27" i="4"/>
  <c r="K27" i="4"/>
  <c r="R26" i="4"/>
  <c r="Q26" i="4"/>
  <c r="P26" i="4"/>
  <c r="O26" i="4"/>
  <c r="N26" i="4"/>
  <c r="M26" i="4"/>
  <c r="L26" i="4"/>
  <c r="K26" i="4"/>
  <c r="R25" i="4"/>
  <c r="Q25" i="4"/>
  <c r="P25" i="4"/>
  <c r="O25" i="4"/>
  <c r="N25" i="4"/>
  <c r="M25" i="4"/>
  <c r="L25" i="4"/>
  <c r="K25" i="4"/>
  <c r="R24" i="4"/>
  <c r="Q24" i="4"/>
  <c r="P24" i="4"/>
  <c r="O24" i="4"/>
  <c r="N24" i="4"/>
  <c r="M24" i="4"/>
  <c r="L24" i="4"/>
  <c r="K24" i="4"/>
  <c r="R23" i="4"/>
  <c r="Q23" i="4"/>
  <c r="P23" i="4"/>
  <c r="O23" i="4"/>
  <c r="N23" i="4"/>
  <c r="M23" i="4"/>
  <c r="L23" i="4"/>
  <c r="K23" i="4"/>
  <c r="R19" i="4"/>
  <c r="R66" i="4" s="1"/>
  <c r="Q19" i="4"/>
  <c r="Q66" i="4" s="1"/>
  <c r="P19" i="4"/>
  <c r="P66" i="4" s="1"/>
  <c r="O19" i="4"/>
  <c r="O66" i="4" s="1"/>
  <c r="N19" i="4"/>
  <c r="N66" i="4" s="1"/>
  <c r="M19" i="4"/>
  <c r="M66" i="4" s="1"/>
  <c r="L19" i="4"/>
  <c r="L66" i="4" s="1"/>
  <c r="K19" i="4"/>
  <c r="K66" i="4" s="1"/>
  <c r="R18" i="4"/>
  <c r="R65" i="4" s="1"/>
  <c r="Q18" i="4"/>
  <c r="Q65" i="4" s="1"/>
  <c r="P18" i="4"/>
  <c r="P65" i="4" s="1"/>
  <c r="O18" i="4"/>
  <c r="O65" i="4" s="1"/>
  <c r="N18" i="4"/>
  <c r="N65" i="4" s="1"/>
  <c r="M18" i="4"/>
  <c r="M65" i="4" s="1"/>
  <c r="L18" i="4"/>
  <c r="L65" i="4" s="1"/>
  <c r="K18" i="4"/>
  <c r="K65" i="4" s="1"/>
  <c r="R17" i="4"/>
  <c r="R64" i="4" s="1"/>
  <c r="Q17" i="4"/>
  <c r="Q64" i="4" s="1"/>
  <c r="P17" i="4"/>
  <c r="P64" i="4" s="1"/>
  <c r="O17" i="4"/>
  <c r="O64" i="4" s="1"/>
  <c r="N17" i="4"/>
  <c r="N64" i="4" s="1"/>
  <c r="M17" i="4"/>
  <c r="M64" i="4" s="1"/>
  <c r="L17" i="4"/>
  <c r="L64" i="4" s="1"/>
  <c r="K17" i="4"/>
  <c r="K64" i="4" s="1"/>
  <c r="R16" i="4"/>
  <c r="R63" i="4" s="1"/>
  <c r="Q16" i="4"/>
  <c r="Q63" i="4" s="1"/>
  <c r="P16" i="4"/>
  <c r="P63" i="4" s="1"/>
  <c r="O16" i="4"/>
  <c r="O63" i="4" s="1"/>
  <c r="N16" i="4"/>
  <c r="N63" i="4" s="1"/>
  <c r="M16" i="4"/>
  <c r="M63" i="4" s="1"/>
  <c r="L16" i="4"/>
  <c r="L63" i="4" s="1"/>
  <c r="K16" i="4"/>
  <c r="K63" i="4" s="1"/>
  <c r="R15" i="4"/>
  <c r="R62" i="4" s="1"/>
  <c r="Q15" i="4"/>
  <c r="Q62" i="4" s="1"/>
  <c r="P15" i="4"/>
  <c r="P62" i="4" s="1"/>
  <c r="O15" i="4"/>
  <c r="O62" i="4" s="1"/>
  <c r="N15" i="4"/>
  <c r="N62" i="4" s="1"/>
  <c r="M15" i="4"/>
  <c r="M62" i="4" s="1"/>
  <c r="L15" i="4"/>
  <c r="L62" i="4" s="1"/>
  <c r="K62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R8" i="4"/>
  <c r="Q8" i="4"/>
  <c r="P8" i="4"/>
  <c r="O8" i="4"/>
  <c r="N8" i="4"/>
  <c r="M8" i="4"/>
  <c r="L8" i="4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T15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R9" i="5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61" i="2"/>
  <c r="T31" i="2"/>
  <c r="T156" i="2"/>
  <c r="T141" i="2"/>
  <c r="T111" i="2"/>
  <c r="T155" i="2"/>
  <c r="T140" i="2"/>
  <c r="T154" i="2"/>
  <c r="T139" i="2"/>
  <c r="T186" i="2"/>
  <c r="T80" i="2"/>
  <c r="T70" i="2"/>
  <c r="T93" i="2"/>
  <c r="T60" i="2"/>
  <c r="T30" i="2"/>
  <c r="T153" i="2"/>
  <c r="T138" i="2"/>
  <c r="T110" i="2"/>
  <c r="T152" i="2"/>
  <c r="T137" i="2"/>
  <c r="T151" i="2"/>
  <c r="T136" i="2"/>
  <c r="T185" i="2"/>
  <c r="T79" i="2"/>
  <c r="T69" i="2"/>
  <c r="T191" i="2"/>
  <c r="T92" i="2"/>
  <c r="T59" i="2"/>
  <c r="T29" i="2"/>
  <c r="T150" i="2"/>
  <c r="T135" i="2"/>
  <c r="T109" i="2"/>
  <c r="T149" i="2"/>
  <c r="T134" i="2"/>
  <c r="T148" i="2"/>
  <c r="T133" i="2"/>
  <c r="T108" i="2"/>
  <c r="T184" i="2"/>
  <c r="T78" i="2"/>
  <c r="T68" i="2"/>
  <c r="T190" i="2"/>
  <c r="T91" i="2"/>
  <c r="T58" i="2"/>
  <c r="T28" i="2"/>
  <c r="T147" i="2"/>
  <c r="T132" i="2"/>
  <c r="T107" i="2"/>
  <c r="T146" i="2"/>
  <c r="T131" i="2"/>
  <c r="T145" i="2"/>
  <c r="T130" i="2"/>
  <c r="T106" i="2"/>
  <c r="T183" i="2"/>
  <c r="T77" i="2"/>
  <c r="T67" i="2"/>
  <c r="T189" i="2"/>
  <c r="T90" i="2"/>
  <c r="T57" i="2"/>
  <c r="T27" i="2"/>
  <c r="T144" i="2"/>
  <c r="T129" i="2"/>
  <c r="T105" i="2"/>
  <c r="T143" i="2"/>
  <c r="T128" i="2"/>
  <c r="T142" i="2"/>
  <c r="T127" i="2"/>
  <c r="T104" i="2"/>
  <c r="T182" i="2"/>
  <c r="T76" i="2"/>
  <c r="T66" i="2"/>
  <c r="T89" i="2"/>
  <c r="T56" i="2"/>
  <c r="T26" i="2"/>
  <c r="T176" i="2"/>
  <c r="T55" i="2"/>
  <c r="T25" i="2"/>
  <c r="T175" i="2"/>
  <c r="T54" i="2"/>
  <c r="T24" i="2"/>
  <c r="T174" i="2"/>
  <c r="T53" i="2"/>
  <c r="T23" i="2"/>
  <c r="T173" i="2"/>
  <c r="T52" i="2"/>
  <c r="T22" i="2"/>
  <c r="T172" i="2"/>
  <c r="T51" i="2"/>
  <c r="T21" i="2"/>
  <c r="T171" i="2"/>
  <c r="T50" i="2"/>
  <c r="T20" i="2"/>
  <c r="T170" i="2"/>
  <c r="T49" i="2"/>
  <c r="T19" i="2"/>
  <c r="T169" i="2"/>
  <c r="T48" i="2"/>
  <c r="T18" i="2"/>
  <c r="T168" i="2"/>
  <c r="T47" i="2"/>
  <c r="T17" i="2"/>
  <c r="T167" i="2"/>
  <c r="T181" i="2"/>
  <c r="T75" i="2"/>
  <c r="T88" i="2"/>
  <c r="T126" i="2"/>
  <c r="T103" i="2"/>
  <c r="T125" i="2"/>
  <c r="T46" i="2"/>
  <c r="T16" i="2"/>
  <c r="T124" i="2"/>
  <c r="T102" i="2"/>
  <c r="T180" i="2"/>
  <c r="T65" i="2"/>
  <c r="T74" i="2"/>
  <c r="T194" i="2"/>
  <c r="T188" i="2"/>
  <c r="T87" i="2"/>
  <c r="T83" i="2"/>
  <c r="T123" i="2"/>
  <c r="T122" i="2"/>
  <c r="T101" i="2"/>
  <c r="T45" i="2"/>
  <c r="T100" i="2"/>
  <c r="T15" i="2"/>
  <c r="T121" i="2"/>
  <c r="T179" i="2"/>
  <c r="T193" i="2"/>
  <c r="T82" i="2"/>
  <c r="T73" i="2"/>
  <c r="T64" i="2"/>
  <c r="T86" i="2"/>
  <c r="T120" i="2"/>
  <c r="T99" i="2"/>
  <c r="T119" i="2"/>
  <c r="T44" i="2"/>
  <c r="T14" i="2"/>
  <c r="T118" i="2"/>
  <c r="T98" i="2"/>
  <c r="T117" i="2"/>
  <c r="T97" i="2"/>
  <c r="T178" i="2"/>
  <c r="T192" i="2"/>
  <c r="T81" i="2"/>
  <c r="T72" i="2"/>
  <c r="T63" i="2"/>
  <c r="T195" i="2"/>
  <c r="T187" i="2"/>
  <c r="T85" i="2"/>
  <c r="T116" i="2"/>
  <c r="T43" i="2"/>
  <c r="T13" i="2"/>
  <c r="T115" i="2"/>
  <c r="T96" i="2"/>
  <c r="T177" i="2"/>
  <c r="T62" i="2"/>
  <c r="T71" i="2"/>
  <c r="T84" i="2"/>
  <c r="T114" i="2"/>
  <c r="T95" i="2"/>
  <c r="T113" i="2"/>
  <c r="T42" i="2"/>
  <c r="T94" i="2"/>
  <c r="T12" i="2"/>
  <c r="T112" i="2"/>
  <c r="T41" i="2"/>
  <c r="T11" i="2"/>
  <c r="T166" i="2"/>
  <c r="T40" i="2"/>
  <c r="T10" i="2"/>
  <c r="T165" i="2"/>
  <c r="T39" i="2"/>
  <c r="T9" i="2"/>
  <c r="T164" i="2"/>
  <c r="T38" i="2"/>
  <c r="T163" i="2"/>
  <c r="T8" i="2"/>
  <c r="T37" i="2"/>
  <c r="T7" i="2"/>
  <c r="T162" i="2"/>
  <c r="T36" i="2"/>
  <c r="T6" i="2"/>
  <c r="T161" i="2"/>
  <c r="T35" i="2"/>
  <c r="T5" i="2"/>
  <c r="T160" i="2"/>
  <c r="T34" i="2"/>
  <c r="T4" i="2"/>
  <c r="T33" i="2"/>
  <c r="T158" i="2"/>
  <c r="T3" i="2"/>
  <c r="T157" i="2"/>
  <c r="T32" i="2"/>
  <c r="T2" i="2"/>
  <c r="F5" i="4"/>
  <c r="E5" i="4"/>
  <c r="D5" i="4"/>
  <c r="C5" i="4"/>
  <c r="F4" i="4"/>
  <c r="E4" i="4"/>
  <c r="D4" i="4"/>
  <c r="C4" i="4"/>
  <c r="V40" i="6"/>
  <c r="W40" i="6"/>
  <c r="X40" i="6"/>
  <c r="Y40" i="6"/>
  <c r="Z40" i="6"/>
  <c r="AA40" i="6"/>
  <c r="V35" i="6"/>
  <c r="W35" i="6"/>
  <c r="X35" i="6"/>
  <c r="Y35" i="6"/>
  <c r="Z35" i="6"/>
  <c r="AA35" i="6"/>
  <c r="V36" i="6"/>
  <c r="W36" i="6"/>
  <c r="X36" i="6"/>
  <c r="Y36" i="6"/>
  <c r="Z36" i="6"/>
  <c r="AA36" i="6"/>
  <c r="V37" i="6"/>
  <c r="W37" i="6"/>
  <c r="X37" i="6"/>
  <c r="Y37" i="6"/>
  <c r="Z37" i="6"/>
  <c r="AA37" i="6"/>
  <c r="V38" i="6"/>
  <c r="W38" i="6"/>
  <c r="X38" i="6"/>
  <c r="Y38" i="6"/>
  <c r="Z38" i="6"/>
  <c r="AA38" i="6"/>
  <c r="V39" i="6"/>
  <c r="W39" i="6"/>
  <c r="X39" i="6"/>
  <c r="Y39" i="6"/>
  <c r="Z39" i="6"/>
  <c r="AA39" i="6"/>
  <c r="V22" i="6"/>
  <c r="W22" i="6"/>
  <c r="X22" i="6"/>
  <c r="Y22" i="6"/>
  <c r="Z22" i="6"/>
  <c r="AA22" i="6"/>
  <c r="V23" i="6"/>
  <c r="W23" i="6"/>
  <c r="X23" i="6"/>
  <c r="Y23" i="6"/>
  <c r="Z23" i="6"/>
  <c r="AA23" i="6"/>
  <c r="V24" i="6"/>
  <c r="W24" i="6"/>
  <c r="X24" i="6"/>
  <c r="Y24" i="6"/>
  <c r="Z24" i="6"/>
  <c r="AA24" i="6"/>
  <c r="V25" i="6"/>
  <c r="W25" i="6"/>
  <c r="X25" i="6"/>
  <c r="Y25" i="6"/>
  <c r="Z25" i="6"/>
  <c r="AA25" i="6"/>
  <c r="V26" i="6"/>
  <c r="W26" i="6"/>
  <c r="X26" i="6"/>
  <c r="Y26" i="6"/>
  <c r="Z26" i="6"/>
  <c r="AA26" i="6"/>
  <c r="V27" i="6"/>
  <c r="W27" i="6"/>
  <c r="X27" i="6"/>
  <c r="Y27" i="6"/>
  <c r="Z27" i="6"/>
  <c r="AA27" i="6"/>
  <c r="V28" i="6"/>
  <c r="W28" i="6"/>
  <c r="X28" i="6"/>
  <c r="Y28" i="6"/>
  <c r="Z28" i="6"/>
  <c r="AA28" i="6"/>
  <c r="V29" i="6"/>
  <c r="W29" i="6"/>
  <c r="X29" i="6"/>
  <c r="Y29" i="6"/>
  <c r="Z29" i="6"/>
  <c r="AA29" i="6"/>
  <c r="V30" i="6"/>
  <c r="W30" i="6"/>
  <c r="X30" i="6"/>
  <c r="Y30" i="6"/>
  <c r="Z30" i="6"/>
  <c r="AA30" i="6"/>
  <c r="V31" i="6"/>
  <c r="W31" i="6"/>
  <c r="X31" i="6"/>
  <c r="Y31" i="6"/>
  <c r="Z31" i="6"/>
  <c r="AA31" i="6"/>
  <c r="V32" i="6"/>
  <c r="W32" i="6"/>
  <c r="X32" i="6"/>
  <c r="Y32" i="6"/>
  <c r="Z32" i="6"/>
  <c r="AA32" i="6"/>
  <c r="V33" i="6"/>
  <c r="W33" i="6"/>
  <c r="X33" i="6"/>
  <c r="Y33" i="6"/>
  <c r="Z33" i="6"/>
  <c r="AA33" i="6"/>
  <c r="V34" i="6"/>
  <c r="W34" i="6"/>
  <c r="X34" i="6"/>
  <c r="Y34" i="6"/>
  <c r="Z34" i="6"/>
  <c r="AA34" i="6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5" i="7"/>
  <c r="B5" i="7"/>
  <c r="BD5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BD7" i="12"/>
  <c r="BD6" i="12"/>
  <c r="BC35" i="12"/>
  <c r="BC34" i="12"/>
  <c r="BC33" i="12"/>
  <c r="BC32" i="12"/>
  <c r="BC31" i="12"/>
  <c r="BC30" i="12"/>
  <c r="BC29" i="12"/>
  <c r="BC28" i="12"/>
  <c r="BC27" i="12"/>
  <c r="BC26" i="12"/>
  <c r="BC25" i="12"/>
  <c r="BC24" i="12"/>
  <c r="BC23" i="12"/>
  <c r="BC22" i="12"/>
  <c r="BC21" i="12"/>
  <c r="BC20" i="12"/>
  <c r="BC19" i="12"/>
  <c r="BC18" i="12"/>
  <c r="BC17" i="12"/>
  <c r="BC16" i="12"/>
  <c r="BC15" i="12"/>
  <c r="BC14" i="12"/>
  <c r="BC13" i="12"/>
  <c r="BC12" i="12"/>
  <c r="BC11" i="12"/>
  <c r="BC10" i="12"/>
  <c r="BC9" i="12"/>
  <c r="BC8" i="12"/>
  <c r="BC7" i="12"/>
  <c r="BC6" i="12"/>
  <c r="BC5" i="12"/>
  <c r="BB5" i="12"/>
  <c r="BB7" i="12"/>
  <c r="BB8" i="12"/>
  <c r="BB9" i="12"/>
  <c r="BB10" i="12"/>
  <c r="BB11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4" i="12"/>
  <c r="BB25" i="12"/>
  <c r="BB26" i="12"/>
  <c r="BB27" i="12"/>
  <c r="BB28" i="12"/>
  <c r="BB29" i="12"/>
  <c r="BB30" i="12"/>
  <c r="BB31" i="12"/>
  <c r="BB32" i="12"/>
  <c r="BB33" i="12"/>
  <c r="BB34" i="12"/>
  <c r="BB35" i="12"/>
  <c r="BB6" i="12"/>
  <c r="BK5" i="12"/>
  <c r="BF35" i="12"/>
  <c r="BE35" i="12"/>
  <c r="BF34" i="12"/>
  <c r="BE34" i="12"/>
  <c r="BF33" i="12"/>
  <c r="BI33" i="12" s="1"/>
  <c r="BE33" i="12"/>
  <c r="BH33" i="12" s="1"/>
  <c r="BF32" i="12"/>
  <c r="BI32" i="12" s="1"/>
  <c r="BE32" i="12"/>
  <c r="BH32" i="12" s="1"/>
  <c r="BF31" i="12"/>
  <c r="BI31" i="12" s="1"/>
  <c r="BE31" i="12"/>
  <c r="BH31" i="12" s="1"/>
  <c r="BF30" i="12"/>
  <c r="BE30" i="12"/>
  <c r="BF29" i="12"/>
  <c r="BE29" i="12"/>
  <c r="BF28" i="12"/>
  <c r="BI28" i="12" s="1"/>
  <c r="BE28" i="12"/>
  <c r="BH28" i="12" s="1"/>
  <c r="BF27" i="12"/>
  <c r="BE27" i="12"/>
  <c r="BF26" i="12"/>
  <c r="BE26" i="12"/>
  <c r="BF25" i="12"/>
  <c r="BE25" i="12"/>
  <c r="BF24" i="12"/>
  <c r="BE24" i="12"/>
  <c r="BF23" i="12"/>
  <c r="BE23" i="12"/>
  <c r="BH23" i="12" s="1"/>
  <c r="BF22" i="12"/>
  <c r="BE22" i="12"/>
  <c r="BF21" i="12"/>
  <c r="BE21" i="12"/>
  <c r="BF20" i="12"/>
  <c r="BI20" i="12" s="1"/>
  <c r="BE20" i="12"/>
  <c r="BH20" i="12" s="1"/>
  <c r="BF19" i="12"/>
  <c r="BE19" i="12"/>
  <c r="BF18" i="12"/>
  <c r="BE18" i="12"/>
  <c r="BF17" i="12"/>
  <c r="BI17" i="12" s="1"/>
  <c r="BE17" i="12"/>
  <c r="BH17" i="12" s="1"/>
  <c r="BF16" i="12"/>
  <c r="BI16" i="12" s="1"/>
  <c r="BE16" i="12"/>
  <c r="BH16" i="12" s="1"/>
  <c r="BF15" i="12"/>
  <c r="BI15" i="12" s="1"/>
  <c r="BE15" i="12"/>
  <c r="BH15" i="12" s="1"/>
  <c r="BF14" i="12"/>
  <c r="BI14" i="12" s="1"/>
  <c r="BE14" i="12"/>
  <c r="BH14" i="12" s="1"/>
  <c r="BF13" i="12"/>
  <c r="BI13" i="12" s="1"/>
  <c r="BE13" i="12"/>
  <c r="BH13" i="12" s="1"/>
  <c r="BF12" i="12"/>
  <c r="BI12" i="12" s="1"/>
  <c r="BE12" i="12"/>
  <c r="BH12" i="12" s="1"/>
  <c r="BF11" i="12"/>
  <c r="BI11" i="12" s="1"/>
  <c r="BE11" i="12"/>
  <c r="BH11" i="12" s="1"/>
  <c r="BF10" i="12"/>
  <c r="BI10" i="12" s="1"/>
  <c r="BE10" i="12"/>
  <c r="BH10" i="12" s="1"/>
  <c r="BF9" i="12"/>
  <c r="BI9" i="12" s="1"/>
  <c r="BE9" i="12"/>
  <c r="BH9" i="12" s="1"/>
  <c r="BF8" i="12"/>
  <c r="BI8" i="12" s="1"/>
  <c r="BE8" i="12"/>
  <c r="BH8" i="12" s="1"/>
  <c r="BF7" i="12"/>
  <c r="BI7" i="12" s="1"/>
  <c r="BE7" i="12"/>
  <c r="BH7" i="12" s="1"/>
  <c r="BF6" i="12"/>
  <c r="BE6" i="12"/>
  <c r="BF5" i="12"/>
  <c r="BI5" i="12" s="1"/>
  <c r="BE5" i="12"/>
  <c r="BH5" i="12" s="1"/>
  <c r="BG5" i="12"/>
  <c r="BJ5" i="12" s="1"/>
  <c r="BG6" i="12"/>
  <c r="BG7" i="12"/>
  <c r="BJ7" i="12" s="1"/>
  <c r="BG8" i="12"/>
  <c r="BJ8" i="12" s="1"/>
  <c r="BG9" i="12"/>
  <c r="BJ9" i="12" s="1"/>
  <c r="BG10" i="12"/>
  <c r="BJ10" i="12" s="1"/>
  <c r="BG11" i="12"/>
  <c r="BJ11" i="12" s="1"/>
  <c r="BG12" i="12"/>
  <c r="BJ12" i="12" s="1"/>
  <c r="BG13" i="12"/>
  <c r="BJ13" i="12" s="1"/>
  <c r="BG14" i="12"/>
  <c r="BJ14" i="12" s="1"/>
  <c r="BG15" i="12"/>
  <c r="BJ15" i="12" s="1"/>
  <c r="BG16" i="12"/>
  <c r="BJ16" i="12" s="1"/>
  <c r="BG17" i="12"/>
  <c r="BJ17" i="12" s="1"/>
  <c r="BG18" i="12"/>
  <c r="BG19" i="12"/>
  <c r="BG20" i="12"/>
  <c r="BJ20" i="12" s="1"/>
  <c r="BG21" i="12"/>
  <c r="BG22" i="12"/>
  <c r="BG23" i="12"/>
  <c r="BG24" i="12"/>
  <c r="BG25" i="12"/>
  <c r="BG26" i="12"/>
  <c r="BG27" i="12"/>
  <c r="BG28" i="12"/>
  <c r="BJ28" i="12" s="1"/>
  <c r="BG29" i="12"/>
  <c r="BG30" i="12"/>
  <c r="BG31" i="12"/>
  <c r="BJ31" i="12" s="1"/>
  <c r="BG32" i="12"/>
  <c r="BJ32" i="12" s="1"/>
  <c r="BG33" i="12"/>
  <c r="BJ33" i="12" s="1"/>
  <c r="BG34" i="12"/>
  <c r="BG35" i="12"/>
  <c r="S62" i="4" l="1"/>
  <c r="C62" i="4"/>
  <c r="V73" i="4"/>
  <c r="V85" i="4" s="1"/>
  <c r="W73" i="4"/>
  <c r="W85" i="4" s="1"/>
  <c r="F49" i="4"/>
  <c r="U73" i="4"/>
  <c r="U85" i="4" s="1"/>
  <c r="AF84" i="4"/>
  <c r="F102" i="4"/>
  <c r="F100" i="4"/>
  <c r="F103" i="4"/>
  <c r="X73" i="4"/>
  <c r="X85" i="4" s="1"/>
  <c r="C29" i="4"/>
  <c r="K56" i="4"/>
  <c r="D33" i="4"/>
  <c r="C33" i="4"/>
  <c r="C32" i="4"/>
  <c r="D31" i="4"/>
  <c r="C31" i="4"/>
  <c r="AA20" i="4"/>
  <c r="CE80" i="4"/>
  <c r="Y73" i="4"/>
  <c r="Y85" i="4" s="1"/>
  <c r="F101" i="4"/>
  <c r="E32" i="4"/>
  <c r="D32" i="4"/>
  <c r="D29" i="4"/>
  <c r="C30" i="4"/>
  <c r="E33" i="4"/>
  <c r="F104" i="4"/>
  <c r="F52" i="4"/>
  <c r="AA80" i="4"/>
  <c r="F51" i="4"/>
  <c r="F50" i="4"/>
  <c r="F53" i="4"/>
  <c r="E37" i="4"/>
  <c r="E39" i="4"/>
  <c r="AF79" i="4"/>
  <c r="CD79" i="4"/>
  <c r="E36" i="4"/>
  <c r="E35" i="4"/>
  <c r="D36" i="4"/>
  <c r="CG73" i="4"/>
  <c r="CD84" i="4"/>
  <c r="CD82" i="4"/>
  <c r="AF83" i="4"/>
  <c r="AF82" i="4"/>
  <c r="AF81" i="4"/>
  <c r="AF80" i="4"/>
  <c r="CD81" i="4"/>
  <c r="CD73" i="4"/>
  <c r="AD28" i="4"/>
  <c r="AA13" i="4"/>
  <c r="BB13" i="4"/>
  <c r="AE73" i="4"/>
  <c r="AE85" i="4" s="1"/>
  <c r="CJ80" i="4"/>
  <c r="BA13" i="4"/>
  <c r="CC73" i="4"/>
  <c r="CF80" i="4"/>
  <c r="CG13" i="4"/>
  <c r="C66" i="4"/>
  <c r="BA20" i="4"/>
  <c r="D39" i="4"/>
  <c r="E31" i="4"/>
  <c r="CO80" i="4"/>
  <c r="E63" i="4"/>
  <c r="AY20" i="4"/>
  <c r="CJ28" i="4"/>
  <c r="BG28" i="4"/>
  <c r="AB13" i="4"/>
  <c r="CH20" i="4"/>
  <c r="CL20" i="4"/>
  <c r="Z28" i="4"/>
  <c r="AB28" i="4"/>
  <c r="U13" i="4"/>
  <c r="W13" i="4"/>
  <c r="CI80" i="4"/>
  <c r="CE13" i="4"/>
  <c r="CE28" i="4"/>
  <c r="CN28" i="4"/>
  <c r="CO28" i="4"/>
  <c r="CC28" i="4"/>
  <c r="CL13" i="4"/>
  <c r="CM13" i="4"/>
  <c r="BC13" i="4"/>
  <c r="BK13" i="4"/>
  <c r="AY13" i="4"/>
  <c r="CF20" i="4"/>
  <c r="BD13" i="4"/>
  <c r="AC13" i="4"/>
  <c r="E64" i="4"/>
  <c r="BI20" i="4"/>
  <c r="AE28" i="4"/>
  <c r="S28" i="4"/>
  <c r="CH80" i="4"/>
  <c r="CF28" i="4"/>
  <c r="CG28" i="4"/>
  <c r="CO20" i="4"/>
  <c r="CC20" i="4"/>
  <c r="BJ28" i="4"/>
  <c r="AX28" i="4"/>
  <c r="BK20" i="4"/>
  <c r="X28" i="4"/>
  <c r="AF28" i="4"/>
  <c r="T28" i="4"/>
  <c r="F17" i="4"/>
  <c r="F31" i="4" s="1"/>
  <c r="C37" i="4"/>
  <c r="E30" i="4"/>
  <c r="C63" i="4"/>
  <c r="CN20" i="4"/>
  <c r="BB20" i="4"/>
  <c r="AA28" i="4"/>
  <c r="AC80" i="4"/>
  <c r="F16" i="4"/>
  <c r="F30" i="4" s="1"/>
  <c r="C36" i="4"/>
  <c r="D30" i="4"/>
  <c r="CL73" i="4"/>
  <c r="CD28" i="4"/>
  <c r="AB80" i="4"/>
  <c r="C35" i="4"/>
  <c r="D64" i="4"/>
  <c r="BG20" i="4"/>
  <c r="Z13" i="4"/>
  <c r="E38" i="4"/>
  <c r="CJ20" i="4"/>
  <c r="CC13" i="4"/>
  <c r="BE28" i="4"/>
  <c r="S13" i="4"/>
  <c r="Y13" i="4"/>
  <c r="D38" i="4"/>
  <c r="CI20" i="4"/>
  <c r="S20" i="4"/>
  <c r="Y20" i="4"/>
  <c r="T13" i="4"/>
  <c r="V13" i="4"/>
  <c r="X13" i="4"/>
  <c r="D37" i="4"/>
  <c r="E65" i="4"/>
  <c r="CL28" i="4"/>
  <c r="BI28" i="4"/>
  <c r="BK28" i="4"/>
  <c r="AY28" i="4"/>
  <c r="BA28" i="4"/>
  <c r="BC28" i="4"/>
  <c r="Y28" i="4"/>
  <c r="AE13" i="4"/>
  <c r="CK28" i="4"/>
  <c r="CD13" i="4"/>
  <c r="D65" i="4"/>
  <c r="AE20" i="4"/>
  <c r="AD13" i="4"/>
  <c r="AF13" i="4"/>
  <c r="U28" i="4"/>
  <c r="W28" i="4"/>
  <c r="Z20" i="4"/>
  <c r="V20" i="4"/>
  <c r="D35" i="4"/>
  <c r="CD20" i="4"/>
  <c r="CE20" i="4"/>
  <c r="CN13" i="4"/>
  <c r="AZ28" i="4"/>
  <c r="V28" i="4"/>
  <c r="AC20" i="4"/>
  <c r="F19" i="4"/>
  <c r="F33" i="4" s="1"/>
  <c r="C39" i="4"/>
  <c r="CH28" i="4"/>
  <c r="AZ20" i="4"/>
  <c r="AC28" i="4"/>
  <c r="X20" i="4"/>
  <c r="AB20" i="4"/>
  <c r="AD20" i="4"/>
  <c r="AF20" i="4"/>
  <c r="T20" i="4"/>
  <c r="F18" i="4"/>
  <c r="F32" i="4" s="1"/>
  <c r="C38" i="4"/>
  <c r="CK80" i="4"/>
  <c r="CN73" i="4"/>
  <c r="CK20" i="4"/>
  <c r="U20" i="4"/>
  <c r="W20" i="4"/>
  <c r="E29" i="4"/>
  <c r="CM73" i="4"/>
  <c r="CH13" i="4"/>
  <c r="CI13" i="4"/>
  <c r="BC20" i="4"/>
  <c r="BE20" i="4"/>
  <c r="BE13" i="4"/>
  <c r="BG13" i="4"/>
  <c r="BI13" i="4"/>
  <c r="CF13" i="4"/>
  <c r="CG20" i="4"/>
  <c r="CI28" i="4"/>
  <c r="CO13" i="4"/>
  <c r="F15" i="4"/>
  <c r="F29" i="4" s="1"/>
  <c r="AF73" i="4"/>
  <c r="AF85" i="4" s="1"/>
  <c r="AD73" i="4"/>
  <c r="AD85" i="4" s="1"/>
  <c r="CM28" i="4"/>
  <c r="BB28" i="4"/>
  <c r="BD28" i="4"/>
  <c r="BF28" i="4"/>
  <c r="BH28" i="4"/>
  <c r="CM20" i="4"/>
  <c r="BD20" i="4"/>
  <c r="BJ20" i="4"/>
  <c r="AX20" i="4"/>
  <c r="BF13" i="4"/>
  <c r="BH13" i="4"/>
  <c r="BJ13" i="4"/>
  <c r="AX13" i="4"/>
  <c r="AZ13" i="4"/>
  <c r="CJ13" i="4"/>
  <c r="CK13" i="4"/>
  <c r="Z80" i="4"/>
  <c r="C65" i="4"/>
  <c r="C64" i="4"/>
  <c r="BH20" i="4"/>
  <c r="BF20" i="4"/>
  <c r="D66" i="4"/>
  <c r="E66" i="4"/>
  <c r="A3" i="12"/>
  <c r="B6" i="7"/>
  <c r="F6" i="7" s="1"/>
  <c r="B7" i="7"/>
  <c r="B8" i="7"/>
  <c r="B9" i="7"/>
  <c r="B10" i="7"/>
  <c r="B11" i="7"/>
  <c r="B12" i="7"/>
  <c r="B13" i="7"/>
  <c r="B14" i="7"/>
  <c r="B15" i="7"/>
  <c r="B16" i="7"/>
  <c r="B17" i="7"/>
  <c r="B18" i="7"/>
  <c r="H18" i="12" s="1"/>
  <c r="BH18" i="12" s="1"/>
  <c r="B19" i="7"/>
  <c r="H19" i="12" s="1"/>
  <c r="BH19" i="12" s="1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6" i="12"/>
  <c r="Z10" i="6"/>
  <c r="AA10" i="6"/>
  <c r="Z11" i="6"/>
  <c r="AA11" i="6"/>
  <c r="Z12" i="6"/>
  <c r="AA12" i="6"/>
  <c r="Z13" i="6"/>
  <c r="AA13" i="6"/>
  <c r="Z14" i="6"/>
  <c r="AA14" i="6"/>
  <c r="Z15" i="6"/>
  <c r="AA15" i="6"/>
  <c r="Z16" i="6"/>
  <c r="AA16" i="6"/>
  <c r="Z17" i="6"/>
  <c r="AA17" i="6"/>
  <c r="Z18" i="6"/>
  <c r="AA18" i="6"/>
  <c r="Z19" i="6"/>
  <c r="AA19" i="6"/>
  <c r="Z20" i="6"/>
  <c r="AA20" i="6"/>
  <c r="Z21" i="6"/>
  <c r="AA21" i="6"/>
  <c r="AA9" i="6"/>
  <c r="Z9" i="6"/>
  <c r="Y21" i="6"/>
  <c r="X21" i="6"/>
  <c r="W21" i="6"/>
  <c r="V21" i="6"/>
  <c r="Y20" i="6"/>
  <c r="X20" i="6"/>
  <c r="W20" i="6"/>
  <c r="V20" i="6"/>
  <c r="Y19" i="6"/>
  <c r="X19" i="6"/>
  <c r="W19" i="6"/>
  <c r="V19" i="6"/>
  <c r="Y18" i="6"/>
  <c r="X18" i="6"/>
  <c r="W18" i="6"/>
  <c r="V18" i="6"/>
  <c r="Y17" i="6"/>
  <c r="X17" i="6"/>
  <c r="W17" i="6"/>
  <c r="V17" i="6"/>
  <c r="Y16" i="6"/>
  <c r="X16" i="6"/>
  <c r="W16" i="6"/>
  <c r="V16" i="6"/>
  <c r="Y15" i="6"/>
  <c r="X15" i="6"/>
  <c r="W15" i="6"/>
  <c r="V15" i="6"/>
  <c r="Y14" i="6"/>
  <c r="X14" i="6"/>
  <c r="W14" i="6"/>
  <c r="V14" i="6"/>
  <c r="Y13" i="6"/>
  <c r="X13" i="6"/>
  <c r="W13" i="6"/>
  <c r="V13" i="6"/>
  <c r="Y12" i="6"/>
  <c r="X12" i="6"/>
  <c r="W12" i="6"/>
  <c r="V12" i="6"/>
  <c r="Y11" i="6"/>
  <c r="X11" i="6"/>
  <c r="W11" i="6"/>
  <c r="V11" i="6"/>
  <c r="Y10" i="6"/>
  <c r="X10" i="6"/>
  <c r="W10" i="6"/>
  <c r="V10" i="6"/>
  <c r="Y9" i="6"/>
  <c r="X9" i="6"/>
  <c r="W9" i="6"/>
  <c r="V9" i="6"/>
  <c r="F105" i="4" l="1"/>
  <c r="D63" i="4"/>
  <c r="E62" i="4"/>
  <c r="D62" i="4"/>
  <c r="BI19" i="12"/>
  <c r="BJ19" i="12"/>
  <c r="BJ18" i="12"/>
  <c r="BI18" i="12"/>
  <c r="AO8" i="12"/>
  <c r="C6" i="12"/>
  <c r="AO31" i="12"/>
  <c r="AP29" i="12"/>
  <c r="AO28" i="12"/>
  <c r="AP26" i="12"/>
  <c r="AQ24" i="12"/>
  <c r="AP23" i="12"/>
  <c r="AQ21" i="12"/>
  <c r="AR19" i="12"/>
  <c r="AQ18" i="12"/>
  <c r="AR16" i="12"/>
  <c r="AN15" i="12"/>
  <c r="AR13" i="12"/>
  <c r="AN5" i="12"/>
  <c r="AN12" i="12"/>
  <c r="AO5" i="12"/>
  <c r="AO10" i="12"/>
  <c r="AO34" i="12"/>
  <c r="AN9" i="12"/>
  <c r="AN33" i="12"/>
  <c r="AS33" i="12" s="1"/>
  <c r="AO7" i="12"/>
  <c r="AO35" i="12"/>
  <c r="AQ31" i="12"/>
  <c r="AQ28" i="12"/>
  <c r="AQ25" i="12"/>
  <c r="AN22" i="12"/>
  <c r="AN19" i="12"/>
  <c r="AN16" i="12"/>
  <c r="AP12" i="12"/>
  <c r="AP9" i="12"/>
  <c r="AP34" i="12"/>
  <c r="AP31" i="12"/>
  <c r="AP28" i="12"/>
  <c r="AR24" i="12"/>
  <c r="AR21" i="12"/>
  <c r="AR18" i="12"/>
  <c r="AO15" i="12"/>
  <c r="AO12" i="12"/>
  <c r="AO9" i="12"/>
  <c r="AN6" i="12"/>
  <c r="AN34" i="12"/>
  <c r="AN31" i="12"/>
  <c r="AS31" i="12" s="1"/>
  <c r="AN28" i="12"/>
  <c r="AS28" i="12" s="1"/>
  <c r="AP24" i="12"/>
  <c r="AP21" i="12"/>
  <c r="AP18" i="12"/>
  <c r="AR14" i="12"/>
  <c r="AR11" i="12"/>
  <c r="AR8" i="12"/>
  <c r="AO6" i="12"/>
  <c r="AR33" i="12"/>
  <c r="AR30" i="12"/>
  <c r="AO27" i="12"/>
  <c r="AO24" i="12"/>
  <c r="AO21" i="12"/>
  <c r="AQ17" i="12"/>
  <c r="AQ14" i="12"/>
  <c r="AQ11" i="12"/>
  <c r="AN8" i="12"/>
  <c r="AR5" i="12"/>
  <c r="AQ33" i="12"/>
  <c r="AQ30" i="12"/>
  <c r="AN27" i="12"/>
  <c r="AN24" i="12"/>
  <c r="AN21" i="12"/>
  <c r="AP17" i="12"/>
  <c r="AP14" i="12"/>
  <c r="AP11" i="12"/>
  <c r="AR7" i="12"/>
  <c r="AQ5" i="12"/>
  <c r="AP33" i="12"/>
  <c r="AP30" i="12"/>
  <c r="AR26" i="12"/>
  <c r="AR23" i="12"/>
  <c r="AR20" i="12"/>
  <c r="AO17" i="12"/>
  <c r="AO14" i="12"/>
  <c r="AO11" i="12"/>
  <c r="AQ7" i="12"/>
  <c r="AP5" i="12"/>
  <c r="AO33" i="12"/>
  <c r="AQ29" i="12"/>
  <c r="AQ26" i="12"/>
  <c r="AQ23" i="12"/>
  <c r="AN20" i="12"/>
  <c r="AS20" i="12" s="1"/>
  <c r="AN17" i="12"/>
  <c r="AN14" i="12"/>
  <c r="AP10" i="12"/>
  <c r="AP7" i="12"/>
  <c r="AR35" i="12"/>
  <c r="AR32" i="12"/>
  <c r="AO29" i="12"/>
  <c r="AO26" i="12"/>
  <c r="AO23" i="12"/>
  <c r="AQ19" i="12"/>
  <c r="AQ16" i="12"/>
  <c r="AQ13" i="12"/>
  <c r="AN10" i="12"/>
  <c r="AN7" i="12"/>
  <c r="AQ35" i="12"/>
  <c r="AN32" i="12"/>
  <c r="AS32" i="12" s="1"/>
  <c r="AN29" i="12"/>
  <c r="AN26" i="12"/>
  <c r="AP22" i="12"/>
  <c r="AP19" i="12"/>
  <c r="AP16" i="12"/>
  <c r="AR12" i="12"/>
  <c r="AR9" i="12"/>
  <c r="AP35" i="12"/>
  <c r="AR31" i="12"/>
  <c r="AR28" i="12"/>
  <c r="AR25" i="12"/>
  <c r="AO22" i="12"/>
  <c r="AO19" i="12"/>
  <c r="AO16" i="12"/>
  <c r="AQ12" i="12"/>
  <c r="AQ9" i="12"/>
  <c r="AR6" i="12"/>
  <c r="AN35" i="12"/>
  <c r="AQ32" i="12"/>
  <c r="AO30" i="12"/>
  <c r="AR27" i="12"/>
  <c r="AP25" i="12"/>
  <c r="AN23" i="12"/>
  <c r="AQ20" i="12"/>
  <c r="AO18" i="12"/>
  <c r="AR15" i="12"/>
  <c r="AP13" i="12"/>
  <c r="AN11" i="12"/>
  <c r="AQ8" i="12"/>
  <c r="AQ6" i="12"/>
  <c r="AR34" i="12"/>
  <c r="AP32" i="12"/>
  <c r="AN30" i="12"/>
  <c r="AQ27" i="12"/>
  <c r="AO25" i="12"/>
  <c r="AR22" i="12"/>
  <c r="AP20" i="12"/>
  <c r="AN18" i="12"/>
  <c r="AQ15" i="12"/>
  <c r="AO13" i="12"/>
  <c r="AR10" i="12"/>
  <c r="AP8" i="12"/>
  <c r="AP6" i="12"/>
  <c r="AQ34" i="12"/>
  <c r="AO32" i="12"/>
  <c r="AR29" i="12"/>
  <c r="AP27" i="12"/>
  <c r="AN25" i="12"/>
  <c r="AQ22" i="12"/>
  <c r="AO20" i="12"/>
  <c r="AR17" i="12"/>
  <c r="AP15" i="12"/>
  <c r="AN13" i="12"/>
  <c r="AQ10" i="12"/>
  <c r="P22" i="8"/>
  <c r="P7" i="8"/>
  <c r="P23" i="8"/>
  <c r="P13" i="8"/>
  <c r="P19" i="8"/>
  <c r="P26" i="8"/>
  <c r="P6" i="8"/>
  <c r="P11" i="8"/>
  <c r="P51" i="8"/>
  <c r="P52" i="8"/>
  <c r="P55" i="8"/>
  <c r="P56" i="8"/>
  <c r="P18" i="8"/>
  <c r="P3" i="8"/>
  <c r="P8" i="8"/>
  <c r="P24" i="8"/>
  <c r="P10" i="8"/>
  <c r="P21" i="8"/>
  <c r="P25" i="8"/>
  <c r="P5" i="8"/>
  <c r="P17" i="8"/>
  <c r="P14" i="8"/>
  <c r="P2" i="8"/>
  <c r="P4" i="8"/>
  <c r="P9" i="8"/>
  <c r="P53" i="8"/>
  <c r="P20" i="8"/>
  <c r="P54" i="8"/>
  <c r="P15" i="8"/>
  <c r="P16" i="8"/>
  <c r="AS26" i="12" l="1"/>
  <c r="F38" i="4"/>
  <c r="AS25" i="12"/>
  <c r="AS27" i="12"/>
  <c r="F37" i="4"/>
  <c r="F36" i="4"/>
  <c r="F35" i="4"/>
  <c r="F39" i="4"/>
  <c r="AS9" i="12"/>
  <c r="AS12" i="12"/>
  <c r="AS5" i="12"/>
  <c r="AS15" i="12"/>
  <c r="AS18" i="12"/>
  <c r="AS21" i="12"/>
  <c r="AS17" i="12"/>
  <c r="AS7" i="12"/>
  <c r="AS10" i="12"/>
  <c r="AS11" i="12"/>
  <c r="AS6" i="12"/>
  <c r="AS16" i="12"/>
  <c r="AS8" i="12"/>
  <c r="AS13" i="12"/>
  <c r="AS35" i="12"/>
  <c r="AS14" i="12"/>
  <c r="AS22" i="12"/>
  <c r="AS23" i="12"/>
  <c r="AS24" i="12"/>
  <c r="AS29" i="12"/>
  <c r="AS19" i="12"/>
  <c r="AS34" i="12"/>
  <c r="AS30" i="12"/>
  <c r="G24" i="12" l="1"/>
  <c r="G26" i="12"/>
  <c r="P19" i="12"/>
  <c r="K23" i="12"/>
  <c r="AI23" i="12" s="1"/>
  <c r="L23" i="12"/>
  <c r="AJ23" i="12" s="1"/>
  <c r="E7" i="12"/>
  <c r="E22" i="12" l="1"/>
  <c r="AD23" i="12"/>
  <c r="AC23" i="12"/>
  <c r="F12" i="7"/>
  <c r="F13" i="7"/>
  <c r="F14" i="7"/>
  <c r="F17" i="7"/>
  <c r="F16" i="7"/>
  <c r="F19" i="7"/>
  <c r="F15" i="7"/>
  <c r="L20" i="12"/>
  <c r="AJ20" i="12" s="1"/>
  <c r="F23" i="12"/>
  <c r="R16" i="12"/>
  <c r="D22" i="12"/>
  <c r="Q16" i="12"/>
  <c r="G21" i="12"/>
  <c r="P16" i="12"/>
  <c r="U16" i="12" s="1"/>
  <c r="F18" i="12"/>
  <c r="R34" i="12"/>
  <c r="E18" i="12"/>
  <c r="F5" i="12"/>
  <c r="F15" i="12"/>
  <c r="D32" i="12"/>
  <c r="E15" i="12"/>
  <c r="D15" i="12"/>
  <c r="L29" i="12"/>
  <c r="AJ29" i="12" s="1"/>
  <c r="G31" i="12"/>
  <c r="F12" i="12"/>
  <c r="K29" i="12"/>
  <c r="AI29" i="12" s="1"/>
  <c r="F31" i="12"/>
  <c r="D12" i="12"/>
  <c r="R28" i="12"/>
  <c r="E31" i="12"/>
  <c r="E9" i="12"/>
  <c r="C32" i="12"/>
  <c r="Q28" i="12"/>
  <c r="D31" i="12"/>
  <c r="D9" i="12"/>
  <c r="C22" i="12"/>
  <c r="E12" i="12"/>
  <c r="M26" i="12"/>
  <c r="AK26" i="12" s="1"/>
  <c r="C30" i="12"/>
  <c r="F19" i="12"/>
  <c r="C12" i="12"/>
  <c r="Q25" i="12"/>
  <c r="C29" i="12"/>
  <c r="D19" i="12"/>
  <c r="G11" i="12"/>
  <c r="P25" i="12"/>
  <c r="M14" i="12"/>
  <c r="G28" i="12"/>
  <c r="C19" i="12"/>
  <c r="F10" i="12"/>
  <c r="S34" i="12"/>
  <c r="Q13" i="12"/>
  <c r="C28" i="12"/>
  <c r="G18" i="12"/>
  <c r="F9" i="12"/>
  <c r="G34" i="12"/>
  <c r="F25" i="12"/>
  <c r="C9" i="12"/>
  <c r="N32" i="12"/>
  <c r="AL32" i="12" s="1"/>
  <c r="Q22" i="12"/>
  <c r="F34" i="12"/>
  <c r="E25" i="12"/>
  <c r="C17" i="12"/>
  <c r="G8" i="12"/>
  <c r="R22" i="12"/>
  <c r="M32" i="12"/>
  <c r="AK32" i="12" s="1"/>
  <c r="P22" i="12"/>
  <c r="E34" i="12"/>
  <c r="D25" i="12"/>
  <c r="C16" i="12"/>
  <c r="F8" i="12"/>
  <c r="D18" i="12"/>
  <c r="Q31" i="12"/>
  <c r="D33" i="12"/>
  <c r="C25" i="12"/>
  <c r="G15" i="12"/>
  <c r="C23" i="12"/>
  <c r="P28" i="12"/>
  <c r="U28" i="12" s="1"/>
  <c r="E35" i="12"/>
  <c r="F28" i="12"/>
  <c r="F21" i="12"/>
  <c r="C15" i="12"/>
  <c r="E6" i="12"/>
  <c r="M35" i="12"/>
  <c r="AK35" i="12" s="1"/>
  <c r="T18" i="12"/>
  <c r="D35" i="12"/>
  <c r="E28" i="12"/>
  <c r="E21" i="12"/>
  <c r="G13" i="12"/>
  <c r="D6" i="12"/>
  <c r="T34" i="12"/>
  <c r="J17" i="12"/>
  <c r="AV17" i="12" s="1"/>
  <c r="C35" i="12"/>
  <c r="D28" i="12"/>
  <c r="D20" i="12"/>
  <c r="G12" i="12"/>
  <c r="D34" i="12"/>
  <c r="C31" i="12"/>
  <c r="G27" i="12"/>
  <c r="F24" i="12"/>
  <c r="D21" i="12"/>
  <c r="C18" i="12"/>
  <c r="G14" i="12"/>
  <c r="F11" i="12"/>
  <c r="E8" i="12"/>
  <c r="L14" i="12"/>
  <c r="C34" i="12"/>
  <c r="G30" i="12"/>
  <c r="F27" i="12"/>
  <c r="E24" i="12"/>
  <c r="C21" i="12"/>
  <c r="G17" i="12"/>
  <c r="F14" i="12"/>
  <c r="E11" i="12"/>
  <c r="D8" i="12"/>
  <c r="L32" i="12"/>
  <c r="AJ32" i="12" s="1"/>
  <c r="L26" i="12"/>
  <c r="AJ26" i="12" s="1"/>
  <c r="K20" i="12"/>
  <c r="AI20" i="12" s="1"/>
  <c r="K14" i="12"/>
  <c r="G33" i="12"/>
  <c r="F30" i="12"/>
  <c r="E27" i="12"/>
  <c r="D24" i="12"/>
  <c r="G20" i="12"/>
  <c r="F17" i="12"/>
  <c r="E14" i="12"/>
  <c r="D11" i="12"/>
  <c r="C8" i="12"/>
  <c r="S31" i="12"/>
  <c r="K26" i="12"/>
  <c r="AI26" i="12" s="1"/>
  <c r="J20" i="12"/>
  <c r="AH20" i="12" s="1"/>
  <c r="S13" i="12"/>
  <c r="C5" i="12"/>
  <c r="F33" i="12"/>
  <c r="E30" i="12"/>
  <c r="D27" i="12"/>
  <c r="C24" i="12"/>
  <c r="F20" i="12"/>
  <c r="E17" i="12"/>
  <c r="D14" i="12"/>
  <c r="C11" i="12"/>
  <c r="G7" i="12"/>
  <c r="R31" i="12"/>
  <c r="R25" i="12"/>
  <c r="Q19" i="12"/>
  <c r="R13" i="12"/>
  <c r="G5" i="12"/>
  <c r="E33" i="12"/>
  <c r="D30" i="12"/>
  <c r="C27" i="12"/>
  <c r="G23" i="12"/>
  <c r="E20" i="12"/>
  <c r="D17" i="12"/>
  <c r="C14" i="12"/>
  <c r="G10" i="12"/>
  <c r="F7" i="12"/>
  <c r="E5" i="12"/>
  <c r="C33" i="12"/>
  <c r="G29" i="12"/>
  <c r="F26" i="12"/>
  <c r="E23" i="12"/>
  <c r="C20" i="12"/>
  <c r="G16" i="12"/>
  <c r="F13" i="12"/>
  <c r="E10" i="12"/>
  <c r="D7" i="12"/>
  <c r="D5" i="12"/>
  <c r="G32" i="12"/>
  <c r="F29" i="12"/>
  <c r="E26" i="12"/>
  <c r="D23" i="12"/>
  <c r="G19" i="12"/>
  <c r="F16" i="12"/>
  <c r="E13" i="12"/>
  <c r="D10" i="12"/>
  <c r="C7" i="12"/>
  <c r="L17" i="12"/>
  <c r="AX17" i="12" s="1"/>
  <c r="G35" i="12"/>
  <c r="F32" i="12"/>
  <c r="E29" i="12"/>
  <c r="D26" i="12"/>
  <c r="G22" i="12"/>
  <c r="E16" i="12"/>
  <c r="D13" i="12"/>
  <c r="C10" i="12"/>
  <c r="G6" i="12"/>
  <c r="N35" i="12"/>
  <c r="AL35" i="12" s="1"/>
  <c r="M29" i="12"/>
  <c r="AK29" i="12" s="1"/>
  <c r="M23" i="12"/>
  <c r="AK23" i="12" s="1"/>
  <c r="K17" i="12"/>
  <c r="AW17" i="12" s="1"/>
  <c r="F35" i="12"/>
  <c r="E32" i="12"/>
  <c r="D29" i="12"/>
  <c r="C26" i="12"/>
  <c r="F22" i="12"/>
  <c r="E19" i="12"/>
  <c r="D16" i="12"/>
  <c r="C13" i="12"/>
  <c r="G9" i="12"/>
  <c r="F6" i="12"/>
  <c r="K32" i="12"/>
  <c r="AI32" i="12" s="1"/>
  <c r="T21" i="12"/>
  <c r="S24" i="12"/>
  <c r="N31" i="12"/>
  <c r="AL31" i="12" s="1"/>
  <c r="R24" i="12"/>
  <c r="M16" i="12"/>
  <c r="AY16" i="12" s="1"/>
  <c r="Q24" i="12"/>
  <c r="M34" i="12"/>
  <c r="AK34" i="12" s="1"/>
  <c r="R33" i="12"/>
  <c r="L31" i="12"/>
  <c r="AJ31" i="12" s="1"/>
  <c r="Q30" i="12"/>
  <c r="K28" i="12"/>
  <c r="AI28" i="12" s="1"/>
  <c r="P27" i="12"/>
  <c r="K25" i="12"/>
  <c r="AI25" i="12" s="1"/>
  <c r="P24" i="12"/>
  <c r="K22" i="12"/>
  <c r="AI22" i="12" s="1"/>
  <c r="P21" i="12"/>
  <c r="J19" i="12"/>
  <c r="AH19" i="12" s="1"/>
  <c r="K16" i="12"/>
  <c r="AW16" i="12" s="1"/>
  <c r="P15" i="12"/>
  <c r="U15" i="12" s="1"/>
  <c r="L13" i="12"/>
  <c r="AX13" i="12" s="1"/>
  <c r="Q12" i="12"/>
  <c r="Q34" i="12"/>
  <c r="P31" i="12"/>
  <c r="U31" i="12" s="1"/>
  <c r="T27" i="12"/>
  <c r="N28" i="12"/>
  <c r="AL28" i="12" s="1"/>
  <c r="N25" i="12"/>
  <c r="AL25" i="12" s="1"/>
  <c r="N22" i="12"/>
  <c r="AL22" i="12" s="1"/>
  <c r="R18" i="12"/>
  <c r="S30" i="12"/>
  <c r="M25" i="12"/>
  <c r="AK25" i="12" s="1"/>
  <c r="Q18" i="12"/>
  <c r="N13" i="12"/>
  <c r="AZ13" i="12" s="1"/>
  <c r="S33" i="12"/>
  <c r="L28" i="12"/>
  <c r="AJ28" i="12" s="1"/>
  <c r="P18" i="12"/>
  <c r="M13" i="12"/>
  <c r="AY13" i="12" s="1"/>
  <c r="L34" i="12"/>
  <c r="Q33" i="12"/>
  <c r="K31" i="12"/>
  <c r="AI31" i="12" s="1"/>
  <c r="P30" i="12"/>
  <c r="J28" i="12"/>
  <c r="AH28" i="12" s="1"/>
  <c r="J25" i="12"/>
  <c r="AH25" i="12" s="1"/>
  <c r="J22" i="12"/>
  <c r="AH22" i="12" s="1"/>
  <c r="T20" i="12"/>
  <c r="N18" i="12"/>
  <c r="AL18" i="12" s="1"/>
  <c r="T17" i="12"/>
  <c r="J16" i="12"/>
  <c r="AV16" i="12" s="1"/>
  <c r="K13" i="12"/>
  <c r="AW13" i="12" s="1"/>
  <c r="P12" i="12"/>
  <c r="U12" i="12" s="1"/>
  <c r="J26" i="12"/>
  <c r="AH26" i="12" s="1"/>
  <c r="T15" i="12"/>
  <c r="P34" i="12"/>
  <c r="N16" i="12"/>
  <c r="AZ16" i="12" s="1"/>
  <c r="T33" i="12"/>
  <c r="R27" i="12"/>
  <c r="R21" i="12"/>
  <c r="N34" i="12"/>
  <c r="AL34" i="12" s="1"/>
  <c r="K19" i="12"/>
  <c r="AI19" i="12" s="1"/>
  <c r="R12" i="12"/>
  <c r="K34" i="12"/>
  <c r="AI34" i="12" s="1"/>
  <c r="P33" i="12"/>
  <c r="U33" i="12" s="1"/>
  <c r="J31" i="12"/>
  <c r="AH31" i="12" s="1"/>
  <c r="T29" i="12"/>
  <c r="N27" i="12"/>
  <c r="AL27" i="12" s="1"/>
  <c r="T26" i="12"/>
  <c r="N24" i="12"/>
  <c r="AL24" i="12" s="1"/>
  <c r="T23" i="12"/>
  <c r="N21" i="12"/>
  <c r="AL21" i="12" s="1"/>
  <c r="S20" i="12"/>
  <c r="M18" i="12"/>
  <c r="AK18" i="12" s="1"/>
  <c r="S17" i="12"/>
  <c r="N15" i="12"/>
  <c r="AZ15" i="12" s="1"/>
  <c r="T14" i="12"/>
  <c r="J13" i="12"/>
  <c r="AV13" i="12" s="1"/>
  <c r="J29" i="12"/>
  <c r="AH29" i="12" s="1"/>
  <c r="J23" i="12"/>
  <c r="AH23" i="12" s="1"/>
  <c r="P13" i="12"/>
  <c r="U13" i="12" s="1"/>
  <c r="M19" i="12"/>
  <c r="AK19" i="12" s="1"/>
  <c r="S15" i="12"/>
  <c r="J35" i="12"/>
  <c r="AH35" i="12" s="1"/>
  <c r="M22" i="12"/>
  <c r="AK22" i="12" s="1"/>
  <c r="R15" i="12"/>
  <c r="J34" i="12"/>
  <c r="AH34" i="12" s="1"/>
  <c r="T32" i="12"/>
  <c r="N30" i="12"/>
  <c r="AL30" i="12" s="1"/>
  <c r="S29" i="12"/>
  <c r="M27" i="12"/>
  <c r="AK27" i="12" s="1"/>
  <c r="S26" i="12"/>
  <c r="M24" i="12"/>
  <c r="AK24" i="12" s="1"/>
  <c r="S23" i="12"/>
  <c r="M21" i="12"/>
  <c r="AK21" i="12" s="1"/>
  <c r="R20" i="12"/>
  <c r="L18" i="12"/>
  <c r="AJ18" i="12" s="1"/>
  <c r="R17" i="12"/>
  <c r="M15" i="12"/>
  <c r="AY15" i="12" s="1"/>
  <c r="S14" i="12"/>
  <c r="N12" i="12"/>
  <c r="AZ12" i="12" s="1"/>
  <c r="L35" i="12"/>
  <c r="AJ35" i="12" s="1"/>
  <c r="S18" i="12"/>
  <c r="J14" i="12"/>
  <c r="J32" i="12"/>
  <c r="AH32" i="12" s="1"/>
  <c r="S27" i="12"/>
  <c r="T12" i="12"/>
  <c r="S12" i="12"/>
  <c r="Q21" i="12"/>
  <c r="L16" i="12"/>
  <c r="AX16" i="12" s="1"/>
  <c r="T35" i="12"/>
  <c r="N33" i="12"/>
  <c r="AL33" i="12" s="1"/>
  <c r="S32" i="12"/>
  <c r="M30" i="12"/>
  <c r="AK30" i="12" s="1"/>
  <c r="R29" i="12"/>
  <c r="L27" i="12"/>
  <c r="AJ27" i="12" s="1"/>
  <c r="R26" i="12"/>
  <c r="L24" i="12"/>
  <c r="AJ24" i="12" s="1"/>
  <c r="R23" i="12"/>
  <c r="X23" i="12" s="1"/>
  <c r="L21" i="12"/>
  <c r="AJ21" i="12" s="1"/>
  <c r="Q20" i="12"/>
  <c r="K18" i="12"/>
  <c r="AI18" i="12" s="1"/>
  <c r="Q17" i="12"/>
  <c r="L15" i="12"/>
  <c r="AX15" i="12" s="1"/>
  <c r="R14" i="12"/>
  <c r="M12" i="12"/>
  <c r="AY12" i="12" s="1"/>
  <c r="T24" i="12"/>
  <c r="N19" i="12"/>
  <c r="AL19" i="12" s="1"/>
  <c r="K35" i="12"/>
  <c r="AI35" i="12" s="1"/>
  <c r="S21" i="12"/>
  <c r="M28" i="12"/>
  <c r="AK28" i="12" s="1"/>
  <c r="L19" i="12"/>
  <c r="AJ19" i="12" s="1"/>
  <c r="Q27" i="12"/>
  <c r="L22" i="12"/>
  <c r="AJ22" i="12" s="1"/>
  <c r="Q15" i="12"/>
  <c r="S35" i="12"/>
  <c r="M33" i="12"/>
  <c r="AK33" i="12" s="1"/>
  <c r="R32" i="12"/>
  <c r="L30" i="12"/>
  <c r="AJ30" i="12" s="1"/>
  <c r="Q29" i="12"/>
  <c r="K27" i="12"/>
  <c r="AI27" i="12" s="1"/>
  <c r="Q26" i="12"/>
  <c r="K24" i="12"/>
  <c r="AI24" i="12" s="1"/>
  <c r="Q23" i="12"/>
  <c r="W23" i="12" s="1"/>
  <c r="K21" i="12"/>
  <c r="AI21" i="12" s="1"/>
  <c r="P20" i="12"/>
  <c r="U20" i="12" s="1"/>
  <c r="J18" i="12"/>
  <c r="AH18" i="12" s="1"/>
  <c r="P17" i="12"/>
  <c r="U17" i="12" s="1"/>
  <c r="K15" i="12"/>
  <c r="AW15" i="12" s="1"/>
  <c r="Q14" i="12"/>
  <c r="L12" i="12"/>
  <c r="AX12" i="12" s="1"/>
  <c r="T30" i="12"/>
  <c r="R30" i="12"/>
  <c r="L25" i="12"/>
  <c r="AJ25" i="12" s="1"/>
  <c r="R35" i="12"/>
  <c r="L33" i="12"/>
  <c r="AJ33" i="12" s="1"/>
  <c r="Q32" i="12"/>
  <c r="K30" i="12"/>
  <c r="AI30" i="12" s="1"/>
  <c r="P29" i="12"/>
  <c r="J27" i="12"/>
  <c r="AH27" i="12" s="1"/>
  <c r="P26" i="12"/>
  <c r="J24" i="12"/>
  <c r="AH24" i="12" s="1"/>
  <c r="P23" i="12"/>
  <c r="J21" i="12"/>
  <c r="AH21" i="12" s="1"/>
  <c r="T19" i="12"/>
  <c r="J15" i="12"/>
  <c r="AV15" i="12" s="1"/>
  <c r="P14" i="12"/>
  <c r="U14" i="12" s="1"/>
  <c r="K12" i="12"/>
  <c r="AW12" i="12" s="1"/>
  <c r="M31" i="12"/>
  <c r="AK31" i="12" s="1"/>
  <c r="Q35" i="12"/>
  <c r="K33" i="12"/>
  <c r="AI33" i="12" s="1"/>
  <c r="P32" i="12"/>
  <c r="U32" i="12" s="1"/>
  <c r="J30" i="12"/>
  <c r="AH30" i="12" s="1"/>
  <c r="T28" i="12"/>
  <c r="T25" i="12"/>
  <c r="T22" i="12"/>
  <c r="N20" i="12"/>
  <c r="AL20" i="12" s="1"/>
  <c r="S19" i="12"/>
  <c r="N17" i="12"/>
  <c r="AZ17" i="12" s="1"/>
  <c r="T16" i="12"/>
  <c r="J12" i="12"/>
  <c r="AV12" i="12" s="1"/>
  <c r="P35" i="12"/>
  <c r="J33" i="12"/>
  <c r="AH33" i="12" s="1"/>
  <c r="T31" i="12"/>
  <c r="N29" i="12"/>
  <c r="AL29" i="12" s="1"/>
  <c r="S28" i="12"/>
  <c r="N26" i="12"/>
  <c r="AL26" i="12" s="1"/>
  <c r="S25" i="12"/>
  <c r="N23" i="12"/>
  <c r="AL23" i="12" s="1"/>
  <c r="S22" i="12"/>
  <c r="M20" i="12"/>
  <c r="AK20" i="12" s="1"/>
  <c r="R19" i="12"/>
  <c r="M17" i="12"/>
  <c r="AY17" i="12" s="1"/>
  <c r="S16" i="12"/>
  <c r="N14" i="12"/>
  <c r="T13" i="12"/>
  <c r="W29" i="12" l="1"/>
  <c r="X29" i="12"/>
  <c r="Y35" i="12"/>
  <c r="U27" i="12"/>
  <c r="U26" i="12"/>
  <c r="U25" i="12"/>
  <c r="H34" i="12"/>
  <c r="H8" i="12"/>
  <c r="I8" i="12" s="1"/>
  <c r="H25" i="12"/>
  <c r="F40" i="4"/>
  <c r="H15" i="12"/>
  <c r="I15" i="12" s="1"/>
  <c r="H21" i="12"/>
  <c r="H31" i="12"/>
  <c r="I31" i="12" s="1"/>
  <c r="H7" i="12"/>
  <c r="I7" i="12" s="1"/>
  <c r="H11" i="12"/>
  <c r="I11" i="12" s="1"/>
  <c r="H26" i="12"/>
  <c r="H20" i="12"/>
  <c r="I20" i="12" s="1"/>
  <c r="H32" i="12"/>
  <c r="I32" i="12" s="1"/>
  <c r="H17" i="12"/>
  <c r="I17" i="12" s="1"/>
  <c r="H33" i="12"/>
  <c r="I33" i="12" s="1"/>
  <c r="H35" i="12"/>
  <c r="H23" i="12"/>
  <c r="BI34" i="12"/>
  <c r="BH34" i="12"/>
  <c r="BJ34" i="12"/>
  <c r="H29" i="12"/>
  <c r="H14" i="12"/>
  <c r="I14" i="12" s="1"/>
  <c r="H6" i="12"/>
  <c r="BH6" i="12" s="1"/>
  <c r="H9" i="12"/>
  <c r="I9" i="12" s="1"/>
  <c r="H10" i="12"/>
  <c r="I10" i="12" s="1"/>
  <c r="H24" i="12"/>
  <c r="H12" i="12"/>
  <c r="I12" i="12" s="1"/>
  <c r="H30" i="12"/>
  <c r="H13" i="12"/>
  <c r="I13" i="12" s="1"/>
  <c r="H27" i="12"/>
  <c r="H16" i="12"/>
  <c r="I16" i="12" s="1"/>
  <c r="H5" i="12"/>
  <c r="H28" i="12"/>
  <c r="I28" i="12" s="1"/>
  <c r="H22" i="12"/>
  <c r="AL16" i="12"/>
  <c r="AJ34" i="12"/>
  <c r="X34" i="12"/>
  <c r="AK16" i="12"/>
  <c r="AJ17" i="12"/>
  <c r="AH14" i="12"/>
  <c r="BA14" i="12"/>
  <c r="AK13" i="12"/>
  <c r="AJ13" i="12"/>
  <c r="AI16" i="12"/>
  <c r="AI17" i="12"/>
  <c r="AK14" i="12"/>
  <c r="AI12" i="12"/>
  <c r="AJ12" i="12"/>
  <c r="AH15" i="12"/>
  <c r="BA15" i="12"/>
  <c r="AH12" i="12"/>
  <c r="BA12" i="12"/>
  <c r="Q12" i="5" s="1"/>
  <c r="AI15" i="12"/>
  <c r="AI13" i="12"/>
  <c r="AL13" i="12"/>
  <c r="AL14" i="12"/>
  <c r="AL17" i="12"/>
  <c r="AK15" i="12"/>
  <c r="AH16" i="12"/>
  <c r="BA16" i="12"/>
  <c r="AH17" i="12"/>
  <c r="BA17" i="12"/>
  <c r="Q14" i="5" s="1"/>
  <c r="F11" i="9" s="1"/>
  <c r="AJ14" i="12"/>
  <c r="AL12" i="12"/>
  <c r="AK17" i="12"/>
  <c r="AI14" i="12"/>
  <c r="AK12" i="12"/>
  <c r="AJ16" i="12"/>
  <c r="AH13" i="12"/>
  <c r="BA13" i="12"/>
  <c r="AJ15" i="12"/>
  <c r="AL15" i="12"/>
  <c r="U23" i="12"/>
  <c r="U34" i="12"/>
  <c r="X33" i="12"/>
  <c r="AD33" i="12"/>
  <c r="X16" i="12"/>
  <c r="AD16" i="12"/>
  <c r="Z12" i="12"/>
  <c r="AF12" i="12"/>
  <c r="AE24" i="12"/>
  <c r="AB35" i="12"/>
  <c r="W34" i="12"/>
  <c r="AC34" i="12"/>
  <c r="AB26" i="12"/>
  <c r="W31" i="12"/>
  <c r="AC31" i="12"/>
  <c r="O17" i="12"/>
  <c r="AB17" i="12"/>
  <c r="AB33" i="12"/>
  <c r="Y20" i="12"/>
  <c r="AE20" i="12"/>
  <c r="W33" i="12"/>
  <c r="AC33" i="12"/>
  <c r="AB27" i="12"/>
  <c r="W24" i="12"/>
  <c r="AC24" i="12"/>
  <c r="Y12" i="12"/>
  <c r="AE12" i="12"/>
  <c r="AD24" i="12"/>
  <c r="Y18" i="12"/>
  <c r="AE18" i="12"/>
  <c r="X13" i="12"/>
  <c r="AD13" i="12"/>
  <c r="X31" i="12"/>
  <c r="AD31" i="12"/>
  <c r="W32" i="12"/>
  <c r="AC32" i="12"/>
  <c r="W15" i="12"/>
  <c r="AC15" i="12"/>
  <c r="Z26" i="12"/>
  <c r="AF26" i="12"/>
  <c r="Z20" i="12"/>
  <c r="AF20" i="12"/>
  <c r="AB15" i="12"/>
  <c r="AB12" i="12"/>
  <c r="Y19" i="12"/>
  <c r="AE19" i="12"/>
  <c r="Y25" i="12"/>
  <c r="AE25" i="12"/>
  <c r="Z14" i="12"/>
  <c r="AF14" i="12"/>
  <c r="Y27" i="12"/>
  <c r="AE27" i="12"/>
  <c r="W19" i="12"/>
  <c r="AC19" i="12"/>
  <c r="W13" i="12"/>
  <c r="AC13" i="12"/>
  <c r="AD34" i="12"/>
  <c r="W16" i="12"/>
  <c r="AC16" i="12"/>
  <c r="X20" i="12"/>
  <c r="AD20" i="12"/>
  <c r="Y31" i="12"/>
  <c r="AE31" i="12"/>
  <c r="W27" i="12"/>
  <c r="AC27" i="12"/>
  <c r="X15" i="12"/>
  <c r="AD15" i="12"/>
  <c r="X27" i="12"/>
  <c r="AD27" i="12"/>
  <c r="AF21" i="12"/>
  <c r="Z34" i="12"/>
  <c r="AF34" i="12"/>
  <c r="AB16" i="12"/>
  <c r="AB19" i="12"/>
  <c r="Y34" i="12"/>
  <c r="AE34" i="12"/>
  <c r="Z32" i="12"/>
  <c r="AF32" i="12"/>
  <c r="X22" i="12"/>
  <c r="AD22" i="12"/>
  <c r="W30" i="12"/>
  <c r="AC30" i="12"/>
  <c r="X12" i="12"/>
  <c r="AD12" i="12"/>
  <c r="Y15" i="12"/>
  <c r="AE15" i="12"/>
  <c r="Z23" i="12"/>
  <c r="AF23" i="12"/>
  <c r="Z17" i="12"/>
  <c r="AF17" i="12"/>
  <c r="W12" i="12"/>
  <c r="AC12" i="12"/>
  <c r="X19" i="12"/>
  <c r="AD19" i="12"/>
  <c r="Y13" i="12"/>
  <c r="AE13" i="12"/>
  <c r="W17" i="12"/>
  <c r="AC17" i="12"/>
  <c r="Y26" i="12"/>
  <c r="AE26" i="12"/>
  <c r="AC29" i="12"/>
  <c r="Y28" i="12"/>
  <c r="AE28" i="12"/>
  <c r="X18" i="12"/>
  <c r="AD18" i="12"/>
  <c r="AF30" i="12"/>
  <c r="AB23" i="12"/>
  <c r="AF24" i="12"/>
  <c r="Z18" i="12"/>
  <c r="AF18" i="12"/>
  <c r="AF22" i="12"/>
  <c r="W22" i="12"/>
  <c r="AC22" i="12"/>
  <c r="AE23" i="12"/>
  <c r="Y14" i="12"/>
  <c r="AE14" i="12"/>
  <c r="AD30" i="12"/>
  <c r="W18" i="12"/>
  <c r="AC18" i="12"/>
  <c r="AB29" i="12"/>
  <c r="Z25" i="12"/>
  <c r="AF25" i="12"/>
  <c r="Y16" i="12"/>
  <c r="AE16" i="12"/>
  <c r="AE29" i="12"/>
  <c r="X17" i="12"/>
  <c r="AD17" i="12"/>
  <c r="AB32" i="12"/>
  <c r="AB34" i="12"/>
  <c r="AB13" i="12"/>
  <c r="Z27" i="12"/>
  <c r="AF27" i="12"/>
  <c r="Z16" i="12"/>
  <c r="AF16" i="12"/>
  <c r="AB22" i="12"/>
  <c r="X28" i="12"/>
  <c r="AD28" i="12"/>
  <c r="Z28" i="12"/>
  <c r="AF28" i="12"/>
  <c r="W25" i="12"/>
  <c r="AC25" i="12"/>
  <c r="AF35" i="12"/>
  <c r="AB20" i="12"/>
  <c r="W14" i="12"/>
  <c r="AC14" i="12"/>
  <c r="AD29" i="12"/>
  <c r="AB18" i="12"/>
  <c r="AB21" i="12"/>
  <c r="AB14" i="12"/>
  <c r="AE21" i="12"/>
  <c r="AB25" i="12"/>
  <c r="W26" i="12"/>
  <c r="AC26" i="12"/>
  <c r="W20" i="12"/>
  <c r="AC20" i="12"/>
  <c r="X14" i="12"/>
  <c r="AD14" i="12"/>
  <c r="Y32" i="12"/>
  <c r="AE32" i="12"/>
  <c r="AC21" i="12"/>
  <c r="W35" i="12"/>
  <c r="AC35" i="12"/>
  <c r="AB31" i="12"/>
  <c r="AB28" i="12"/>
  <c r="Z13" i="12"/>
  <c r="AF13" i="12"/>
  <c r="W28" i="12"/>
  <c r="AC28" i="12"/>
  <c r="X26" i="12"/>
  <c r="AD26" i="12"/>
  <c r="AE35" i="12"/>
  <c r="AE30" i="12"/>
  <c r="Y17" i="12"/>
  <c r="AE17" i="12"/>
  <c r="Z29" i="12"/>
  <c r="AF29" i="12"/>
  <c r="Y33" i="12"/>
  <c r="AE33" i="12"/>
  <c r="AD21" i="12"/>
  <c r="Z33" i="12"/>
  <c r="AF33" i="12"/>
  <c r="Z15" i="12"/>
  <c r="AF15" i="12"/>
  <c r="Z31" i="12"/>
  <c r="AF31" i="12"/>
  <c r="AB30" i="12"/>
  <c r="AB24" i="12"/>
  <c r="X25" i="12"/>
  <c r="AD25" i="12"/>
  <c r="Z19" i="12"/>
  <c r="AF19" i="12"/>
  <c r="AD35" i="12"/>
  <c r="AE22" i="12"/>
  <c r="X32" i="12"/>
  <c r="AD32" i="12"/>
  <c r="X24" i="12"/>
  <c r="V17" i="12"/>
  <c r="U19" i="12"/>
  <c r="U22" i="12"/>
  <c r="Y24" i="12"/>
  <c r="U29" i="12"/>
  <c r="O18" i="12"/>
  <c r="V18" i="12"/>
  <c r="Y30" i="12"/>
  <c r="X35" i="12"/>
  <c r="O29" i="12"/>
  <c r="V29" i="12"/>
  <c r="V27" i="12"/>
  <c r="O27" i="12"/>
  <c r="O13" i="12"/>
  <c r="V13" i="12"/>
  <c r="O16" i="12"/>
  <c r="V16" i="12"/>
  <c r="Z30" i="12"/>
  <c r="O33" i="12"/>
  <c r="V33" i="12"/>
  <c r="U35" i="12"/>
  <c r="O34" i="12"/>
  <c r="V34" i="12"/>
  <c r="V22" i="12"/>
  <c r="O22" i="12"/>
  <c r="V19" i="12"/>
  <c r="O19" i="12"/>
  <c r="V12" i="12"/>
  <c r="O12" i="12"/>
  <c r="V25" i="12"/>
  <c r="O25" i="12"/>
  <c r="U21" i="12"/>
  <c r="V28" i="12"/>
  <c r="O28" i="12"/>
  <c r="V15" i="12"/>
  <c r="O15" i="12"/>
  <c r="Y22" i="12"/>
  <c r="U30" i="12"/>
  <c r="U24" i="12"/>
  <c r="O21" i="12"/>
  <c r="V35" i="12"/>
  <c r="O35" i="12"/>
  <c r="V20" i="12"/>
  <c r="O20" i="12"/>
  <c r="Z24" i="12"/>
  <c r="Z22" i="12"/>
  <c r="Y23" i="12"/>
  <c r="X30" i="12"/>
  <c r="O32" i="12"/>
  <c r="V32" i="12"/>
  <c r="V26" i="12"/>
  <c r="O26" i="12"/>
  <c r="Y29" i="12"/>
  <c r="O14" i="12"/>
  <c r="V14" i="12"/>
  <c r="Z35" i="12"/>
  <c r="V24" i="12"/>
  <c r="O24" i="12"/>
  <c r="O30" i="12"/>
  <c r="V30" i="12"/>
  <c r="V23" i="12"/>
  <c r="O23" i="12"/>
  <c r="V31" i="12"/>
  <c r="O31" i="12"/>
  <c r="U18" i="12"/>
  <c r="BJ6" i="12" l="1"/>
  <c r="BI6" i="12"/>
  <c r="I26" i="12"/>
  <c r="BH26" i="12"/>
  <c r="BI26" i="12"/>
  <c r="BJ26" i="12"/>
  <c r="I27" i="12"/>
  <c r="BI27" i="12"/>
  <c r="BJ27" i="12"/>
  <c r="BH27" i="12"/>
  <c r="I25" i="12"/>
  <c r="BJ25" i="12"/>
  <c r="BH25" i="12"/>
  <c r="BI25" i="12"/>
  <c r="I22" i="12"/>
  <c r="I29" i="12"/>
  <c r="I5" i="12"/>
  <c r="I19" i="12"/>
  <c r="I18" i="12"/>
  <c r="I23" i="12"/>
  <c r="I30" i="12"/>
  <c r="I35" i="12"/>
  <c r="I21" i="12"/>
  <c r="R12" i="5"/>
  <c r="G9" i="9" s="1"/>
  <c r="F9" i="9"/>
  <c r="I24" i="12"/>
  <c r="BJ21" i="12"/>
  <c r="BH21" i="12"/>
  <c r="I6" i="12"/>
  <c r="BI21" i="12"/>
  <c r="I34" i="12"/>
  <c r="BH29" i="12"/>
  <c r="BI29" i="12"/>
  <c r="BJ29" i="12"/>
  <c r="BI22" i="12"/>
  <c r="BJ22" i="12"/>
  <c r="BH22" i="12"/>
  <c r="BI23" i="12"/>
  <c r="BJ23" i="12"/>
  <c r="BH35" i="12"/>
  <c r="BJ35" i="12"/>
  <c r="BI35" i="12"/>
  <c r="BH30" i="12"/>
  <c r="BJ30" i="12"/>
  <c r="BI30" i="12"/>
  <c r="BH24" i="12"/>
  <c r="BI24" i="12"/>
  <c r="BJ24" i="12"/>
  <c r="BL21" i="12"/>
  <c r="AA18" i="12"/>
  <c r="BL30" i="12"/>
  <c r="BL35" i="12"/>
  <c r="BL34" i="12"/>
  <c r="BL17" i="12"/>
  <c r="BM17" i="12"/>
  <c r="BM16" i="12"/>
  <c r="BL16" i="12"/>
  <c r="BL8" i="12"/>
  <c r="BM8" i="12"/>
  <c r="BM20" i="12"/>
  <c r="BL20" i="12"/>
  <c r="BL26" i="12"/>
  <c r="BL18" i="12"/>
  <c r="BM9" i="12"/>
  <c r="BL9" i="12"/>
  <c r="BL27" i="12"/>
  <c r="BL14" i="12"/>
  <c r="BM14" i="12"/>
  <c r="BL29" i="12"/>
  <c r="BL15" i="12"/>
  <c r="BM15" i="12"/>
  <c r="BL7" i="12"/>
  <c r="BM7" i="12"/>
  <c r="AA12" i="12"/>
  <c r="BL28" i="12"/>
  <c r="BM28" i="12"/>
  <c r="BL25" i="12"/>
  <c r="BL19" i="12"/>
  <c r="BL11" i="12"/>
  <c r="BM11" i="12"/>
  <c r="BM5" i="12"/>
  <c r="BL5" i="12"/>
  <c r="BL10" i="12"/>
  <c r="BM10" i="12"/>
  <c r="BL32" i="12"/>
  <c r="BM32" i="12"/>
  <c r="BL23" i="12"/>
  <c r="BL22" i="12"/>
  <c r="BL24" i="12"/>
  <c r="BM12" i="12"/>
  <c r="BL12" i="12"/>
  <c r="BL31" i="12"/>
  <c r="BM31" i="12"/>
  <c r="BM33" i="12"/>
  <c r="BL33" i="12"/>
  <c r="BL13" i="12"/>
  <c r="BM13" i="12"/>
  <c r="BL6" i="12"/>
  <c r="AM28" i="12"/>
  <c r="AG34" i="12"/>
  <c r="AA14" i="12"/>
  <c r="AM18" i="12"/>
  <c r="AM20" i="12"/>
  <c r="AA16" i="12"/>
  <c r="AG29" i="12"/>
  <c r="AG23" i="12"/>
  <c r="AA26" i="12"/>
  <c r="AA28" i="12"/>
  <c r="AM25" i="12"/>
  <c r="AM24" i="12"/>
  <c r="AM19" i="12"/>
  <c r="AM13" i="12"/>
  <c r="AM31" i="12"/>
  <c r="AG13" i="12"/>
  <c r="AM17" i="12"/>
  <c r="AG35" i="12"/>
  <c r="AA19" i="12"/>
  <c r="AG31" i="12"/>
  <c r="AG14" i="12"/>
  <c r="AG17" i="12"/>
  <c r="AM30" i="12"/>
  <c r="AA31" i="12"/>
  <c r="AA20" i="12"/>
  <c r="AA15" i="12"/>
  <c r="AA17" i="12"/>
  <c r="AM14" i="12"/>
  <c r="AG20" i="12"/>
  <c r="AM34" i="12"/>
  <c r="AG19" i="12"/>
  <c r="AM27" i="12"/>
  <c r="AG30" i="12"/>
  <c r="AA22" i="12"/>
  <c r="AG16" i="12"/>
  <c r="AM21" i="12"/>
  <c r="AM22" i="12"/>
  <c r="AG32" i="12"/>
  <c r="AA23" i="12"/>
  <c r="AA34" i="12"/>
  <c r="AA13" i="12"/>
  <c r="AG21" i="12"/>
  <c r="AM32" i="12"/>
  <c r="AM16" i="12"/>
  <c r="AM12" i="12"/>
  <c r="AM23" i="12"/>
  <c r="AG27" i="12"/>
  <c r="AG12" i="12"/>
  <c r="AG15" i="12"/>
  <c r="AG26" i="12"/>
  <c r="AG18" i="12"/>
  <c r="AA32" i="12"/>
  <c r="AA33" i="12"/>
  <c r="AA27" i="12"/>
  <c r="AM29" i="12"/>
  <c r="AM15" i="12"/>
  <c r="AM26" i="12"/>
  <c r="AG22" i="12"/>
  <c r="AA25" i="12"/>
  <c r="AM33" i="12"/>
  <c r="AG28" i="12"/>
  <c r="AG25" i="12"/>
  <c r="AG33" i="12"/>
  <c r="AG24" i="12"/>
  <c r="AM35" i="12"/>
  <c r="AA24" i="12"/>
  <c r="AA30" i="12"/>
  <c r="AA35" i="12"/>
  <c r="AA21" i="12"/>
  <c r="AA29" i="12"/>
  <c r="BM25" i="12" l="1"/>
  <c r="BM26" i="12"/>
  <c r="BM27" i="12"/>
  <c r="BM6" i="12"/>
  <c r="BM19" i="12"/>
  <c r="BM18" i="12"/>
  <c r="BM30" i="12"/>
  <c r="BM29" i="12"/>
  <c r="BM24" i="12"/>
  <c r="BM23" i="12"/>
  <c r="BM22" i="12"/>
  <c r="BM34" i="12"/>
  <c r="BM21" i="12"/>
  <c r="BM35" i="12"/>
  <c r="N11" i="12" l="1"/>
  <c r="AZ11" i="12" s="1"/>
  <c r="M11" i="12"/>
  <c r="AY11" i="12" s="1"/>
  <c r="P10" i="12"/>
  <c r="U10" i="12" s="1"/>
  <c r="T9" i="12"/>
  <c r="S9" i="12"/>
  <c r="R9" i="12"/>
  <c r="J8" i="12"/>
  <c r="AV8" i="12" s="1"/>
  <c r="K5" i="12"/>
  <c r="AW5" i="12" s="1"/>
  <c r="K11" i="12"/>
  <c r="AW11" i="12" s="1"/>
  <c r="Q9" i="12"/>
  <c r="N10" i="12"/>
  <c r="AZ10" i="12" s="1"/>
  <c r="P9" i="12"/>
  <c r="U9" i="12" s="1"/>
  <c r="L11" i="12"/>
  <c r="AX11" i="12" s="1"/>
  <c r="M10" i="12"/>
  <c r="AY10" i="12" s="1"/>
  <c r="P6" i="12"/>
  <c r="K8" i="12"/>
  <c r="AW8" i="12" s="1"/>
  <c r="P8" i="12"/>
  <c r="U8" i="12" s="1"/>
  <c r="M9" i="12"/>
  <c r="AY9" i="12" s="1"/>
  <c r="T7" i="12"/>
  <c r="S7" i="12"/>
  <c r="N7" i="12"/>
  <c r="AZ7" i="12" s="1"/>
  <c r="R7" i="12"/>
  <c r="J9" i="12"/>
  <c r="AV9" i="12" s="1"/>
  <c r="Q7" i="12"/>
  <c r="P7" i="12"/>
  <c r="U7" i="12" s="1"/>
  <c r="T11" i="12"/>
  <c r="T6" i="12"/>
  <c r="P5" i="12"/>
  <c r="U5" i="12" s="1"/>
  <c r="L9" i="12"/>
  <c r="AX9" i="12" s="1"/>
  <c r="S11" i="12"/>
  <c r="S6" i="12"/>
  <c r="M7" i="12"/>
  <c r="AY7" i="12" s="1"/>
  <c r="J11" i="12"/>
  <c r="AV11" i="12" s="1"/>
  <c r="K7" i="12"/>
  <c r="AW7" i="12" s="1"/>
  <c r="J7" i="12"/>
  <c r="AV7" i="12" s="1"/>
  <c r="P11" i="12"/>
  <c r="U11" i="12" s="1"/>
  <c r="R11" i="12"/>
  <c r="Q11" i="12"/>
  <c r="L10" i="12"/>
  <c r="AX10" i="12" s="1"/>
  <c r="M6" i="12"/>
  <c r="AY6" i="12" s="1"/>
  <c r="T10" i="12"/>
  <c r="T8" i="12"/>
  <c r="T5" i="12"/>
  <c r="R6" i="12"/>
  <c r="N5" i="12"/>
  <c r="AZ5" i="12" s="1"/>
  <c r="K10" i="12"/>
  <c r="AW10" i="12" s="1"/>
  <c r="N8" i="12"/>
  <c r="AZ8" i="12" s="1"/>
  <c r="L6" i="12"/>
  <c r="AX6" i="12" s="1"/>
  <c r="J5" i="12"/>
  <c r="S10" i="12"/>
  <c r="S8" i="12"/>
  <c r="S5" i="12"/>
  <c r="L7" i="12"/>
  <c r="AX7" i="12" s="1"/>
  <c r="M5" i="12"/>
  <c r="AY5" i="12" s="1"/>
  <c r="J10" i="12"/>
  <c r="AV10" i="12" s="1"/>
  <c r="M8" i="12"/>
  <c r="AY8" i="12" s="1"/>
  <c r="K6" i="12"/>
  <c r="AW6" i="12" s="1"/>
  <c r="R10" i="12"/>
  <c r="R8" i="12"/>
  <c r="R5" i="12"/>
  <c r="K9" i="12"/>
  <c r="AW9" i="12" s="1"/>
  <c r="N6" i="12"/>
  <c r="AZ6" i="12" s="1"/>
  <c r="Q6" i="12"/>
  <c r="L5" i="12"/>
  <c r="AX5" i="12" s="1"/>
  <c r="N9" i="12"/>
  <c r="AZ9" i="12" s="1"/>
  <c r="L8" i="12"/>
  <c r="AX8" i="12" s="1"/>
  <c r="Q10" i="12"/>
  <c r="Q8" i="12"/>
  <c r="Q5" i="12"/>
  <c r="AV6" i="12" l="1"/>
  <c r="AH6" i="12"/>
  <c r="AV5" i="12"/>
  <c r="BA5" i="12" s="1"/>
  <c r="Q11" i="5" s="1"/>
  <c r="F8" i="9" s="1"/>
  <c r="AL10" i="12"/>
  <c r="AH7" i="12"/>
  <c r="BA7" i="12"/>
  <c r="AJ8" i="12"/>
  <c r="AJ11" i="12"/>
  <c r="AK9" i="12"/>
  <c r="AL9" i="12"/>
  <c r="AL8" i="12"/>
  <c r="AL7" i="12"/>
  <c r="AJ6" i="12"/>
  <c r="AJ9" i="12"/>
  <c r="AK10" i="12"/>
  <c r="AI10" i="12"/>
  <c r="AK11" i="12"/>
  <c r="AI11" i="12"/>
  <c r="AI6" i="12"/>
  <c r="AL11" i="12"/>
  <c r="AJ7" i="12"/>
  <c r="AL6" i="12"/>
  <c r="AK8" i="12"/>
  <c r="AK6" i="12"/>
  <c r="AI8" i="12"/>
  <c r="AI7" i="12"/>
  <c r="AH11" i="12"/>
  <c r="BA11" i="12"/>
  <c r="Q15" i="5" s="1"/>
  <c r="F12" i="9" s="1"/>
  <c r="AK7" i="12"/>
  <c r="AH8" i="12"/>
  <c r="BA8" i="12"/>
  <c r="Q16" i="5" s="1"/>
  <c r="F13" i="9" s="1"/>
  <c r="AI9" i="12"/>
  <c r="AH10" i="12"/>
  <c r="BA10" i="12"/>
  <c r="AJ10" i="12"/>
  <c r="AH9" i="12"/>
  <c r="BA9" i="12"/>
  <c r="AH5" i="12"/>
  <c r="AB5" i="12"/>
  <c r="V5" i="12"/>
  <c r="X10" i="12"/>
  <c r="AD10" i="12"/>
  <c r="Y9" i="12"/>
  <c r="AE9" i="12"/>
  <c r="X9" i="12"/>
  <c r="AD9" i="12"/>
  <c r="AC6" i="12"/>
  <c r="Z5" i="12"/>
  <c r="AL5" i="12"/>
  <c r="AF5" i="12"/>
  <c r="AB11" i="12"/>
  <c r="W8" i="12"/>
  <c r="AC8" i="12"/>
  <c r="W11" i="12"/>
  <c r="AC11" i="12"/>
  <c r="AB10" i="12"/>
  <c r="Y7" i="12"/>
  <c r="AE7" i="12"/>
  <c r="AB9" i="12"/>
  <c r="AD6" i="12"/>
  <c r="Z8" i="12"/>
  <c r="AF8" i="12"/>
  <c r="AB7" i="12"/>
  <c r="W7" i="12"/>
  <c r="AC7" i="12"/>
  <c r="X5" i="12"/>
  <c r="AD5" i="12"/>
  <c r="AJ5" i="12"/>
  <c r="Y10" i="12"/>
  <c r="AE10" i="12"/>
  <c r="Y11" i="12"/>
  <c r="AE11" i="12"/>
  <c r="AB8" i="12"/>
  <c r="AB6" i="12"/>
  <c r="Y5" i="12"/>
  <c r="AK5" i="12"/>
  <c r="AE5" i="12"/>
  <c r="Z7" i="12"/>
  <c r="AF7" i="12"/>
  <c r="X11" i="12"/>
  <c r="AD11" i="12"/>
  <c r="Z11" i="12"/>
  <c r="AF11" i="12"/>
  <c r="W10" i="12"/>
  <c r="AC10" i="12"/>
  <c r="X8" i="12"/>
  <c r="AD8" i="12"/>
  <c r="X7" i="12"/>
  <c r="AD7" i="12"/>
  <c r="AF6" i="12"/>
  <c r="W5" i="12"/>
  <c r="AI5" i="12"/>
  <c r="AC5" i="12"/>
  <c r="Y8" i="12"/>
  <c r="AE8" i="12"/>
  <c r="Z9" i="12"/>
  <c r="AF9" i="12"/>
  <c r="W9" i="12"/>
  <c r="AC9" i="12"/>
  <c r="AE6" i="12"/>
  <c r="Z10" i="12"/>
  <c r="AF10" i="12"/>
  <c r="W6" i="12"/>
  <c r="V8" i="12"/>
  <c r="O8" i="12"/>
  <c r="V10" i="12"/>
  <c r="O10" i="12"/>
  <c r="V7" i="12"/>
  <c r="O7" i="12"/>
  <c r="Y6" i="12"/>
  <c r="X6" i="12"/>
  <c r="V6" i="12"/>
  <c r="O6" i="12"/>
  <c r="Z6" i="12"/>
  <c r="O5" i="12"/>
  <c r="V11" i="12"/>
  <c r="O11" i="12"/>
  <c r="V9" i="12"/>
  <c r="O9" i="12"/>
  <c r="U6" i="12"/>
  <c r="AJ38" i="12" l="1"/>
  <c r="F89" i="4" s="1"/>
  <c r="V38" i="12"/>
  <c r="F62" i="4" s="1"/>
  <c r="AB38" i="12"/>
  <c r="F94" i="4" s="1"/>
  <c r="AH38" i="12"/>
  <c r="F87" i="4" s="1"/>
  <c r="AL38" i="12"/>
  <c r="F91" i="4" s="1"/>
  <c r="AI38" i="12"/>
  <c r="F88" i="4" s="1"/>
  <c r="AK38" i="12"/>
  <c r="F90" i="4" s="1"/>
  <c r="BA6" i="12"/>
  <c r="Q13" i="5" s="1"/>
  <c r="F10" i="9" s="1"/>
  <c r="W38" i="12"/>
  <c r="F63" i="4" s="1"/>
  <c r="AA11" i="12"/>
  <c r="AA8" i="12"/>
  <c r="X38" i="12"/>
  <c r="F64" i="4" s="1"/>
  <c r="AE38" i="12"/>
  <c r="F97" i="4" s="1"/>
  <c r="AD38" i="12"/>
  <c r="F96" i="4" s="1"/>
  <c r="AM9" i="12"/>
  <c r="Y38" i="12"/>
  <c r="F65" i="4" s="1"/>
  <c r="AG6" i="12"/>
  <c r="AG9" i="12"/>
  <c r="AM11" i="12"/>
  <c r="AM6" i="12"/>
  <c r="AG11" i="12"/>
  <c r="AF38" i="12"/>
  <c r="F98" i="4" s="1"/>
  <c r="Z38" i="12"/>
  <c r="F66" i="4" s="1"/>
  <c r="AC38" i="12"/>
  <c r="F95" i="4" s="1"/>
  <c r="AA7" i="12"/>
  <c r="AG8" i="12"/>
  <c r="AM8" i="12"/>
  <c r="AA9" i="12"/>
  <c r="AA10" i="12"/>
  <c r="AM7" i="12"/>
  <c r="AG10" i="12"/>
  <c r="AG7" i="12"/>
  <c r="AM10" i="12"/>
  <c r="AG5" i="12"/>
  <c r="AM5" i="12"/>
  <c r="AA5" i="12"/>
  <c r="AA6" i="12"/>
  <c r="F67" i="4" l="1"/>
  <c r="AA38" i="12"/>
  <c r="F99" i="4" s="1"/>
  <c r="Q18" i="5" s="1"/>
  <c r="AM38" i="12"/>
  <c r="AG38" i="12"/>
  <c r="F92" i="4" s="1"/>
  <c r="Q17" i="5" s="1"/>
  <c r="F16" i="9"/>
  <c r="B1" i="9"/>
  <c r="C1" i="9"/>
  <c r="D1" i="9"/>
  <c r="E1" i="9"/>
  <c r="F1" i="9"/>
  <c r="B2" i="9"/>
  <c r="C2" i="9"/>
  <c r="D2" i="9"/>
  <c r="E2" i="9"/>
  <c r="B3" i="9"/>
  <c r="C3" i="9"/>
  <c r="D3" i="9"/>
  <c r="E3" i="9"/>
  <c r="C4" i="9"/>
  <c r="D4" i="9"/>
  <c r="E4" i="9"/>
  <c r="B5" i="9"/>
  <c r="C5" i="9"/>
  <c r="D5" i="9"/>
  <c r="E5" i="9"/>
  <c r="B6" i="9"/>
  <c r="C6" i="9"/>
  <c r="D6" i="9"/>
  <c r="E6" i="9"/>
  <c r="B7" i="9"/>
  <c r="C7" i="9"/>
  <c r="B14" i="9"/>
  <c r="C14" i="9"/>
  <c r="D14" i="9"/>
  <c r="E14" i="9"/>
  <c r="B15" i="9"/>
  <c r="C15" i="9"/>
  <c r="D15" i="9"/>
  <c r="E15" i="9"/>
  <c r="A2" i="9"/>
  <c r="A3" i="9"/>
  <c r="A4" i="9"/>
  <c r="A5" i="9"/>
  <c r="A6" i="9"/>
  <c r="A7" i="9"/>
  <c r="A14" i="9"/>
  <c r="A15" i="9"/>
  <c r="A1" i="9"/>
  <c r="F7" i="7" l="1"/>
  <c r="F8" i="7"/>
  <c r="F9" i="7"/>
  <c r="F10" i="7"/>
  <c r="F11" i="7"/>
  <c r="F5" i="7"/>
  <c r="F42" i="4" l="1"/>
  <c r="R16" i="5"/>
  <c r="G13" i="9" s="1"/>
  <c r="R13" i="5" l="1"/>
  <c r="G10" i="9" s="1"/>
  <c r="R15" i="5"/>
  <c r="G12" i="9" s="1"/>
  <c r="R11" i="5" l="1"/>
  <c r="G8" i="9" s="1"/>
  <c r="R14" i="5"/>
  <c r="G11" i="9" s="1"/>
  <c r="R17" i="5"/>
  <c r="G14" i="9" s="1"/>
  <c r="F14" i="9"/>
  <c r="R10" i="5" l="1"/>
  <c r="G7" i="9" s="1"/>
  <c r="R18" i="5"/>
  <c r="G15" i="9" s="1"/>
  <c r="F15" i="9"/>
  <c r="C40" i="4" l="1"/>
  <c r="C73" i="4"/>
  <c r="C79" i="4"/>
  <c r="D40" i="4"/>
  <c r="E40" i="4"/>
  <c r="K49" i="4"/>
  <c r="CY13" i="4"/>
  <c r="AQ13" i="4"/>
  <c r="BR13" i="4"/>
  <c r="CR13" i="4"/>
  <c r="BZ13" i="4"/>
  <c r="DD13" i="4"/>
  <c r="N13" i="4"/>
  <c r="DF13" i="4"/>
  <c r="AO13" i="4"/>
  <c r="N20" i="4"/>
  <c r="CZ20" i="4"/>
  <c r="CU20" i="4"/>
  <c r="AX107" i="4"/>
  <c r="AI20" i="4"/>
  <c r="AQ20" i="4"/>
  <c r="L13" i="4"/>
  <c r="CP13" i="4"/>
  <c r="AH13" i="4"/>
  <c r="DD20" i="4"/>
  <c r="DB20" i="4"/>
  <c r="DG20" i="4"/>
  <c r="K53" i="4"/>
  <c r="O73" i="4"/>
  <c r="AU20" i="4"/>
  <c r="DE13" i="4"/>
  <c r="CY20" i="4"/>
  <c r="K13" i="4"/>
  <c r="AT20" i="4"/>
  <c r="CV20" i="4"/>
  <c r="AP20" i="4"/>
  <c r="K52" i="4"/>
  <c r="CQ13" i="4"/>
  <c r="AU13" i="4"/>
  <c r="AR13" i="4"/>
  <c r="BY13" i="4"/>
  <c r="CC107" i="4"/>
  <c r="DA20" i="4"/>
  <c r="AH20" i="4"/>
  <c r="AP13" i="4"/>
  <c r="K50" i="4"/>
  <c r="R13" i="4"/>
  <c r="DC20" i="4"/>
  <c r="BP13" i="4"/>
  <c r="K73" i="4"/>
  <c r="BU13" i="4"/>
  <c r="BQ13" i="4"/>
  <c r="BS13" i="4"/>
  <c r="CV13" i="4"/>
  <c r="CT13" i="4"/>
  <c r="CX13" i="4"/>
  <c r="BO13" i="4"/>
  <c r="DC13" i="4"/>
  <c r="AJ13" i="4"/>
  <c r="M20" i="4"/>
  <c r="CP20" i="4"/>
  <c r="Q73" i="4"/>
  <c r="S108" i="4"/>
  <c r="AR20" i="4"/>
  <c r="AV13" i="4"/>
  <c r="S109" i="4"/>
  <c r="BV13" i="4"/>
  <c r="BT13" i="4"/>
  <c r="DB13" i="4"/>
  <c r="AW13" i="4"/>
  <c r="AT13" i="4"/>
  <c r="K20" i="4"/>
  <c r="CC108" i="4"/>
  <c r="BZ20" i="4"/>
  <c r="AM20" i="4"/>
  <c r="AV20" i="4"/>
  <c r="P13" i="4"/>
  <c r="BW13" i="4"/>
  <c r="K51" i="4"/>
  <c r="AK13" i="4"/>
  <c r="N73" i="4"/>
  <c r="BM13" i="4"/>
  <c r="DG13" i="4"/>
  <c r="CZ13" i="4"/>
  <c r="R20" i="4"/>
  <c r="P73" i="4"/>
  <c r="CW20" i="4"/>
  <c r="CA13" i="4"/>
  <c r="CB13" i="4"/>
  <c r="AG13" i="4"/>
  <c r="DE20" i="4"/>
  <c r="Q13" i="4"/>
  <c r="AN20" i="4"/>
  <c r="AJ20" i="4"/>
  <c r="AS13" i="4"/>
  <c r="BL13" i="4"/>
  <c r="CR20" i="4"/>
  <c r="AL20" i="4"/>
  <c r="BX13" i="4"/>
  <c r="CW13" i="4"/>
  <c r="CS13" i="4"/>
  <c r="AL13" i="4"/>
  <c r="S107" i="4"/>
  <c r="AI13" i="4"/>
  <c r="CX20" i="4"/>
  <c r="O13" i="4"/>
  <c r="CU13" i="4"/>
  <c r="M13" i="4"/>
  <c r="DA13" i="4"/>
  <c r="BN13" i="4"/>
  <c r="L20" i="4"/>
  <c r="AN13" i="4"/>
  <c r="CQ20" i="4"/>
  <c r="CT20" i="4"/>
  <c r="AX109" i="4"/>
  <c r="CS20" i="4"/>
  <c r="AO20" i="4"/>
  <c r="P20" i="4"/>
  <c r="AM13" i="4"/>
  <c r="Q20" i="4"/>
  <c r="DF20" i="4"/>
  <c r="O20" i="4"/>
  <c r="M73" i="4"/>
  <c r="AG20" i="4"/>
  <c r="AK20" i="4"/>
  <c r="AS20" i="4"/>
  <c r="AX108" i="4"/>
  <c r="BN108" i="4"/>
  <c r="BM28" i="4"/>
  <c r="BY20" i="4"/>
  <c r="AV83" i="4"/>
  <c r="CA79" i="4"/>
  <c r="CQ28" i="4"/>
  <c r="N79" i="4"/>
  <c r="BL84" i="4"/>
  <c r="DF84" i="4"/>
  <c r="AR28" i="4"/>
  <c r="K83" i="4"/>
  <c r="D28" i="4"/>
  <c r="BP28" i="4"/>
  <c r="CQ108" i="4"/>
  <c r="AJ84" i="4"/>
  <c r="CC111" i="4"/>
  <c r="DF111" i="4"/>
  <c r="K109" i="4"/>
  <c r="CT73" i="4"/>
  <c r="CT79" i="4"/>
  <c r="N111" i="4"/>
  <c r="AQ108" i="4"/>
  <c r="DF28" i="4"/>
  <c r="S110" i="4"/>
  <c r="AV110" i="4"/>
  <c r="O79" i="4"/>
  <c r="N108" i="4"/>
  <c r="M108" i="4"/>
  <c r="O82" i="4"/>
  <c r="Q108" i="4"/>
  <c r="AX111" i="4"/>
  <c r="CA111" i="4"/>
  <c r="AJ82" i="4"/>
  <c r="L108" i="4"/>
  <c r="T84" i="4"/>
  <c r="Q109" i="4"/>
  <c r="R81" i="4"/>
  <c r="AV108" i="4"/>
  <c r="Q82" i="4"/>
  <c r="DB28" i="4"/>
  <c r="M84" i="4"/>
  <c r="AV28" i="4"/>
  <c r="AV73" i="4"/>
  <c r="AV79" i="4"/>
  <c r="E79" i="4"/>
  <c r="CY28" i="4"/>
  <c r="P84" i="4"/>
  <c r="DA82" i="4"/>
  <c r="AQ84" i="4"/>
  <c r="AM28" i="4"/>
  <c r="BS20" i="4"/>
  <c r="BN20" i="4"/>
  <c r="AL28" i="4"/>
  <c r="AG81" i="4"/>
  <c r="M82" i="4"/>
  <c r="AG79" i="4"/>
  <c r="AV109" i="4"/>
  <c r="BT28" i="4"/>
  <c r="CS28" i="4"/>
  <c r="CP83" i="4"/>
  <c r="CT81" i="4"/>
  <c r="AJ109" i="4"/>
  <c r="BP81" i="4"/>
  <c r="AG82" i="4"/>
  <c r="DA83" i="4"/>
  <c r="CB109" i="4"/>
  <c r="M28" i="4"/>
  <c r="AU28" i="4"/>
  <c r="BY28" i="4"/>
  <c r="O83" i="4"/>
  <c r="K82" i="4"/>
  <c r="M105" i="4"/>
  <c r="M107" i="4"/>
  <c r="Q81" i="4"/>
  <c r="BL28" i="4"/>
  <c r="CP82" i="4"/>
  <c r="M110" i="4"/>
  <c r="N110" i="4"/>
  <c r="CZ28" i="4"/>
  <c r="P80" i="4"/>
  <c r="AR84" i="4"/>
  <c r="CC109" i="4"/>
  <c r="AS28" i="4"/>
  <c r="BL82" i="4"/>
  <c r="CV108" i="4"/>
  <c r="BR20" i="4"/>
  <c r="BU20" i="4"/>
  <c r="BP20" i="4"/>
  <c r="BX28" i="4"/>
  <c r="P79" i="4"/>
  <c r="N28" i="4"/>
  <c r="CP73" i="4"/>
  <c r="CP79" i="4"/>
  <c r="CQ84" i="4"/>
  <c r="BW82" i="4"/>
  <c r="BO81" i="4"/>
  <c r="BQ81" i="4"/>
  <c r="M81" i="4"/>
  <c r="P81" i="4"/>
  <c r="L28" i="4"/>
  <c r="AO28" i="4"/>
  <c r="N84" i="4"/>
  <c r="P28" i="4"/>
  <c r="N105" i="4"/>
  <c r="N107" i="4"/>
  <c r="BZ28" i="4"/>
  <c r="T108" i="4"/>
  <c r="CT28" i="4"/>
  <c r="CV28" i="4"/>
  <c r="BX20" i="4"/>
  <c r="AQ81" i="4"/>
  <c r="CP28" i="4"/>
  <c r="BR28" i="4"/>
  <c r="DG73" i="4"/>
  <c r="DG79" i="4"/>
  <c r="F73" i="4"/>
  <c r="AG28" i="4"/>
  <c r="CP84" i="4"/>
  <c r="T83" i="4"/>
  <c r="DB82" i="4"/>
  <c r="BV82" i="4"/>
  <c r="AL84" i="4"/>
  <c r="Q83" i="4"/>
  <c r="O28" i="4"/>
  <c r="R83" i="4"/>
  <c r="P108" i="4"/>
  <c r="CC110" i="4"/>
  <c r="CS110" i="4"/>
  <c r="K59" i="4"/>
  <c r="O81" i="4"/>
  <c r="AR105" i="4"/>
  <c r="AR107" i="4"/>
  <c r="CV73" i="4"/>
  <c r="CV79" i="4"/>
  <c r="CT84" i="4"/>
  <c r="N83" i="4"/>
  <c r="BW81" i="4"/>
  <c r="T109" i="4"/>
  <c r="DB73" i="4"/>
  <c r="DB79" i="4"/>
  <c r="D79" i="4"/>
  <c r="E13" i="4"/>
  <c r="DB107" i="4"/>
  <c r="DB105" i="4"/>
  <c r="O80" i="4"/>
  <c r="BL109" i="4"/>
  <c r="K58" i="4"/>
  <c r="R108" i="4"/>
  <c r="L82" i="4"/>
  <c r="O110" i="4"/>
  <c r="BW28" i="4"/>
  <c r="DA73" i="4"/>
  <c r="DA79" i="4"/>
  <c r="AL73" i="4"/>
  <c r="AL79" i="4"/>
  <c r="BW79" i="4"/>
  <c r="R80" i="4"/>
  <c r="R73" i="4"/>
  <c r="R85" i="4" s="1"/>
  <c r="DF82" i="4"/>
  <c r="CQ83" i="4"/>
  <c r="CA83" i="4"/>
  <c r="C13" i="4"/>
  <c r="AI79" i="4"/>
  <c r="BO20" i="4"/>
  <c r="CS83" i="4"/>
  <c r="K84" i="4"/>
  <c r="AT80" i="4"/>
  <c r="AT73" i="4"/>
  <c r="AT85" i="4" s="1"/>
  <c r="BW20" i="4"/>
  <c r="BK79" i="4"/>
  <c r="CB83" i="4"/>
  <c r="DA28" i="4"/>
  <c r="BL79" i="4"/>
  <c r="F79" i="4"/>
  <c r="E28" i="4"/>
  <c r="AL83" i="4"/>
  <c r="AV82" i="4"/>
  <c r="N80" i="4"/>
  <c r="BU28" i="4"/>
  <c r="AK28" i="4"/>
  <c r="R28" i="4"/>
  <c r="E73" i="4"/>
  <c r="CS73" i="4"/>
  <c r="CS79" i="4"/>
  <c r="AQ73" i="4"/>
  <c r="AQ79" i="4"/>
  <c r="K110" i="4"/>
  <c r="AN28" i="4"/>
  <c r="T82" i="4"/>
  <c r="CA109" i="4"/>
  <c r="K57" i="4"/>
  <c r="D13" i="4"/>
  <c r="DD28" i="4"/>
  <c r="BO28" i="4"/>
  <c r="DB84" i="4"/>
  <c r="BN82" i="4"/>
  <c r="AJ28" i="4"/>
  <c r="DA84" i="4"/>
  <c r="C28" i="4"/>
  <c r="AW28" i="4"/>
  <c r="BL20" i="4"/>
  <c r="BQ20" i="4"/>
  <c r="AL82" i="4"/>
  <c r="CA28" i="4"/>
  <c r="CJ85" i="4"/>
  <c r="P82" i="4"/>
  <c r="AI81" i="4"/>
  <c r="BT20" i="4"/>
  <c r="BV79" i="4"/>
  <c r="DC28" i="4"/>
  <c r="BP83" i="4"/>
  <c r="Q79" i="4"/>
  <c r="CB20" i="4"/>
  <c r="CV84" i="4"/>
  <c r="S111" i="4"/>
  <c r="AP28" i="4"/>
  <c r="Q80" i="4"/>
  <c r="Q84" i="4"/>
  <c r="AI28" i="4"/>
  <c r="F13" i="4"/>
  <c r="K105" i="4"/>
  <c r="K107" i="4"/>
  <c r="CR28" i="4"/>
  <c r="BM20" i="4"/>
  <c r="BQ83" i="4"/>
  <c r="M111" i="4"/>
  <c r="K79" i="4"/>
  <c r="O84" i="4"/>
  <c r="CQ73" i="4"/>
  <c r="CQ79" i="4"/>
  <c r="K28" i="4"/>
  <c r="CU81" i="4"/>
  <c r="Q28" i="4"/>
  <c r="M80" i="4"/>
  <c r="M79" i="4"/>
  <c r="BV20" i="4"/>
  <c r="T73" i="4"/>
  <c r="T79" i="4"/>
  <c r="BQ28" i="4"/>
  <c r="BO83" i="4"/>
  <c r="DF73" i="4"/>
  <c r="DF79" i="4"/>
  <c r="AJ79" i="4"/>
  <c r="M83" i="4"/>
  <c r="CX80" i="4"/>
  <c r="CX73" i="4"/>
  <c r="DG84" i="4"/>
  <c r="AX110" i="4"/>
  <c r="BJ85" i="4"/>
  <c r="BJ80" i="4"/>
  <c r="L83" i="4"/>
  <c r="CW28" i="4"/>
  <c r="AH80" i="4"/>
  <c r="AH73" i="4"/>
  <c r="AH85" i="4" s="1"/>
  <c r="D73" i="4"/>
  <c r="DE28" i="4"/>
  <c r="AR73" i="4"/>
  <c r="AR79" i="4"/>
  <c r="CP105" i="4"/>
  <c r="CP107" i="4"/>
  <c r="P109" i="4"/>
  <c r="BN28" i="4"/>
  <c r="L110" i="4"/>
  <c r="K60" i="4"/>
  <c r="CT107" i="4"/>
  <c r="CT105" i="4"/>
  <c r="O108" i="4"/>
  <c r="DB108" i="4"/>
  <c r="AA111" i="4"/>
  <c r="L57" i="4"/>
  <c r="R105" i="4"/>
  <c r="R107" i="4"/>
  <c r="AS111" i="4"/>
  <c r="Z111" i="4"/>
  <c r="DC82" i="4"/>
  <c r="AW111" i="4"/>
  <c r="CH110" i="4"/>
  <c r="CX110" i="4"/>
  <c r="CW109" i="4"/>
  <c r="CW108" i="4"/>
  <c r="P105" i="4"/>
  <c r="P107" i="4"/>
  <c r="CN109" i="4"/>
  <c r="AW108" i="4"/>
  <c r="BM111" i="4"/>
  <c r="BP105" i="4"/>
  <c r="BP107" i="4"/>
  <c r="BT109" i="4"/>
  <c r="CG109" i="4"/>
  <c r="BV109" i="4"/>
  <c r="CU109" i="4"/>
  <c r="AM84" i="4"/>
  <c r="BU81" i="4"/>
  <c r="BG83" i="4"/>
  <c r="DF81" i="4"/>
  <c r="BR83" i="4"/>
  <c r="S81" i="4"/>
  <c r="AO109" i="4"/>
  <c r="BQ82" i="4"/>
  <c r="CP111" i="4"/>
  <c r="AH108" i="4"/>
  <c r="Y110" i="4"/>
  <c r="CF108" i="4"/>
  <c r="CV111" i="4"/>
  <c r="CO109" i="4"/>
  <c r="DC105" i="4"/>
  <c r="DC107" i="4"/>
  <c r="CY109" i="4"/>
  <c r="CN111" i="4"/>
  <c r="CS105" i="4"/>
  <c r="CS107" i="4"/>
  <c r="BJ107" i="4"/>
  <c r="BJ105" i="4"/>
  <c r="BW105" i="4"/>
  <c r="BW107" i="4"/>
  <c r="AW81" i="4"/>
  <c r="BU83" i="4"/>
  <c r="DD82" i="4"/>
  <c r="CR84" i="4"/>
  <c r="X111" i="4"/>
  <c r="CY110" i="4"/>
  <c r="AU81" i="4"/>
  <c r="BO84" i="4"/>
  <c r="CX108" i="4"/>
  <c r="P110" i="4"/>
  <c r="DC111" i="4"/>
  <c r="DE107" i="4"/>
  <c r="DE105" i="4"/>
  <c r="BV105" i="4"/>
  <c r="BV107" i="4"/>
  <c r="DB83" i="4"/>
  <c r="CV83" i="4"/>
  <c r="BR81" i="4"/>
  <c r="DC83" i="4"/>
  <c r="CS109" i="4"/>
  <c r="AT111" i="4"/>
  <c r="CV105" i="4"/>
  <c r="CV107" i="4"/>
  <c r="CZ110" i="4"/>
  <c r="AF111" i="4"/>
  <c r="AY111" i="4"/>
  <c r="CU107" i="4"/>
  <c r="CU105" i="4"/>
  <c r="CB28" i="4"/>
  <c r="DE84" i="4"/>
  <c r="DC84" i="4"/>
  <c r="CY79" i="4"/>
  <c r="AJ80" i="4"/>
  <c r="AJ73" i="4"/>
  <c r="AJ85" i="4" s="1"/>
  <c r="DF110" i="4"/>
  <c r="BN79" i="4"/>
  <c r="CL111" i="4"/>
  <c r="O59" i="4"/>
  <c r="AG80" i="4"/>
  <c r="AG73" i="4"/>
  <c r="CW111" i="4"/>
  <c r="BB108" i="4"/>
  <c r="AB108" i="4"/>
  <c r="BQ79" i="4"/>
  <c r="AV84" i="4"/>
  <c r="R109" i="4"/>
  <c r="AT109" i="4"/>
  <c r="AT108" i="4"/>
  <c r="AL111" i="4"/>
  <c r="AQ80" i="4"/>
  <c r="R59" i="4"/>
  <c r="BO109" i="4"/>
  <c r="BZ111" i="4"/>
  <c r="BK111" i="4"/>
  <c r="BW84" i="4"/>
  <c r="BH110" i="4"/>
  <c r="U111" i="4"/>
  <c r="Z108" i="4"/>
  <c r="AL80" i="4"/>
  <c r="AU73" i="4"/>
  <c r="AU85" i="4" s="1"/>
  <c r="AU80" i="4"/>
  <c r="AA108" i="4"/>
  <c r="U109" i="4"/>
  <c r="BB110" i="4"/>
  <c r="CV80" i="4"/>
  <c r="CL108" i="4"/>
  <c r="AS109" i="4"/>
  <c r="BS108" i="4"/>
  <c r="AW110" i="4"/>
  <c r="DF105" i="4"/>
  <c r="DF107" i="4"/>
  <c r="U108" i="4"/>
  <c r="BS81" i="4"/>
  <c r="CB110" i="4"/>
  <c r="BP79" i="4"/>
  <c r="CG110" i="4"/>
  <c r="L109" i="4"/>
  <c r="K108" i="4"/>
  <c r="AL108" i="4"/>
  <c r="BB111" i="4"/>
  <c r="AC109" i="4"/>
  <c r="BL105" i="4"/>
  <c r="BL107" i="4"/>
  <c r="CW110" i="4"/>
  <c r="T105" i="4"/>
  <c r="T107" i="4"/>
  <c r="X109" i="4"/>
  <c r="AW109" i="4"/>
  <c r="AL109" i="4"/>
  <c r="BK109" i="4"/>
  <c r="S83" i="4"/>
  <c r="BZ84" i="4"/>
  <c r="AU83" i="4"/>
  <c r="AK82" i="4"/>
  <c r="Q56" i="4"/>
  <c r="BX110" i="4"/>
  <c r="AB109" i="4"/>
  <c r="BD109" i="4"/>
  <c r="AM111" i="4"/>
  <c r="DE83" i="4"/>
  <c r="AE105" i="4"/>
  <c r="AE107" i="4"/>
  <c r="AP107" i="4"/>
  <c r="AP105" i="4"/>
  <c r="BS109" i="4"/>
  <c r="AK111" i="4"/>
  <c r="BC107" i="4"/>
  <c r="BC105" i="4"/>
  <c r="BH107" i="4"/>
  <c r="BH105" i="4"/>
  <c r="CK109" i="4"/>
  <c r="DA81" i="4"/>
  <c r="BU82" i="4"/>
  <c r="CU82" i="4"/>
  <c r="CB80" i="4"/>
  <c r="BO111" i="4"/>
  <c r="BN105" i="4"/>
  <c r="BN107" i="4"/>
  <c r="L84" i="4"/>
  <c r="P60" i="4"/>
  <c r="BR110" i="4"/>
  <c r="Q105" i="4"/>
  <c r="Q107" i="4"/>
  <c r="U105" i="4"/>
  <c r="U107" i="4"/>
  <c r="CH107" i="4"/>
  <c r="CH105" i="4"/>
  <c r="AR80" i="4"/>
  <c r="CB79" i="4"/>
  <c r="M58" i="4"/>
  <c r="CJ110" i="4"/>
  <c r="BW110" i="4"/>
  <c r="AE108" i="4"/>
  <c r="BC81" i="4"/>
  <c r="R82" i="4"/>
  <c r="BZ109" i="4"/>
  <c r="BV108" i="4"/>
  <c r="BG108" i="4"/>
  <c r="BT111" i="4"/>
  <c r="AU109" i="4"/>
  <c r="CJ105" i="4"/>
  <c r="CJ107" i="4"/>
  <c r="T111" i="4"/>
  <c r="AI105" i="4"/>
  <c r="AI107" i="4"/>
  <c r="AP109" i="4"/>
  <c r="BW109" i="4"/>
  <c r="BW83" i="4"/>
  <c r="AS84" i="4"/>
  <c r="BE84" i="4"/>
  <c r="AO80" i="4"/>
  <c r="AO73" i="4"/>
  <c r="CO105" i="4"/>
  <c r="CO107" i="4"/>
  <c r="AD111" i="4"/>
  <c r="CV110" i="4"/>
  <c r="Y111" i="4"/>
  <c r="AM73" i="4"/>
  <c r="AM80" i="4"/>
  <c r="O58" i="4"/>
  <c r="BA111" i="4"/>
  <c r="BH111" i="4"/>
  <c r="BV80" i="4"/>
  <c r="CR73" i="4"/>
  <c r="CR85" i="4" s="1"/>
  <c r="CR80" i="4"/>
  <c r="T80" i="4"/>
  <c r="BS111" i="4"/>
  <c r="AN111" i="4"/>
  <c r="CW79" i="4"/>
  <c r="CU110" i="4"/>
  <c r="CO85" i="4"/>
  <c r="AT110" i="4"/>
  <c r="AD110" i="4"/>
  <c r="BY80" i="4"/>
  <c r="BY85" i="4"/>
  <c r="CF111" i="4"/>
  <c r="AH110" i="4"/>
  <c r="N82" i="4"/>
  <c r="AO107" i="4"/>
  <c r="AO105" i="4"/>
  <c r="AJ105" i="4"/>
  <c r="AJ107" i="4"/>
  <c r="AN84" i="4"/>
  <c r="CT109" i="4"/>
  <c r="CW80" i="4"/>
  <c r="CW73" i="4"/>
  <c r="CW85" i="4" s="1"/>
  <c r="CT80" i="4"/>
  <c r="N109" i="4"/>
  <c r="BC80" i="4"/>
  <c r="BC85" i="4"/>
  <c r="CZ80" i="4"/>
  <c r="CZ73" i="4"/>
  <c r="CZ85" i="4" s="1"/>
  <c r="CT108" i="4"/>
  <c r="AM110" i="4"/>
  <c r="AI109" i="4"/>
  <c r="CE108" i="4"/>
  <c r="CR111" i="4"/>
  <c r="BP109" i="4"/>
  <c r="Y108" i="4"/>
  <c r="AO111" i="4"/>
  <c r="BA107" i="4"/>
  <c r="BA105" i="4"/>
  <c r="BE109" i="4"/>
  <c r="BU109" i="4"/>
  <c r="BJ109" i="4"/>
  <c r="CI109" i="4"/>
  <c r="BX81" i="4"/>
  <c r="BD85" i="4"/>
  <c r="BD80" i="4"/>
  <c r="CB84" i="4"/>
  <c r="DD84" i="4"/>
  <c r="BS84" i="4"/>
  <c r="AZ80" i="4"/>
  <c r="AZ85" i="4"/>
  <c r="BK80" i="4"/>
  <c r="BK85" i="4"/>
  <c r="AQ28" i="4"/>
  <c r="Q60" i="4"/>
  <c r="CS108" i="4"/>
  <c r="BF109" i="4"/>
  <c r="BH109" i="4"/>
  <c r="AY108" i="4"/>
  <c r="AD105" i="4"/>
  <c r="AD107" i="4"/>
  <c r="CR109" i="4"/>
  <c r="AU107" i="4"/>
  <c r="AU105" i="4"/>
  <c r="BK110" i="4"/>
  <c r="DB109" i="4"/>
  <c r="CQ105" i="4"/>
  <c r="CQ107" i="4"/>
  <c r="CK110" i="4"/>
  <c r="BH108" i="4"/>
  <c r="AG111" i="4"/>
  <c r="CG108" i="4"/>
  <c r="BC111" i="4"/>
  <c r="DC108" i="4"/>
  <c r="CB111" i="4"/>
  <c r="BQ109" i="4"/>
  <c r="AQ105" i="4"/>
  <c r="AQ107" i="4"/>
  <c r="BF110" i="4"/>
  <c r="CK105" i="4"/>
  <c r="CK107" i="4"/>
  <c r="BY110" i="4"/>
  <c r="CD105" i="4"/>
  <c r="CD107" i="4"/>
  <c r="CJ109" i="4"/>
  <c r="DB111" i="4"/>
  <c r="W109" i="4"/>
  <c r="BY111" i="4"/>
  <c r="CR108" i="4"/>
  <c r="L111" i="4"/>
  <c r="CG107" i="4"/>
  <c r="CG105" i="4"/>
  <c r="AK109" i="4"/>
  <c r="CM110" i="4"/>
  <c r="AX105" i="4"/>
  <c r="Z109" i="4"/>
  <c r="CN110" i="4"/>
  <c r="AY109" i="4"/>
  <c r="DA110" i="4"/>
  <c r="BO79" i="4"/>
  <c r="CA84" i="4"/>
  <c r="AH82" i="4"/>
  <c r="AQ83" i="4"/>
  <c r="DG82" i="4"/>
  <c r="BY83" i="4"/>
  <c r="BT82" i="4"/>
  <c r="AO82" i="4"/>
  <c r="AR81" i="4"/>
  <c r="AS81" i="4"/>
  <c r="BM84" i="4"/>
  <c r="CQ81" i="4"/>
  <c r="AG84" i="4"/>
  <c r="CB82" i="4"/>
  <c r="BE79" i="4"/>
  <c r="CV82" i="4"/>
  <c r="AG83" i="4"/>
  <c r="BB81" i="4"/>
  <c r="BB84" i="4"/>
  <c r="AZ83" i="4"/>
  <c r="CX81" i="4"/>
  <c r="CH85" i="4"/>
  <c r="AU79" i="4"/>
  <c r="L58" i="4"/>
  <c r="L60" i="4"/>
  <c r="AU84" i="4"/>
  <c r="AI83" i="4"/>
  <c r="AU82" i="4"/>
  <c r="AZ82" i="4"/>
  <c r="AP82" i="4"/>
  <c r="AT83" i="4"/>
  <c r="T81" i="4"/>
  <c r="BN83" i="4"/>
  <c r="CZ83" i="4"/>
  <c r="AT82" i="4"/>
  <c r="AN79" i="4"/>
  <c r="AP84" i="4"/>
  <c r="AW82" i="4"/>
  <c r="BK81" i="4"/>
  <c r="BG84" i="4"/>
  <c r="CU84" i="4"/>
  <c r="D21" i="4"/>
  <c r="D20" i="4"/>
  <c r="D22" i="4"/>
  <c r="P57" i="4"/>
  <c r="E21" i="4"/>
  <c r="E22" i="4"/>
  <c r="E20" i="4"/>
  <c r="AN81" i="4"/>
  <c r="BX79" i="4"/>
  <c r="BJ83" i="4"/>
  <c r="DE82" i="4"/>
  <c r="AK83" i="4"/>
  <c r="AW79" i="4"/>
  <c r="BM83" i="4"/>
  <c r="AK81" i="4"/>
  <c r="AL81" i="4"/>
  <c r="AZ84" i="4"/>
  <c r="BP82" i="4"/>
  <c r="BM79" i="4"/>
  <c r="BD84" i="4"/>
  <c r="BM82" i="4"/>
  <c r="AK79" i="4"/>
  <c r="BU84" i="4"/>
  <c r="AH79" i="4"/>
  <c r="N58" i="4"/>
  <c r="DG105" i="4"/>
  <c r="DG107" i="4"/>
  <c r="DG108" i="4"/>
  <c r="CI85" i="4"/>
  <c r="BP80" i="4"/>
  <c r="DC73" i="4"/>
  <c r="DC85" i="4" s="1"/>
  <c r="DC80" i="4"/>
  <c r="AI73" i="4"/>
  <c r="AI80" i="4"/>
  <c r="M56" i="4"/>
  <c r="P83" i="4"/>
  <c r="BS107" i="4"/>
  <c r="BS105" i="4"/>
  <c r="BB109" i="4"/>
  <c r="BN111" i="4"/>
  <c r="AP110" i="4"/>
  <c r="AT105" i="4"/>
  <c r="AT107" i="4"/>
  <c r="BJ110" i="4"/>
  <c r="BX107" i="4"/>
  <c r="BX105" i="4"/>
  <c r="DE110" i="4"/>
  <c r="AR109" i="4"/>
  <c r="CQ111" i="4"/>
  <c r="BN109" i="4"/>
  <c r="AN105" i="4"/>
  <c r="AN107" i="4"/>
  <c r="CM109" i="4"/>
  <c r="BG105" i="4"/>
  <c r="BG107" i="4"/>
  <c r="AC110" i="4"/>
  <c r="CC105" i="4"/>
  <c r="CR110" i="4"/>
  <c r="BR108" i="4"/>
  <c r="BL111" i="4"/>
  <c r="CK108" i="4"/>
  <c r="CE111" i="4"/>
  <c r="BX108" i="4"/>
  <c r="BL110" i="4"/>
  <c r="CE107" i="4"/>
  <c r="CE105" i="4"/>
  <c r="CZ109" i="4"/>
  <c r="BB107" i="4"/>
  <c r="BB105" i="4"/>
  <c r="CL109" i="4"/>
  <c r="CO111" i="4"/>
  <c r="BC108" i="4"/>
  <c r="DE109" i="4"/>
  <c r="BU111" i="4"/>
  <c r="AF108" i="4"/>
  <c r="CH109" i="4"/>
  <c r="BJ111" i="4"/>
  <c r="AS108" i="4"/>
  <c r="U110" i="4"/>
  <c r="CI111" i="4"/>
  <c r="AH28" i="4"/>
  <c r="CA81" i="4"/>
  <c r="S82" i="4"/>
  <c r="BC82" i="4"/>
  <c r="DF80" i="4"/>
  <c r="BZ85" i="4"/>
  <c r="BZ80" i="4"/>
  <c r="AO81" i="4"/>
  <c r="S84" i="4"/>
  <c r="AJ83" i="4"/>
  <c r="BT83" i="4"/>
  <c r="BY79" i="4"/>
  <c r="CA82" i="4"/>
  <c r="BD79" i="4"/>
  <c r="AY81" i="4"/>
  <c r="CY83" i="4"/>
  <c r="AZ81" i="4"/>
  <c r="BV84" i="4"/>
  <c r="BR84" i="4"/>
  <c r="BY82" i="4"/>
  <c r="BB79" i="4"/>
  <c r="CY81" i="4"/>
  <c r="AT79" i="4"/>
  <c r="M60" i="4"/>
  <c r="P59" i="4"/>
  <c r="N60" i="4"/>
  <c r="CI105" i="4"/>
  <c r="CI107" i="4"/>
  <c r="AR111" i="4"/>
  <c r="DE73" i="4"/>
  <c r="DE85" i="4" s="1"/>
  <c r="DE80" i="4"/>
  <c r="CP80" i="4"/>
  <c r="BM85" i="4"/>
  <c r="BM80" i="4"/>
  <c r="CN85" i="4"/>
  <c r="AY80" i="4"/>
  <c r="CX28" i="4"/>
  <c r="V110" i="4"/>
  <c r="CU108" i="4"/>
  <c r="BG109" i="4"/>
  <c r="BZ110" i="4"/>
  <c r="AC105" i="4"/>
  <c r="AC107" i="4"/>
  <c r="DD110" i="4"/>
  <c r="BU108" i="4"/>
  <c r="W111" i="4"/>
  <c r="AK108" i="4"/>
  <c r="AE111" i="4"/>
  <c r="BM109" i="4"/>
  <c r="L105" i="4"/>
  <c r="L107" i="4"/>
  <c r="CF109" i="4"/>
  <c r="BF105" i="4"/>
  <c r="BF107" i="4"/>
  <c r="AB110" i="4"/>
  <c r="CB105" i="4"/>
  <c r="CB107" i="4"/>
  <c r="BA110" i="4"/>
  <c r="DA105" i="4"/>
  <c r="DA107" i="4"/>
  <c r="R111" i="4"/>
  <c r="CJ108" i="4"/>
  <c r="CD111" i="4"/>
  <c r="AF109" i="4"/>
  <c r="CZ111" i="4"/>
  <c r="CP108" i="4"/>
  <c r="CD110" i="4"/>
  <c r="CW105" i="4"/>
  <c r="CW107" i="4"/>
  <c r="BQ105" i="4"/>
  <c r="BQ107" i="4"/>
  <c r="DA109" i="4"/>
  <c r="DD111" i="4"/>
  <c r="BO108" i="4"/>
  <c r="CG111" i="4"/>
  <c r="AR108" i="4"/>
  <c r="DF109" i="4"/>
  <c r="BV111" i="4"/>
  <c r="BE108" i="4"/>
  <c r="AG110" i="4"/>
  <c r="CU111" i="4"/>
  <c r="AO84" i="4"/>
  <c r="BX83" i="4"/>
  <c r="DF83" i="4"/>
  <c r="AP83" i="4"/>
  <c r="BE81" i="4"/>
  <c r="BJ81" i="4"/>
  <c r="BC84" i="4"/>
  <c r="CW84" i="4"/>
  <c r="BK83" i="4"/>
  <c r="CU83" i="4"/>
  <c r="CU79" i="4"/>
  <c r="CT82" i="4"/>
  <c r="CZ79" i="4"/>
  <c r="CX83" i="4"/>
  <c r="CB81" i="4"/>
  <c r="AI84" i="4"/>
  <c r="AM79" i="4"/>
  <c r="CX82" i="4"/>
  <c r="CW81" i="4"/>
  <c r="BS79" i="4"/>
  <c r="BC79" i="4"/>
  <c r="BJ79" i="4"/>
  <c r="L81" i="4"/>
  <c r="R56" i="4"/>
  <c r="L56" i="4"/>
  <c r="BK107" i="4"/>
  <c r="BK105" i="4"/>
  <c r="AI110" i="4"/>
  <c r="BU80" i="4"/>
  <c r="BU85" i="4"/>
  <c r="CU80" i="4"/>
  <c r="CU73" i="4"/>
  <c r="CU85" i="4" s="1"/>
  <c r="BB85" i="4"/>
  <c r="BB80" i="4"/>
  <c r="CQ80" i="4"/>
  <c r="S73" i="4"/>
  <c r="S85" i="4" s="1"/>
  <c r="S80" i="4"/>
  <c r="DG28" i="4"/>
  <c r="W110" i="4"/>
  <c r="CI110" i="4"/>
  <c r="AU111" i="4"/>
  <c r="AP111" i="4"/>
  <c r="CN105" i="4"/>
  <c r="CN107" i="4"/>
  <c r="BQ111" i="4"/>
  <c r="AH109" i="4"/>
  <c r="CK111" i="4"/>
  <c r="BF108" i="4"/>
  <c r="AZ111" i="4"/>
  <c r="CE109" i="4"/>
  <c r="AG105" i="4"/>
  <c r="AG107" i="4"/>
  <c r="DD109" i="4"/>
  <c r="CA105" i="4"/>
  <c r="CA107" i="4"/>
  <c r="AZ110" i="4"/>
  <c r="CZ105" i="4"/>
  <c r="CZ107" i="4"/>
  <c r="BV110" i="4"/>
  <c r="X108" i="4"/>
  <c r="AJ111" i="4"/>
  <c r="AE109" i="4"/>
  <c r="CY111" i="4"/>
  <c r="BA109" i="4"/>
  <c r="DA111" i="4"/>
  <c r="DE108" i="4"/>
  <c r="AB111" i="4"/>
  <c r="AC108" i="4"/>
  <c r="BM110" i="4"/>
  <c r="CF107" i="4"/>
  <c r="CF105" i="4"/>
  <c r="R110" i="4"/>
  <c r="Y107" i="4"/>
  <c r="Y105" i="4"/>
  <c r="CA108" i="4"/>
  <c r="AE110" i="4"/>
  <c r="CS111" i="4"/>
  <c r="BD108" i="4"/>
  <c r="T110" i="4"/>
  <c r="CH111" i="4"/>
  <c r="AS110" i="4"/>
  <c r="DG111" i="4"/>
  <c r="CV81" i="4"/>
  <c r="BY84" i="4"/>
  <c r="BD81" i="4"/>
  <c r="AT81" i="4"/>
  <c r="BY81" i="4"/>
  <c r="DD81" i="4"/>
  <c r="DB80" i="4"/>
  <c r="CS84" i="4"/>
  <c r="AP79" i="4"/>
  <c r="CT83" i="4"/>
  <c r="BZ79" i="4"/>
  <c r="CR81" i="4"/>
  <c r="AH84" i="4"/>
  <c r="CS81" i="4"/>
  <c r="AY84" i="4"/>
  <c r="AH83" i="4"/>
  <c r="BX82" i="4"/>
  <c r="CZ84" i="4"/>
  <c r="AY82" i="4"/>
  <c r="BT79" i="4"/>
  <c r="O56" i="4"/>
  <c r="Q57" i="4"/>
  <c r="L59" i="4"/>
  <c r="DG109" i="4"/>
  <c r="AW73" i="4"/>
  <c r="AW85" i="4" s="1"/>
  <c r="AW80" i="4"/>
  <c r="CY73" i="4"/>
  <c r="CY85" i="4" s="1"/>
  <c r="CY80" i="4"/>
  <c r="BV28" i="4"/>
  <c r="CU28" i="4"/>
  <c r="AJ108" i="4"/>
  <c r="K111" i="4"/>
  <c r="M57" i="4"/>
  <c r="AV111" i="4"/>
  <c r="BA108" i="4"/>
  <c r="AS105" i="4"/>
  <c r="AS107" i="4"/>
  <c r="CV109" i="4"/>
  <c r="L73" i="4"/>
  <c r="L85" i="4" s="1"/>
  <c r="L80" i="4"/>
  <c r="CD108" i="4"/>
  <c r="BR111" i="4"/>
  <c r="DC109" i="4"/>
  <c r="BE107" i="4"/>
  <c r="BE105" i="4"/>
  <c r="AA110" i="4"/>
  <c r="CY105" i="4"/>
  <c r="CY107" i="4"/>
  <c r="BU110" i="4"/>
  <c r="W108" i="4"/>
  <c r="CQ110" i="4"/>
  <c r="AP108" i="4"/>
  <c r="BE111" i="4"/>
  <c r="AZ109" i="4"/>
  <c r="R84" i="4"/>
  <c r="BY109" i="4"/>
  <c r="S105" i="4"/>
  <c r="V109" i="4"/>
  <c r="AQ111" i="4"/>
  <c r="AU108" i="4"/>
  <c r="CE110" i="4"/>
  <c r="CX105" i="4"/>
  <c r="CX107" i="4"/>
  <c r="AJ110" i="4"/>
  <c r="AK107" i="4"/>
  <c r="AK105" i="4"/>
  <c r="CM108" i="4"/>
  <c r="AQ110" i="4"/>
  <c r="DE111" i="4"/>
  <c r="BP108" i="4"/>
  <c r="AF110" i="4"/>
  <c r="CT111" i="4"/>
  <c r="CO108" i="4"/>
  <c r="BE110" i="4"/>
  <c r="AR83" i="4"/>
  <c r="BN84" i="4"/>
  <c r="AJ81" i="4"/>
  <c r="AY79" i="4"/>
  <c r="BT81" i="4"/>
  <c r="DB81" i="4"/>
  <c r="AI82" i="4"/>
  <c r="DE81" i="4"/>
  <c r="AP81" i="4"/>
  <c r="AO79" i="4"/>
  <c r="CR79" i="4"/>
  <c r="BK84" i="4"/>
  <c r="AH81" i="4"/>
  <c r="AS83" i="4"/>
  <c r="DG81" i="4"/>
  <c r="AW84" i="4"/>
  <c r="BQ84" i="4"/>
  <c r="AS82" i="4"/>
  <c r="BR80" i="4"/>
  <c r="AW83" i="4"/>
  <c r="AZ79" i="4"/>
  <c r="AN83" i="4"/>
  <c r="DD79" i="4"/>
  <c r="BZ82" i="4"/>
  <c r="DE79" i="4"/>
  <c r="CX79" i="4"/>
  <c r="N57" i="4"/>
  <c r="Q58" i="4"/>
  <c r="CS80" i="4"/>
  <c r="O109" i="4"/>
  <c r="AN73" i="4"/>
  <c r="AN85" i="4" s="1"/>
  <c r="AN80" i="4"/>
  <c r="CA80" i="4"/>
  <c r="N56" i="4"/>
  <c r="X110" i="4"/>
  <c r="AB107" i="4"/>
  <c r="AB105" i="4"/>
  <c r="P58" i="4"/>
  <c r="N81" i="4"/>
  <c r="AO110" i="4"/>
  <c r="DD105" i="4"/>
  <c r="DD107" i="4"/>
  <c r="AV105" i="4"/>
  <c r="AV107" i="4"/>
  <c r="AF105" i="4"/>
  <c r="AF107" i="4"/>
  <c r="Z110" i="4"/>
  <c r="BZ105" i="4"/>
  <c r="BZ107" i="4"/>
  <c r="BT110" i="4"/>
  <c r="V108" i="4"/>
  <c r="CP110" i="4"/>
  <c r="AO108" i="4"/>
  <c r="Q111" i="4"/>
  <c r="CI108" i="4"/>
  <c r="BX109" i="4"/>
  <c r="L79" i="4"/>
  <c r="CQ109" i="4"/>
  <c r="AH105" i="4"/>
  <c r="AH107" i="4"/>
  <c r="AN109" i="4"/>
  <c r="BF111" i="4"/>
  <c r="BJ108" i="4"/>
  <c r="CT110" i="4"/>
  <c r="AD108" i="4"/>
  <c r="AY110" i="4"/>
  <c r="AW107" i="4"/>
  <c r="AW105" i="4"/>
  <c r="CY108" i="4"/>
  <c r="BC110" i="4"/>
  <c r="R79" i="4"/>
  <c r="CB108" i="4"/>
  <c r="AR110" i="4"/>
  <c r="O105" i="4"/>
  <c r="O107" i="4"/>
  <c r="DA108" i="4"/>
  <c r="BQ110" i="4"/>
  <c r="BD83" i="4"/>
  <c r="CZ81" i="4"/>
  <c r="DC81" i="4"/>
  <c r="DG83" i="4"/>
  <c r="BE85" i="4"/>
  <c r="BE80" i="4"/>
  <c r="CP81" i="4"/>
  <c r="BG82" i="4"/>
  <c r="BR82" i="4"/>
  <c r="AM82" i="4"/>
  <c r="BL81" i="4"/>
  <c r="BJ84" i="4"/>
  <c r="CY84" i="4"/>
  <c r="AV81" i="4"/>
  <c r="BL83" i="4"/>
  <c r="BP84" i="4"/>
  <c r="AR82" i="4"/>
  <c r="BO82" i="4"/>
  <c r="CG85" i="4"/>
  <c r="BS83" i="4"/>
  <c r="CZ82" i="4"/>
  <c r="BR79" i="4"/>
  <c r="BB83" i="4"/>
  <c r="AS79" i="4"/>
  <c r="BT84" i="4"/>
  <c r="N59" i="4"/>
  <c r="Q59" i="4"/>
  <c r="M59" i="4"/>
  <c r="BW111" i="4"/>
  <c r="BQ108" i="4"/>
  <c r="AA107" i="4"/>
  <c r="AA105" i="4"/>
  <c r="CE85" i="4"/>
  <c r="AK73" i="4"/>
  <c r="AK85" i="4" s="1"/>
  <c r="AK80" i="4"/>
  <c r="BL80" i="4"/>
  <c r="CL85" i="4"/>
  <c r="AT28" i="4"/>
  <c r="BS28" i="4"/>
  <c r="R60" i="4"/>
  <c r="AZ108" i="4"/>
  <c r="DB110" i="4"/>
  <c r="K81" i="4"/>
  <c r="X107" i="4"/>
  <c r="X105" i="4"/>
  <c r="DC110" i="4"/>
  <c r="BT108" i="4"/>
  <c r="V111" i="4"/>
  <c r="BW108" i="4"/>
  <c r="AQ109" i="4"/>
  <c r="BD105" i="4"/>
  <c r="BD107" i="4"/>
  <c r="AU110" i="4"/>
  <c r="CR105" i="4"/>
  <c r="CR107" i="4"/>
  <c r="CL110" i="4"/>
  <c r="AN108" i="4"/>
  <c r="P111" i="4"/>
  <c r="BM108" i="4"/>
  <c r="AI111" i="4"/>
  <c r="DD108" i="4"/>
  <c r="CX111" i="4"/>
  <c r="CP109" i="4"/>
  <c r="W107" i="4"/>
  <c r="W105" i="4"/>
  <c r="AL110" i="4"/>
  <c r="AZ107" i="4"/>
  <c r="AZ105" i="4"/>
  <c r="BC109" i="4"/>
  <c r="BX111" i="4"/>
  <c r="BY108" i="4"/>
  <c r="AC111" i="4"/>
  <c r="BK108" i="4"/>
  <c r="BN110" i="4"/>
  <c r="M109" i="4"/>
  <c r="BO110" i="4"/>
  <c r="Z105" i="4"/>
  <c r="Z107" i="4"/>
  <c r="CN108" i="4"/>
  <c r="BD110" i="4"/>
  <c r="AM107" i="4"/>
  <c r="AM105" i="4"/>
  <c r="AA109" i="4"/>
  <c r="BX84" i="4"/>
  <c r="CR82" i="4"/>
  <c r="AP73" i="4"/>
  <c r="AP85" i="4" s="1"/>
  <c r="AP80" i="4"/>
  <c r="BV81" i="4"/>
  <c r="BB82" i="4"/>
  <c r="CQ82" i="4"/>
  <c r="CS82" i="4"/>
  <c r="BS82" i="4"/>
  <c r="BN81" i="4"/>
  <c r="BS80" i="4"/>
  <c r="CX84" i="4"/>
  <c r="BM81" i="4"/>
  <c r="AQ82" i="4"/>
  <c r="BK82" i="4"/>
  <c r="BG79" i="4"/>
  <c r="CR83" i="4"/>
  <c r="BG85" i="4"/>
  <c r="BG80" i="4"/>
  <c r="AO83" i="4"/>
  <c r="P56" i="4"/>
  <c r="R57" i="4"/>
  <c r="O60" i="4"/>
  <c r="O111" i="4"/>
  <c r="BN80" i="4"/>
  <c r="BX85" i="4"/>
  <c r="BX80" i="4"/>
  <c r="CM105" i="4"/>
  <c r="CM107" i="4"/>
  <c r="CD85" i="4"/>
  <c r="AG108" i="4"/>
  <c r="Q110" i="4"/>
  <c r="DG80" i="4"/>
  <c r="AS80" i="4"/>
  <c r="AS73" i="4"/>
  <c r="AS85" i="4" s="1"/>
  <c r="BQ80" i="4"/>
  <c r="DD73" i="4"/>
  <c r="DD85" i="4" s="1"/>
  <c r="DD80" i="4"/>
  <c r="BO80" i="4"/>
  <c r="DA80" i="4"/>
  <c r="AV80" i="4"/>
  <c r="BW80" i="4"/>
  <c r="AI108" i="4"/>
  <c r="AN110" i="4"/>
  <c r="BR105" i="4"/>
  <c r="BR107" i="4"/>
  <c r="BT107" i="4"/>
  <c r="BT105" i="4"/>
  <c r="CL105" i="4"/>
  <c r="CL107" i="4"/>
  <c r="BP111" i="4"/>
  <c r="AG109" i="4"/>
  <c r="CJ111" i="4"/>
  <c r="CX109" i="4"/>
  <c r="CD109" i="4"/>
  <c r="BY105" i="4"/>
  <c r="BY107" i="4"/>
  <c r="BS110" i="4"/>
  <c r="AM108" i="4"/>
  <c r="DG110" i="4"/>
  <c r="BL108" i="4"/>
  <c r="AH111" i="4"/>
  <c r="CH108" i="4"/>
  <c r="BD111" i="4"/>
  <c r="AD109" i="4"/>
  <c r="V105" i="4"/>
  <c r="V107" i="4"/>
  <c r="AK110" i="4"/>
  <c r="BM105" i="4"/>
  <c r="BM107" i="4"/>
  <c r="BG110" i="4"/>
  <c r="BO105" i="4"/>
  <c r="BO107" i="4"/>
  <c r="BR109" i="4"/>
  <c r="CM111" i="4"/>
  <c r="DF108" i="4"/>
  <c r="BG111" i="4"/>
  <c r="BZ108" i="4"/>
  <c r="CF110" i="4"/>
  <c r="BU107" i="4"/>
  <c r="BU105" i="4"/>
  <c r="Y109" i="4"/>
  <c r="CA110" i="4"/>
  <c r="AL105" i="4"/>
  <c r="AL107" i="4"/>
  <c r="CZ108" i="4"/>
  <c r="BP110" i="4"/>
  <c r="AY105" i="4"/>
  <c r="AY107" i="4"/>
  <c r="AM109" i="4"/>
  <c r="CO110" i="4"/>
  <c r="BV83" i="4"/>
  <c r="BE82" i="4"/>
  <c r="BZ83" i="4"/>
  <c r="BG81" i="4"/>
  <c r="BD82" i="4"/>
  <c r="AY83" i="4"/>
  <c r="BE83" i="4"/>
  <c r="CY82" i="4"/>
  <c r="AN82" i="4"/>
  <c r="AT84" i="4"/>
  <c r="BZ81" i="4"/>
  <c r="CW83" i="4"/>
  <c r="BJ82" i="4"/>
  <c r="CW82" i="4"/>
  <c r="AM81" i="4"/>
  <c r="AK84" i="4"/>
  <c r="AM83" i="4"/>
  <c r="DC79" i="4"/>
  <c r="DD83" i="4"/>
  <c r="BT80" i="4"/>
  <c r="BC83" i="4"/>
  <c r="BU79" i="4"/>
  <c r="S79" i="4"/>
  <c r="O57" i="4"/>
  <c r="R58" i="4"/>
  <c r="C20" i="4"/>
  <c r="C22" i="4"/>
  <c r="C21" i="4"/>
  <c r="P51" i="4"/>
  <c r="Q51" i="4"/>
  <c r="R51" i="4"/>
  <c r="CA20" i="4"/>
  <c r="L50" i="4"/>
  <c r="P50" i="4"/>
  <c r="L49" i="4"/>
  <c r="AW20" i="4"/>
  <c r="Q49" i="4"/>
  <c r="L52" i="4"/>
  <c r="O53" i="4"/>
  <c r="R52" i="4"/>
  <c r="R53" i="4"/>
  <c r="P53" i="4"/>
  <c r="Q53" i="4"/>
  <c r="Q50" i="4"/>
  <c r="M52" i="4"/>
  <c r="R50" i="4"/>
  <c r="N52" i="4"/>
  <c r="M49" i="4"/>
  <c r="L51" i="4"/>
  <c r="N49" i="4"/>
  <c r="M51" i="4"/>
  <c r="O49" i="4"/>
  <c r="N51" i="4"/>
  <c r="M53" i="4"/>
  <c r="P49" i="4"/>
  <c r="O51" i="4"/>
  <c r="N53" i="4"/>
  <c r="R49" i="4"/>
  <c r="M50" i="4"/>
  <c r="O52" i="4"/>
  <c r="N50" i="4"/>
  <c r="P52" i="4"/>
  <c r="O50" i="4"/>
  <c r="Q52" i="4"/>
  <c r="L53" i="4"/>
  <c r="BI85" i="4"/>
  <c r="BI80" i="4"/>
  <c r="BI79" i="4"/>
  <c r="BI81" i="4"/>
  <c r="BI82" i="4"/>
  <c r="BI83" i="4"/>
  <c r="BI84" i="4"/>
  <c r="BI105" i="4"/>
  <c r="BI107" i="4"/>
  <c r="BI108" i="4"/>
  <c r="BI109" i="4"/>
  <c r="BI110" i="4"/>
  <c r="BI111" i="4"/>
  <c r="AG85" i="4" l="1"/>
  <c r="AI85" i="4"/>
  <c r="BR85" i="4"/>
  <c r="AM85" i="4"/>
  <c r="CX85" i="4"/>
  <c r="BS85" i="4"/>
  <c r="AY85" i="4"/>
  <c r="BT85" i="4"/>
  <c r="AO85" i="4"/>
  <c r="P85" i="4"/>
  <c r="F81" i="4"/>
  <c r="E83" i="4"/>
  <c r="C103" i="4"/>
  <c r="F82" i="4"/>
  <c r="F83" i="4"/>
  <c r="D102" i="4"/>
  <c r="C100" i="4"/>
  <c r="D58" i="4"/>
  <c r="E100" i="4"/>
  <c r="D100" i="4"/>
  <c r="C102" i="4"/>
  <c r="E103" i="4"/>
  <c r="E102" i="4"/>
  <c r="D83" i="4"/>
  <c r="C84" i="4"/>
  <c r="D104" i="4"/>
  <c r="E81" i="4"/>
  <c r="D84" i="4"/>
  <c r="E80" i="4"/>
  <c r="F60" i="4"/>
  <c r="E60" i="4" s="1"/>
  <c r="C101" i="4"/>
  <c r="D60" i="4"/>
  <c r="F59" i="4"/>
  <c r="E59" i="4" s="1"/>
  <c r="C83" i="4"/>
  <c r="F58" i="4"/>
  <c r="E58" i="4" s="1"/>
  <c r="CA85" i="4"/>
  <c r="D101" i="4"/>
  <c r="E82" i="4"/>
  <c r="E104" i="4"/>
  <c r="E101" i="4"/>
  <c r="D59" i="4"/>
  <c r="E84" i="4"/>
  <c r="C80" i="4"/>
  <c r="C81" i="4"/>
  <c r="F57" i="4"/>
  <c r="E57" i="4" s="1"/>
  <c r="D80" i="4"/>
  <c r="C104" i="4"/>
  <c r="D82" i="4"/>
  <c r="D81" i="4"/>
  <c r="C82" i="4"/>
  <c r="D103" i="4"/>
  <c r="F84" i="4"/>
  <c r="D57" i="4"/>
  <c r="F56" i="4"/>
  <c r="E56" i="4" s="1"/>
  <c r="W14" i="4"/>
  <c r="T14" i="4"/>
  <c r="AE14" i="4"/>
  <c r="X14" i="4"/>
  <c r="V14" i="4"/>
  <c r="Y14" i="4"/>
  <c r="S14" i="4"/>
  <c r="Z14" i="4"/>
  <c r="AF14" i="4"/>
  <c r="AC14" i="4"/>
  <c r="AD14" i="4"/>
  <c r="AA14" i="4"/>
  <c r="AB14" i="4"/>
  <c r="U14" i="4"/>
  <c r="CP85" i="4"/>
  <c r="D56" i="4"/>
  <c r="DG85" i="4"/>
  <c r="T21" i="4"/>
  <c r="AD21" i="4"/>
  <c r="AF21" i="4"/>
  <c r="V21" i="4"/>
  <c r="X21" i="4"/>
  <c r="S21" i="4"/>
  <c r="AE21" i="4"/>
  <c r="U21" i="4"/>
  <c r="AB21" i="4"/>
  <c r="W21" i="4"/>
  <c r="Y21" i="4"/>
  <c r="AA21" i="4"/>
  <c r="Z21" i="4"/>
  <c r="AC21" i="4"/>
  <c r="BO85" i="4"/>
  <c r="CE21" i="4"/>
  <c r="CL21" i="4"/>
  <c r="CD21" i="4"/>
  <c r="CO21" i="4"/>
  <c r="CM21" i="4"/>
  <c r="CI21" i="4"/>
  <c r="CN21" i="4"/>
  <c r="CC21" i="4"/>
  <c r="CJ21" i="4"/>
  <c r="CK21" i="4"/>
  <c r="CG21" i="4"/>
  <c r="CF21" i="4"/>
  <c r="CH21" i="4"/>
  <c r="BH14" i="4"/>
  <c r="BD14" i="4"/>
  <c r="BG14" i="4"/>
  <c r="AZ14" i="4"/>
  <c r="BK14" i="4"/>
  <c r="BE14" i="4"/>
  <c r="BC14" i="4"/>
  <c r="BF14" i="4"/>
  <c r="BB14" i="4"/>
  <c r="AY14" i="4"/>
  <c r="BI14" i="4"/>
  <c r="AX14" i="4"/>
  <c r="BA14" i="4"/>
  <c r="BJ14" i="4"/>
  <c r="BE21" i="4"/>
  <c r="BC21" i="4"/>
  <c r="BJ21" i="4"/>
  <c r="BA21" i="4"/>
  <c r="BD21" i="4"/>
  <c r="AX21" i="4"/>
  <c r="BG21" i="4"/>
  <c r="BH21" i="4"/>
  <c r="BB21" i="4"/>
  <c r="BF21" i="4"/>
  <c r="AY21" i="4"/>
  <c r="BI21" i="4"/>
  <c r="BK21" i="4"/>
  <c r="AZ21" i="4"/>
  <c r="CH14" i="4"/>
  <c r="CO14" i="4"/>
  <c r="CD14" i="4"/>
  <c r="CJ14" i="4"/>
  <c r="CN14" i="4"/>
  <c r="CE14" i="4"/>
  <c r="CG14" i="4"/>
  <c r="CM14" i="4"/>
  <c r="CF14" i="4"/>
  <c r="CK14" i="4"/>
  <c r="CI14" i="4"/>
  <c r="CC14" i="4"/>
  <c r="CL14" i="4"/>
  <c r="BL85" i="4"/>
  <c r="AQ85" i="4"/>
  <c r="BV85" i="4"/>
  <c r="Q8" i="5"/>
  <c r="F6" i="9" s="1"/>
  <c r="CT21" i="4"/>
  <c r="AW21" i="4"/>
  <c r="CB85" i="4"/>
  <c r="T85" i="4"/>
  <c r="BV14" i="4"/>
  <c r="BS14" i="4"/>
  <c r="AV21" i="4"/>
  <c r="AI14" i="4"/>
  <c r="AN21" i="4"/>
  <c r="AM21" i="4"/>
  <c r="AJ14" i="4"/>
  <c r="BQ14" i="4"/>
  <c r="AJ21" i="4"/>
  <c r="CQ85" i="4"/>
  <c r="Q85" i="4"/>
  <c r="DA14" i="4"/>
  <c r="D34" i="4"/>
  <c r="BM14" i="4"/>
  <c r="Q21" i="4"/>
  <c r="CQ21" i="4"/>
  <c r="BX14" i="4"/>
  <c r="AM14" i="4"/>
  <c r="E34" i="4"/>
  <c r="CX21" i="4"/>
  <c r="CW21" i="4"/>
  <c r="L14" i="4"/>
  <c r="CV14" i="4"/>
  <c r="N21" i="4"/>
  <c r="AQ14" i="4"/>
  <c r="CY21" i="4"/>
  <c r="K14" i="4"/>
  <c r="BT21" i="4"/>
  <c r="D67" i="4"/>
  <c r="M21" i="4"/>
  <c r="AH21" i="4"/>
  <c r="CQ14" i="4"/>
  <c r="F22" i="4"/>
  <c r="DA21" i="4"/>
  <c r="DE14" i="4"/>
  <c r="DF14" i="4"/>
  <c r="BW85" i="4"/>
  <c r="DF85" i="4"/>
  <c r="BO21" i="4"/>
  <c r="AL85" i="4"/>
  <c r="AV85" i="4"/>
  <c r="CT85" i="4"/>
  <c r="P21" i="4"/>
  <c r="AP21" i="4"/>
  <c r="AU21" i="4"/>
  <c r="AQ21" i="4"/>
  <c r="N14" i="4"/>
  <c r="F54" i="4"/>
  <c r="CB14" i="4"/>
  <c r="CW14" i="4"/>
  <c r="O85" i="4"/>
  <c r="CB21" i="4"/>
  <c r="AN14" i="4"/>
  <c r="CU14" i="4"/>
  <c r="DE21" i="4"/>
  <c r="R21" i="4"/>
  <c r="DD14" i="4"/>
  <c r="BM21" i="4"/>
  <c r="BZ21" i="4"/>
  <c r="BQ21" i="4"/>
  <c r="DA85" i="4"/>
  <c r="Q9" i="5"/>
  <c r="L21" i="4"/>
  <c r="AL21" i="4"/>
  <c r="F28" i="4"/>
  <c r="N85" i="4"/>
  <c r="AT14" i="4"/>
  <c r="CX14" i="4"/>
  <c r="K85" i="4"/>
  <c r="AR14" i="4"/>
  <c r="DG21" i="4"/>
  <c r="F21" i="4"/>
  <c r="CS85" i="4"/>
  <c r="AR85" i="4"/>
  <c r="BL21" i="4"/>
  <c r="BX21" i="4"/>
  <c r="AK21" i="4"/>
  <c r="AG14" i="4"/>
  <c r="AK14" i="4"/>
  <c r="AW14" i="4"/>
  <c r="BP14" i="4"/>
  <c r="CV21" i="4"/>
  <c r="DB21" i="4"/>
  <c r="F34" i="4"/>
  <c r="C34" i="4"/>
  <c r="CA21" i="4"/>
  <c r="DB85" i="4"/>
  <c r="AG21" i="4"/>
  <c r="CT14" i="4"/>
  <c r="DC21" i="4"/>
  <c r="DD21" i="4"/>
  <c r="BZ14" i="4"/>
  <c r="Q6" i="5"/>
  <c r="E67" i="4"/>
  <c r="BN85" i="4"/>
  <c r="BP21" i="4"/>
  <c r="M85" i="4"/>
  <c r="CZ14" i="4"/>
  <c r="AT21" i="4"/>
  <c r="AH14" i="4"/>
  <c r="CU21" i="4"/>
  <c r="CR14" i="4"/>
  <c r="C67" i="4"/>
  <c r="CV85" i="4"/>
  <c r="BQ85" i="4"/>
  <c r="BV21" i="4"/>
  <c r="BU21" i="4"/>
  <c r="BP85" i="4"/>
  <c r="CS21" i="4"/>
  <c r="AV14" i="4"/>
  <c r="CP14" i="4"/>
  <c r="CZ21" i="4"/>
  <c r="BR14" i="4"/>
  <c r="M14" i="4"/>
  <c r="CS14" i="4"/>
  <c r="AS14" i="4"/>
  <c r="CA14" i="4"/>
  <c r="DG14" i="4"/>
  <c r="BW14" i="4"/>
  <c r="AR21" i="4"/>
  <c r="BO14" i="4"/>
  <c r="AP14" i="4"/>
  <c r="BY14" i="4"/>
  <c r="BN14" i="4"/>
  <c r="AI21" i="4"/>
  <c r="AO14" i="4"/>
  <c r="CY14" i="4"/>
  <c r="P14" i="4"/>
  <c r="K21" i="4"/>
  <c r="CP21" i="4"/>
  <c r="O21" i="4"/>
  <c r="BN21" i="4"/>
  <c r="BW21" i="4"/>
  <c r="BS21" i="4"/>
  <c r="AS21" i="4"/>
  <c r="DF21" i="4"/>
  <c r="AO21" i="4"/>
  <c r="F20" i="4"/>
  <c r="BR21" i="4"/>
  <c r="BY21" i="4"/>
  <c r="O14" i="4"/>
  <c r="CR21" i="4"/>
  <c r="Q14" i="4"/>
  <c r="DB14" i="4"/>
  <c r="DC14" i="4"/>
  <c r="R14" i="4"/>
  <c r="AU14" i="4"/>
  <c r="AL14" i="4"/>
  <c r="BL14" i="4"/>
  <c r="BT14" i="4"/>
  <c r="BU14" i="4"/>
  <c r="D105" i="4" l="1"/>
  <c r="E105" i="4"/>
  <c r="C105" i="4"/>
  <c r="F47" i="4"/>
  <c r="F45" i="4"/>
  <c r="F44" i="4"/>
  <c r="F43" i="4"/>
  <c r="F46" i="4"/>
  <c r="Q7" i="5"/>
  <c r="R7" i="5" s="1"/>
  <c r="R8" i="5"/>
  <c r="G6" i="9" s="1"/>
  <c r="F85" i="4"/>
  <c r="E85" i="4"/>
  <c r="D61" i="4"/>
  <c r="F61" i="4"/>
  <c r="D85" i="4"/>
  <c r="C85" i="4"/>
  <c r="Q4" i="5"/>
  <c r="F3" i="9" s="1"/>
  <c r="G13" i="1"/>
  <c r="E61" i="4" l="1"/>
  <c r="Q3" i="5"/>
  <c r="F48" i="4"/>
  <c r="F5" i="9"/>
  <c r="R4" i="5"/>
  <c r="G3" i="9" s="1"/>
  <c r="G5" i="9"/>
  <c r="Q5" i="5" l="1"/>
  <c r="R5" i="5" s="1"/>
  <c r="F2" i="9"/>
  <c r="R3" i="5"/>
  <c r="G2" i="9" s="1"/>
  <c r="G4" i="9" l="1"/>
  <c r="G16" i="9" s="1"/>
  <c r="R20" i="5"/>
  <c r="F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tc={FBCA4655-38AD-F24D-B932-58B922300DD2}</author>
    <author>tc={C5893B76-CD35-024F-83B7-FF8EEBE87849}</author>
  </authors>
  <commentList>
    <comment ref="B5" authorId="0" shapeId="0" xr:uid="{FBCA4655-38AD-F24D-B932-58B922300DD2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that was identified as cropped at least once during the 5-year period</t>
      </text>
    </comment>
    <comment ref="B6" authorId="1" shapeId="0" xr:uid="{C5893B76-CD35-024F-83B7-FF8EEBE87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that was identified as irrigated at least once during the 5-year period</t>
      </text>
    </comment>
  </commentList>
</comments>
</file>

<file path=xl/sharedStrings.xml><?xml version="1.0" encoding="utf-8"?>
<sst xmlns="http://schemas.openxmlformats.org/spreadsheetml/2006/main" count="1239" uniqueCount="216">
  <si>
    <t>Adequacy</t>
  </si>
  <si>
    <t>Reliability</t>
  </si>
  <si>
    <t>Equity</t>
  </si>
  <si>
    <t>Productivity</t>
  </si>
  <si>
    <t>Indicator</t>
  </si>
  <si>
    <t>Cropping Intensity</t>
  </si>
  <si>
    <t>Irrigated Area</t>
  </si>
  <si>
    <t>Comment</t>
  </si>
  <si>
    <t>Water Productivity (in terms of biomass)</t>
  </si>
  <si>
    <t>Water Productivity (in terms of yield)</t>
  </si>
  <si>
    <t>Temporal Resolution</t>
  </si>
  <si>
    <t>Annual</t>
  </si>
  <si>
    <t>Unit</t>
  </si>
  <si>
    <t>-</t>
  </si>
  <si>
    <t>%</t>
  </si>
  <si>
    <t>Yield Gap due to water stress</t>
  </si>
  <si>
    <t>Description</t>
  </si>
  <si>
    <t>Standard deviation of ETa over irrigated areas divided by average ETa</t>
  </si>
  <si>
    <t>kgDM/m3</t>
  </si>
  <si>
    <t>kg/m3</t>
  </si>
  <si>
    <t>Range of average crop-specific monthly Relative
ET (ET/ETp), considering for each scheme the
most common irrigated crop(s) and the corresponding
cropping season</t>
  </si>
  <si>
    <t>(Ypotential​−Yactual​​)/(Ypotential​)×100</t>
  </si>
  <si>
    <t>RWD=1-(Eta/Etp)</t>
  </si>
  <si>
    <t>Area</t>
  </si>
  <si>
    <t>Area%</t>
  </si>
  <si>
    <t>Crop Type</t>
  </si>
  <si>
    <t>CropID</t>
  </si>
  <si>
    <t>ETa</t>
  </si>
  <si>
    <t>ETblue</t>
  </si>
  <si>
    <t>ETcv</t>
  </si>
  <si>
    <t>ETgreen</t>
  </si>
  <si>
    <t>Name</t>
  </si>
  <si>
    <t>Precip</t>
  </si>
  <si>
    <t>RETmax</t>
  </si>
  <si>
    <t>RETmin</t>
  </si>
  <si>
    <t>Season</t>
  </si>
  <si>
    <t>TBP</t>
  </si>
  <si>
    <t>TBP_P</t>
  </si>
  <si>
    <t>status</t>
  </si>
  <si>
    <t>year</t>
  </si>
  <si>
    <t>Kharif Crop</t>
  </si>
  <si>
    <t>IRRIGATED</t>
  </si>
  <si>
    <t>Rabi Crop</t>
  </si>
  <si>
    <t>Zaid Crop</t>
  </si>
  <si>
    <t>Double Crop Kharif/Rabi</t>
  </si>
  <si>
    <t>Double Crop Kharif/Zaid</t>
  </si>
  <si>
    <t>Double Crop Rabi/Zaid</t>
  </si>
  <si>
    <t>Triple Crop</t>
  </si>
  <si>
    <t>Perennial Crops</t>
  </si>
  <si>
    <t>Cotton</t>
  </si>
  <si>
    <t>Sugarcane</t>
  </si>
  <si>
    <t>Other Irrigated (Less Water Intensive)</t>
  </si>
  <si>
    <t>Wheat</t>
  </si>
  <si>
    <t>Chickpea</t>
  </si>
  <si>
    <t>Jowar</t>
  </si>
  <si>
    <t>Other Irrigated (High Water Intensive)</t>
  </si>
  <si>
    <t>Groundnut</t>
  </si>
  <si>
    <t>RAINFED</t>
  </si>
  <si>
    <t>Other Rainfed</t>
  </si>
  <si>
    <t>Paddy</t>
  </si>
  <si>
    <t>Redgram</t>
  </si>
  <si>
    <t>Chili</t>
  </si>
  <si>
    <t>Kharif</t>
  </si>
  <si>
    <t>Rabi</t>
  </si>
  <si>
    <t>Zaid</t>
  </si>
  <si>
    <t>Command Area</t>
  </si>
  <si>
    <t>AVERAGE</t>
  </si>
  <si>
    <t>Scheme</t>
  </si>
  <si>
    <t>hectares</t>
  </si>
  <si>
    <t>Total</t>
  </si>
  <si>
    <t>FRACTION OF IRRIGABLE LAND</t>
  </si>
  <si>
    <t>Cropped Area</t>
  </si>
  <si>
    <t>Rainfed Area</t>
  </si>
  <si>
    <t>IRRIGATED AREA FRACTION</t>
  </si>
  <si>
    <t>Standard deviation of ETa</t>
  </si>
  <si>
    <t>over irrigated areas</t>
  </si>
  <si>
    <t>divided by average ETa</t>
  </si>
  <si>
    <t>Weighted Average</t>
  </si>
  <si>
    <t>HI</t>
  </si>
  <si>
    <t>MC</t>
  </si>
  <si>
    <t>Low Water Intensive Crops</t>
  </si>
  <si>
    <t>Water Intensive</t>
  </si>
  <si>
    <t>Descending/Ascending</t>
  </si>
  <si>
    <t>A</t>
  </si>
  <si>
    <t>D</t>
  </si>
  <si>
    <t>Season (s)</t>
  </si>
  <si>
    <t>All Annual Crops</t>
  </si>
  <si>
    <t>All Irrigated Crops</t>
  </si>
  <si>
    <t>AVERAGE SCORE</t>
  </si>
  <si>
    <t>Weighted mean of all crops (weighted by irrigated area per crop)</t>
  </si>
  <si>
    <t>Seasonal or Annual</t>
  </si>
  <si>
    <t>Annual (per crop)</t>
  </si>
  <si>
    <t>Crop Types</t>
  </si>
  <si>
    <t>Indicator Weight</t>
  </si>
  <si>
    <t>N</t>
  </si>
  <si>
    <t>Y</t>
  </si>
  <si>
    <t>Crop Specific (Y/N)</t>
  </si>
  <si>
    <t>Units</t>
  </si>
  <si>
    <t>%/100</t>
  </si>
  <si>
    <t>Target Value</t>
  </si>
  <si>
    <t>Water Intensive (based on Etp)</t>
  </si>
  <si>
    <t>Parameter</t>
  </si>
  <si>
    <t>Parameter value</t>
  </si>
  <si>
    <t>Crop Type (irrigated)</t>
  </si>
  <si>
    <t>Area (ha)</t>
  </si>
  <si>
    <t>ET (mm)</t>
  </si>
  <si>
    <t>Range of average crop-specific monthly Relative
ET (ET/ETp)</t>
  </si>
  <si>
    <t>Etblue (Mm3)</t>
  </si>
  <si>
    <t>Planting Date (month)</t>
  </si>
  <si>
    <t>ETc-Crop (FAO Aquastat)</t>
  </si>
  <si>
    <t>ETa 90th%ile (RS)</t>
  </si>
  <si>
    <t>Critical Value</t>
  </si>
  <si>
    <t>RWD</t>
  </si>
  <si>
    <t>Etblue mm</t>
  </si>
  <si>
    <t>Etblue vol</t>
  </si>
  <si>
    <t>Etblue Vol</t>
  </si>
  <si>
    <t>Mcm</t>
  </si>
  <si>
    <t>CCA</t>
  </si>
  <si>
    <t>Irrigation Intensity</t>
  </si>
  <si>
    <t>ETcv_blue</t>
  </si>
  <si>
    <t>Mustard</t>
  </si>
  <si>
    <t>Other Unirrigated</t>
  </si>
  <si>
    <t>Standard deviation of ETblue</t>
  </si>
  <si>
    <t>divided by average ETblue</t>
  </si>
  <si>
    <t>Standard deviation of ETblue over irrigated areas divided by average ETblue</t>
  </si>
  <si>
    <t>Mustard (Forage)</t>
  </si>
  <si>
    <t>ETaMax</t>
  </si>
  <si>
    <t>Class3</t>
  </si>
  <si>
    <t>Class1</t>
  </si>
  <si>
    <t>Class2</t>
  </si>
  <si>
    <t>Class10</t>
  </si>
  <si>
    <t>Class15</t>
  </si>
  <si>
    <t>Class4</t>
  </si>
  <si>
    <t>Class9</t>
  </si>
  <si>
    <t>Class14</t>
  </si>
  <si>
    <t>ETa90</t>
  </si>
  <si>
    <t>Maize</t>
  </si>
  <si>
    <t>Orchard</t>
  </si>
  <si>
    <t>Potato</t>
  </si>
  <si>
    <t>Class5</t>
  </si>
  <si>
    <t>Class6</t>
  </si>
  <si>
    <t>Class7</t>
  </si>
  <si>
    <t>Class8</t>
  </si>
  <si>
    <t>Class11</t>
  </si>
  <si>
    <t>Class12</t>
  </si>
  <si>
    <t>Class13</t>
  </si>
  <si>
    <t>Value</t>
  </si>
  <si>
    <t>Yield Gap</t>
  </si>
  <si>
    <t>cropping_intensity</t>
  </si>
  <si>
    <t>Fraction of low water intensive irrigated crops, based on FAO-AQUASTAT crop water requirements</t>
  </si>
  <si>
    <t>All irrigated Crops, based on FAO-AQUASTAT crop water requirements</t>
  </si>
  <si>
    <t>FAO-Aquastat</t>
  </si>
  <si>
    <t>Crops represented:</t>
  </si>
  <si>
    <t>Irrigation Utilization</t>
  </si>
  <si>
    <t>Fraction of command area irrigated</t>
  </si>
  <si>
    <t>Fraction of low water intensive irrigated crops</t>
  </si>
  <si>
    <t>Annual (%)</t>
  </si>
  <si>
    <t>Name of scheme</t>
  </si>
  <si>
    <t>Sheets</t>
  </si>
  <si>
    <t>SCORES</t>
  </si>
  <si>
    <t>Indicators</t>
  </si>
  <si>
    <t>Data(FAO-AQUASTAT)</t>
  </si>
  <si>
    <t>Data(perSeason,perCrop)</t>
  </si>
  <si>
    <t>Data(perCrop)</t>
  </si>
  <si>
    <t>Indicators(perCrop)</t>
  </si>
  <si>
    <t>SummaryTable</t>
  </si>
  <si>
    <t>Figures</t>
  </si>
  <si>
    <t>Crop water requirements according to FAO-AQUASTAT</t>
  </si>
  <si>
    <t>Inputs Required</t>
  </si>
  <si>
    <t>Optional Inputs</t>
  </si>
  <si>
    <t>Yes</t>
  </si>
  <si>
    <t>Data exported from GEE (per crop and per year)</t>
  </si>
  <si>
    <t>Data exported from GEE (per season, per crop, per year)</t>
  </si>
  <si>
    <t>Annual benchmarking indicators, overall</t>
  </si>
  <si>
    <t>Annual benchmarking indicators, per crop type</t>
  </si>
  <si>
    <t>Benchmarking: final values and scores</t>
  </si>
  <si>
    <t>Summary table of benchmarking statistics</t>
  </si>
  <si>
    <t>Score</t>
  </si>
  <si>
    <t>Comments</t>
  </si>
  <si>
    <t>Fraction of irrigated area currently represented:</t>
  </si>
  <si>
    <t>Required Inputs</t>
  </si>
  <si>
    <t>"Data(perSeason,perCrop)": Area</t>
  </si>
  <si>
    <t>Considering the whole cropping season of each crop</t>
  </si>
  <si>
    <t>"Data(FAO-AQUASTAT)": ETc-Crop 
"Data(perCrop)": Area</t>
  </si>
  <si>
    <t>https://aquastat.fao.org/</t>
  </si>
  <si>
    <t>"Data(perCrop)": Area, ETa, ETaMax</t>
  </si>
  <si>
    <t>"Data(perSeason,perCrop)": ETcv or Etcv_blue</t>
  </si>
  <si>
    <t>"Data(perCrop)": TBP, ETa</t>
  </si>
  <si>
    <t>"Data(perSeason,perCrop)": RETmax, RETmin 
"Data(perCrop)": Area</t>
  </si>
  <si>
    <t>"Data(perCrop)": TBP, TBP_P</t>
  </si>
  <si>
    <t>TBP/ETA</t>
  </si>
  <si>
    <t>ID</t>
  </si>
  <si>
    <t>Average per irrigated area</t>
  </si>
  <si>
    <t>Average per total area</t>
  </si>
  <si>
    <t>Average (%)</t>
  </si>
  <si>
    <t>WITHIN CCA</t>
  </si>
  <si>
    <t>Fraction of CCA irrigated</t>
  </si>
  <si>
    <t>All irrigated Crops, based on Etp (90th percentile of ETa according to RS analysis)</t>
  </si>
  <si>
    <t>Threshold value to identify water intensive crops, per season [mm]</t>
  </si>
  <si>
    <t>Threshold value to identify water intensive crops, per full cropping period [mm]</t>
  </si>
  <si>
    <t>Arable Land (ha)</t>
  </si>
  <si>
    <t>Irrigable Land (ha)</t>
  </si>
  <si>
    <t>CCA (ha)</t>
  </si>
  <si>
    <t>Cropping Intensity (based on CCA)</t>
  </si>
  <si>
    <t>min</t>
  </si>
  <si>
    <t>max</t>
  </si>
  <si>
    <t>Total Command Area (ha)</t>
  </si>
  <si>
    <t>Per season or per whole cropping season of each crop</t>
  </si>
  <si>
    <t>Based on 90th percentile ETa</t>
  </si>
  <si>
    <t>ha</t>
  </si>
  <si>
    <t>Number of Years</t>
  </si>
  <si>
    <t>Consider years within the period 2018-2022 only</t>
  </si>
  <si>
    <t>Cropping Intensity, considering CCA</t>
  </si>
  <si>
    <t>Calculate based on CCA</t>
  </si>
  <si>
    <t>ETa (90th percentile)</t>
  </si>
  <si>
    <t>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</si>
</sst>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3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4" applyNumberFormat="0" applyAlignment="0" applyProtection="0"/>
    <xf numFmtId="0" fontId="22" fillId="10" borderId="5" applyNumberFormat="0" applyAlignment="0" applyProtection="0"/>
    <xf numFmtId="0" fontId="23" fillId="10" borderId="4" applyNumberFormat="0" applyAlignment="0" applyProtection="0"/>
    <xf numFmtId="0" fontId="24" fillId="0" borderId="6" applyNumberFormat="0" applyFill="0" applyAlignment="0" applyProtection="0"/>
    <xf numFmtId="0" fontId="25" fillId="11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9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8" applyNumberFormat="0" applyFont="0" applyAlignment="0" applyProtection="0"/>
  </cellStyleXfs>
  <cellXfs count="84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wrapText="1"/>
    </xf>
    <xf numFmtId="1" fontId="0" fillId="0" borderId="0" xfId="0" applyNumberFormat="1" applyAlignment="1">
      <alignment horizontal="right"/>
    </xf>
    <xf numFmtId="0" fontId="8" fillId="0" borderId="0" xfId="0" applyFont="1"/>
    <xf numFmtId="0" fontId="0" fillId="0" borderId="0" xfId="0" applyAlignment="1">
      <alignment horizontal="left"/>
    </xf>
    <xf numFmtId="9" fontId="0" fillId="0" borderId="0" xfId="0" applyNumberFormat="1"/>
    <xf numFmtId="9" fontId="5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/>
    <xf numFmtId="165" fontId="5" fillId="0" borderId="0" xfId="0" applyNumberFormat="1" applyFont="1"/>
    <xf numFmtId="2" fontId="10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1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2" fillId="0" borderId="0" xfId="1"/>
    <xf numFmtId="1" fontId="12" fillId="0" borderId="0" xfId="1" applyNumberFormat="1"/>
    <xf numFmtId="9" fontId="12" fillId="0" borderId="0" xfId="1" applyNumberFormat="1"/>
    <xf numFmtId="10" fontId="0" fillId="0" borderId="0" xfId="0" applyNumberFormat="1"/>
    <xf numFmtId="165" fontId="0" fillId="0" borderId="0" xfId="0" applyNumberFormat="1"/>
    <xf numFmtId="165" fontId="10" fillId="0" borderId="0" xfId="0" applyNumberFormat="1" applyFont="1"/>
    <xf numFmtId="166" fontId="0" fillId="0" borderId="0" xfId="0" applyNumberFormat="1"/>
    <xf numFmtId="2" fontId="9" fillId="0" borderId="0" xfId="0" applyNumberFormat="1" applyFont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0" fontId="0" fillId="4" borderId="0" xfId="0" applyFill="1"/>
    <xf numFmtId="0" fontId="13" fillId="0" borderId="0" xfId="2"/>
    <xf numFmtId="0" fontId="6" fillId="3" borderId="0" xfId="0" applyFont="1" applyFill="1"/>
    <xf numFmtId="0" fontId="5" fillId="3" borderId="0" xfId="0" applyFont="1" applyFill="1"/>
    <xf numFmtId="0" fontId="5" fillId="2" borderId="0" xfId="0" applyFont="1" applyFill="1"/>
    <xf numFmtId="0" fontId="0" fillId="0" borderId="0" xfId="0" quotePrefix="1" applyAlignment="1">
      <alignment wrapText="1"/>
    </xf>
    <xf numFmtId="1" fontId="5" fillId="0" borderId="0" xfId="1" applyNumberFormat="1" applyFont="1"/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2" fontId="0" fillId="5" borderId="0" xfId="0" applyNumberFormat="1" applyFill="1"/>
    <xf numFmtId="0" fontId="9" fillId="2" borderId="0" xfId="0" applyFont="1" applyFill="1"/>
    <xf numFmtId="2" fontId="0" fillId="2" borderId="0" xfId="0" applyNumberFormat="1" applyFill="1"/>
    <xf numFmtId="0" fontId="2" fillId="0" borderId="0" xfId="43"/>
    <xf numFmtId="0" fontId="4" fillId="0" borderId="0" xfId="0" applyFont="1" applyAlignment="1">
      <alignment vertical="top"/>
    </xf>
    <xf numFmtId="0" fontId="10" fillId="2" borderId="0" xfId="0" applyFont="1" applyFill="1"/>
    <xf numFmtId="0" fontId="10" fillId="0" borderId="0" xfId="0" applyFont="1"/>
    <xf numFmtId="1" fontId="10" fillId="2" borderId="0" xfId="0" applyNumberFormat="1" applyFont="1" applyFill="1"/>
    <xf numFmtId="1" fontId="10" fillId="0" borderId="0" xfId="0" applyNumberFormat="1" applyFont="1"/>
    <xf numFmtId="2" fontId="10" fillId="2" borderId="0" xfId="0" applyNumberFormat="1" applyFont="1" applyFill="1"/>
    <xf numFmtId="0" fontId="0" fillId="2" borderId="10" xfId="0" applyFill="1" applyBorder="1"/>
    <xf numFmtId="0" fontId="4" fillId="2" borderId="10" xfId="0" applyFont="1" applyFill="1" applyBorder="1"/>
    <xf numFmtId="1" fontId="0" fillId="2" borderId="10" xfId="0" applyNumberFormat="1" applyFill="1" applyBorder="1"/>
    <xf numFmtId="1" fontId="5" fillId="2" borderId="10" xfId="0" applyNumberFormat="1" applyFont="1" applyFill="1" applyBorder="1"/>
    <xf numFmtId="164" fontId="5" fillId="2" borderId="10" xfId="0" applyNumberFormat="1" applyFont="1" applyFill="1" applyBorder="1"/>
    <xf numFmtId="2" fontId="0" fillId="2" borderId="10" xfId="0" applyNumberFormat="1" applyFill="1" applyBorder="1"/>
    <xf numFmtId="2" fontId="5" fillId="2" borderId="10" xfId="0" applyNumberFormat="1" applyFont="1" applyFill="1" applyBorder="1"/>
    <xf numFmtId="9" fontId="0" fillId="2" borderId="10" xfId="0" applyNumberFormat="1" applyFill="1" applyBorder="1"/>
    <xf numFmtId="9" fontId="5" fillId="2" borderId="10" xfId="0" applyNumberFormat="1" applyFont="1" applyFill="1" applyBorder="1"/>
    <xf numFmtId="0" fontId="6" fillId="37" borderId="0" xfId="0" applyFont="1" applyFill="1"/>
    <xf numFmtId="0" fontId="0" fillId="37" borderId="0" xfId="0" applyFill="1"/>
    <xf numFmtId="2" fontId="0" fillId="37" borderId="0" xfId="0" applyNumberFormat="1" applyFill="1"/>
    <xf numFmtId="0" fontId="0" fillId="37" borderId="0" xfId="0" applyFill="1" applyAlignment="1">
      <alignment horizontal="right"/>
    </xf>
    <xf numFmtId="2" fontId="0" fillId="37" borderId="10" xfId="0" applyNumberFormat="1" applyFill="1" applyBorder="1"/>
    <xf numFmtId="0" fontId="5" fillId="37" borderId="0" xfId="0" applyFont="1" applyFill="1"/>
    <xf numFmtId="2" fontId="5" fillId="37" borderId="0" xfId="0" applyNumberFormat="1" applyFont="1" applyFill="1"/>
    <xf numFmtId="2" fontId="5" fillId="37" borderId="10" xfId="0" applyNumberFormat="1" applyFont="1" applyFill="1" applyBorder="1"/>
    <xf numFmtId="0" fontId="4" fillId="37" borderId="0" xfId="0" applyFont="1" applyFill="1"/>
    <xf numFmtId="0" fontId="0" fillId="37" borderId="10" xfId="0" applyFill="1" applyBorder="1"/>
    <xf numFmtId="0" fontId="1" fillId="0" borderId="0" xfId="43" applyFont="1"/>
    <xf numFmtId="2" fontId="0" fillId="0" borderId="10" xfId="0" applyNumberFormat="1" applyBorder="1"/>
    <xf numFmtId="2" fontId="5" fillId="0" borderId="10" xfId="0" applyNumberFormat="1" applyFont="1" applyBorder="1"/>
    <xf numFmtId="1" fontId="0" fillId="38" borderId="0" xfId="0" applyNumberFormat="1" applyFill="1"/>
    <xf numFmtId="1" fontId="30" fillId="39" borderId="10" xfId="0" applyNumberFormat="1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EC087250-C66C-4E9C-A116-B51D0B71D6CD}"/>
    <cellStyle name="Normal 4" xfId="1" xr:uid="{F9CF7D86-26F3-F248-B171-D55BDA047A54}"/>
    <cellStyle name="Note 2" xfId="44" xr:uid="{BABF8B49-E14C-4FAE-ADFB-17CB262AE64A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A5E27F"/>
      <color rgb="FFFF3D49"/>
      <color rgb="FF1700FF"/>
      <color rgb="FFB23F3D"/>
      <color rgb="FF435189"/>
      <color rgb="FFB341FF"/>
      <color rgb="FFF8A640"/>
      <color rgb="FFFFA5E0"/>
      <color rgb="FF00AAEB"/>
      <color rgb="FFA8B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Irrigation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3183643187571"/>
          <c:y val="7.5957872017266878E-2"/>
          <c:w val="0.76919808850484417"/>
          <c:h val="0.571968903633238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Indicators!$A$15</c:f>
              <c:strCache>
                <c:ptCount val="1"/>
                <c:pt idx="0">
                  <c:v>Irrigated Area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Indicators!$B$29:$B$34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Indicators!$F$29:$F$34</c:f>
              <c:numCache>
                <c:formatCode>0.0%</c:formatCode>
                <c:ptCount val="6"/>
                <c:pt idx="0">
                  <c:v>0.54223761123001057</c:v>
                </c:pt>
                <c:pt idx="1">
                  <c:v>0.60680803721385301</c:v>
                </c:pt>
                <c:pt idx="2">
                  <c:v>0.36403130372867831</c:v>
                </c:pt>
                <c:pt idx="3">
                  <c:v>0.39569439893143382</c:v>
                </c:pt>
                <c:pt idx="4">
                  <c:v>0.54713448938453668</c:v>
                </c:pt>
                <c:pt idx="5">
                  <c:v>0.49118116809770251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B-6F45-BB1C-BD589C53F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758368"/>
        <c:axId val="489183168"/>
      </c:bar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Irrigated Area Fraction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75651302605208"/>
          <c:y val="4.5501133786848079E-2"/>
          <c:w val="0.69190324458469932"/>
          <c:h val="0.79664879656000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Indicators!$C$6</c:f>
              <c:strCache>
                <c:ptCount val="1"/>
                <c:pt idx="0">
                  <c:v>Kharif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Indicators!$C$62:$C$67</c:f>
              <c:numCache>
                <c:formatCode>0.00</c:formatCode>
                <c:ptCount val="6"/>
                <c:pt idx="0">
                  <c:v>0.15703752066370233</c:v>
                </c:pt>
                <c:pt idx="1">
                  <c:v>0.24365025743999871</c:v>
                </c:pt>
                <c:pt idx="2">
                  <c:v>0.17837009457175418</c:v>
                </c:pt>
                <c:pt idx="3">
                  <c:v>0.22996328139055661</c:v>
                </c:pt>
                <c:pt idx="4">
                  <c:v>0.15256732724850897</c:v>
                </c:pt>
                <c:pt idx="5">
                  <c:v>0.19231769626290413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6-8F45-BB4C-4F0F2A9D7641}"/>
            </c:ext>
          </c:extLst>
        </c:ser>
        <c:ser>
          <c:idx val="1"/>
          <c:order val="1"/>
          <c:tx>
            <c:strRef>
              <c:f>Indicators!$D$6</c:f>
              <c:strCache>
                <c:ptCount val="1"/>
                <c:pt idx="0">
                  <c:v>Rabi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Indicators!$D$62:$D$67</c:f>
              <c:numCache>
                <c:formatCode>0.00</c:formatCode>
                <c:ptCount val="6"/>
                <c:pt idx="0">
                  <c:v>0.16901737861988364</c:v>
                </c:pt>
                <c:pt idx="1">
                  <c:v>0.21212052180288007</c:v>
                </c:pt>
                <c:pt idx="2">
                  <c:v>0.19518292900311013</c:v>
                </c:pt>
                <c:pt idx="3">
                  <c:v>0.2060417857122048</c:v>
                </c:pt>
                <c:pt idx="4">
                  <c:v>0.2085917885755032</c:v>
                </c:pt>
                <c:pt idx="5">
                  <c:v>0.19819088074271637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6-8F45-BB4C-4F0F2A9D7641}"/>
            </c:ext>
          </c:extLst>
        </c:ser>
        <c:ser>
          <c:idx val="2"/>
          <c:order val="2"/>
          <c:tx>
            <c:strRef>
              <c:f>Indicators!$E$6</c:f>
              <c:strCache>
                <c:ptCount val="1"/>
                <c:pt idx="0">
                  <c:v>Zaid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Indicators!$E$62:$E$67</c:f>
              <c:numCache>
                <c:formatCode>0.00</c:formatCode>
                <c:ptCount val="6"/>
                <c:pt idx="0">
                  <c:v>0.15284159473815748</c:v>
                </c:pt>
                <c:pt idx="1">
                  <c:v>0.15385729430826767</c:v>
                </c:pt>
                <c:pt idx="2">
                  <c:v>0.19716989447899658</c:v>
                </c:pt>
                <c:pt idx="3">
                  <c:v>0.17901164904506839</c:v>
                </c:pt>
                <c:pt idx="4">
                  <c:v>0.207009897449732</c:v>
                </c:pt>
                <c:pt idx="5">
                  <c:v>0.17797806600404442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6-8F45-BB4C-4F0F2A9D7641}"/>
            </c:ext>
          </c:extLst>
        </c:ser>
        <c:ser>
          <c:idx val="3"/>
          <c:order val="3"/>
          <c:tx>
            <c:strRef>
              <c:f>Indicators!$F$6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Indicators!$F$62:$F$67</c:f>
              <c:numCache>
                <c:formatCode>0.00</c:formatCode>
                <c:ptCount val="6"/>
                <c:pt idx="0">
                  <c:v>0.23802652079640416</c:v>
                </c:pt>
                <c:pt idx="1">
                  <c:v>0.24483373251234702</c:v>
                </c:pt>
                <c:pt idx="2">
                  <c:v>0.29111703002532957</c:v>
                </c:pt>
                <c:pt idx="3">
                  <c:v>0.25664981304281581</c:v>
                </c:pt>
                <c:pt idx="4">
                  <c:v>0.2056769486977986</c:v>
                </c:pt>
                <c:pt idx="5">
                  <c:v>0.24726080901493902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6-8F45-BB4C-4F0F2A9D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8758368"/>
        <c:axId val="489183168"/>
      </c:barChart>
      <c:lineChart>
        <c:grouping val="standard"/>
        <c:varyColors val="0"/>
        <c:ser>
          <c:idx val="4"/>
          <c:order val="4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Figures!$V$9:$V$14</c:f>
              <c:numCache>
                <c:formatCode>0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C6-8F45-BB4C-4F0F2A9D7641}"/>
            </c:ext>
          </c:extLst>
        </c:ser>
        <c:ser>
          <c:idx val="5"/>
          <c:order val="5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Figures!$W$9:$W$14</c:f>
              <c:numCache>
                <c:formatCode>0.00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C6-8F45-BB4C-4F0F2A9D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3947823156346703"/>
          <c:y val="5.1725023733735408E-2"/>
          <c:w val="0.34850985303941218"/>
          <c:h val="0.16194337409951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Reliability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'Indicators(perCrop)'!$AH$4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'Indicators(perCrop)'!$AH$5:$AH$17</c:f>
              <c:numCache>
                <c:formatCode>0.00</c:formatCode>
                <c:ptCount val="13"/>
                <c:pt idx="0">
                  <c:v>0</c:v>
                </c:pt>
                <c:pt idx="1">
                  <c:v>0.28833944615385698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9-1940-AEA6-B0E50F9193EC}"/>
            </c:ext>
          </c:extLst>
        </c:ser>
        <c:ser>
          <c:idx val="1"/>
          <c:order val="1"/>
          <c:tx>
            <c:strRef>
              <c:f>'Indicators(perCrop)'!$AI$4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'Indicators(perCrop)'!$AI$5:$AI$17</c:f>
              <c:numCache>
                <c:formatCode>0.00</c:formatCode>
                <c:ptCount val="13"/>
                <c:pt idx="0">
                  <c:v>0</c:v>
                </c:pt>
                <c:pt idx="1">
                  <c:v>0.30633765303118443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9-1940-AEA6-B0E50F9193EC}"/>
            </c:ext>
          </c:extLst>
        </c:ser>
        <c:ser>
          <c:idx val="2"/>
          <c:order val="2"/>
          <c:tx>
            <c:strRef>
              <c:f>'Indicators(perCrop)'!$AJ$4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'Indicators(perCrop)'!$AJ$5:$AJ$17</c:f>
              <c:numCache>
                <c:formatCode>0.00</c:formatCode>
                <c:ptCount val="13"/>
                <c:pt idx="0">
                  <c:v>0</c:v>
                </c:pt>
                <c:pt idx="1">
                  <c:v>0.21954009418254949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9-1940-AEA6-B0E50F9193EC}"/>
            </c:ext>
          </c:extLst>
        </c:ser>
        <c:ser>
          <c:idx val="3"/>
          <c:order val="3"/>
          <c:tx>
            <c:strRef>
              <c:f>'Indicators(perCrop)'!$AK$4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'Indicators(perCrop)'!$AK$5:$AK$17</c:f>
              <c:numCache>
                <c:formatCode>0.00</c:formatCode>
                <c:ptCount val="13"/>
                <c:pt idx="0">
                  <c:v>0</c:v>
                </c:pt>
                <c:pt idx="1">
                  <c:v>0.28775421899048048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9-1940-AEA6-B0E50F9193EC}"/>
            </c:ext>
          </c:extLst>
        </c:ser>
        <c:ser>
          <c:idx val="6"/>
          <c:order val="4"/>
          <c:tx>
            <c:strRef>
              <c:f>'Indicators(perCrop)'!$AL$4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'Indicators(perCrop)'!$AL$5:$AL$17</c:f>
              <c:numCache>
                <c:formatCode>0.00</c:formatCode>
                <c:ptCount val="13"/>
                <c:pt idx="0">
                  <c:v>0</c:v>
                </c:pt>
                <c:pt idx="1">
                  <c:v>0.26520606172335348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A9-1940-AEA6-B0E50F9193EC}"/>
            </c:ext>
          </c:extLst>
        </c:ser>
        <c:ser>
          <c:idx val="7"/>
          <c:order val="5"/>
          <c:tx>
            <c:strRef>
              <c:f>'Indicators(perCrop)'!$AM$4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'Indicators(perCrop)'!$AM$5:$AM$17</c:f>
              <c:numCache>
                <c:formatCode>0.00</c:formatCode>
                <c:ptCount val="13"/>
                <c:pt idx="0">
                  <c:v>0</c:v>
                </c:pt>
                <c:pt idx="1">
                  <c:v>0.27343549481628504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A9-1940-AEA6-B0E50F91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Figures!$X$8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Figures!$X$9:$X$21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A9-1940-AEA6-B0E50F9193EC}"/>
            </c:ext>
          </c:extLst>
        </c:ser>
        <c:ser>
          <c:idx val="5"/>
          <c:order val="7"/>
          <c:tx>
            <c:strRef>
              <c:f>Figures!$Y$8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Figures!$Y$9:$Y$21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A9-1940-AEA6-B0E50F91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ΔETa/ETp*100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74205353237095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'Indicators(perCrop)'!$V$4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'Indicators(perCrop)'!$V$5:$V$17</c:f>
              <c:numCache>
                <c:formatCode>0.00</c:formatCode>
                <c:ptCount val="13"/>
                <c:pt idx="0">
                  <c:v>0</c:v>
                </c:pt>
                <c:pt idx="1">
                  <c:v>0.13864818024263437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1-C84C-85DA-CAE86044B659}"/>
            </c:ext>
          </c:extLst>
        </c:ser>
        <c:ser>
          <c:idx val="1"/>
          <c:order val="1"/>
          <c:tx>
            <c:strRef>
              <c:f>'Indicators(perCrop)'!$W$4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'Indicators(perCrop)'!$W$5:$W$17</c:f>
              <c:numCache>
                <c:formatCode>0.00</c:formatCode>
                <c:ptCount val="13"/>
                <c:pt idx="0">
                  <c:v>0</c:v>
                </c:pt>
                <c:pt idx="1">
                  <c:v>0.19535783365570603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1-C84C-85DA-CAE86044B659}"/>
            </c:ext>
          </c:extLst>
        </c:ser>
        <c:ser>
          <c:idx val="2"/>
          <c:order val="2"/>
          <c:tx>
            <c:strRef>
              <c:f>'Indicators(perCrop)'!$X$4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'Indicators(perCrop)'!$X$5:$X$17</c:f>
              <c:numCache>
                <c:formatCode>0.00</c:formatCode>
                <c:ptCount val="13"/>
                <c:pt idx="0">
                  <c:v>0</c:v>
                </c:pt>
                <c:pt idx="1">
                  <c:v>0.21490467937608315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31-C84C-85DA-CAE86044B659}"/>
            </c:ext>
          </c:extLst>
        </c:ser>
        <c:ser>
          <c:idx val="3"/>
          <c:order val="3"/>
          <c:tx>
            <c:strRef>
              <c:f>'Indicators(perCrop)'!$Y$4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'Indicators(perCrop)'!$Y$5:$Y$17</c:f>
              <c:numCache>
                <c:formatCode>0.00</c:formatCode>
                <c:ptCount val="13"/>
                <c:pt idx="0">
                  <c:v>0</c:v>
                </c:pt>
                <c:pt idx="1">
                  <c:v>0.18019801980198025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31-C84C-85DA-CAE86044B659}"/>
            </c:ext>
          </c:extLst>
        </c:ser>
        <c:ser>
          <c:idx val="6"/>
          <c:order val="4"/>
          <c:tx>
            <c:strRef>
              <c:f>'Indicators(perCrop)'!$Z$4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'Indicators(perCrop)'!$Z$5:$Z$17</c:f>
              <c:numCache>
                <c:formatCode>0.00</c:formatCode>
                <c:ptCount val="13"/>
                <c:pt idx="0">
                  <c:v>0</c:v>
                </c:pt>
                <c:pt idx="1">
                  <c:v>0.14587332053742808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31-C84C-85DA-CAE86044B659}"/>
            </c:ext>
          </c:extLst>
        </c:ser>
        <c:ser>
          <c:idx val="7"/>
          <c:order val="5"/>
          <c:tx>
            <c:strRef>
              <c:f>'Indicators(perCrop)'!$AA$4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'Indicators(perCrop)'!$AA$5:$AA$17</c:f>
              <c:numCache>
                <c:formatCode>0.00</c:formatCode>
                <c:ptCount val="13"/>
                <c:pt idx="0">
                  <c:v>0</c:v>
                </c:pt>
                <c:pt idx="1">
                  <c:v>0.17499640672276637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31-C84C-85DA-CAE86044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Figures!$V$9:$V$21</c:f>
              <c:numCache>
                <c:formatCode>0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31-C84C-85DA-CAE86044B659}"/>
            </c:ext>
          </c:extLst>
        </c:ser>
        <c:ser>
          <c:idx val="5"/>
          <c:order val="7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Figures!$W$9:$W$21</c:f>
              <c:numCache>
                <c:formatCode>0.00</c:formatCode>
                <c:ptCount val="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31-C84C-85DA-CAE86044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856458160121283E-2"/>
          <c:y val="4.1955101357011228E-2"/>
          <c:w val="0.89531508289724682"/>
          <c:h val="0.432171570658930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'Indicators(perCrop)'!$BH$3</c:f>
              <c:strCache>
                <c:ptCount val="1"/>
                <c:pt idx="0">
                  <c:v>Kharif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'Indicators(perCrop)'!$BH$5:$BH$35</c:f>
              <c:numCache>
                <c:formatCode>0</c:formatCode>
                <c:ptCount val="31"/>
                <c:pt idx="0">
                  <c:v>0</c:v>
                </c:pt>
                <c:pt idx="1">
                  <c:v>37.240682962598925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6.7086283849296784</c:v>
                </c:pt>
                <c:pt idx="14">
                  <c:v>36.403208007452818</c:v>
                </c:pt>
                <c:pt idx="15">
                  <c:v>0</c:v>
                </c:pt>
                <c:pt idx="16">
                  <c:v>47.977503602734835</c:v>
                </c:pt>
                <c:pt idx="17">
                  <c:v>0</c:v>
                </c:pt>
                <c:pt idx="18">
                  <c:v>0</c:v>
                </c:pt>
                <c:pt idx="19">
                  <c:v>49.823092784906073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7-0041-9C24-60F0EC467F72}"/>
            </c:ext>
          </c:extLst>
        </c:ser>
        <c:ser>
          <c:idx val="1"/>
          <c:order val="1"/>
          <c:tx>
            <c:strRef>
              <c:f>'Indicators(perCrop)'!$BI$3</c:f>
              <c:strCache>
                <c:ptCount val="1"/>
                <c:pt idx="0">
                  <c:v>Rabi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'Indicators(perCrop)'!$BI$5:$BI$35</c:f>
              <c:numCache>
                <c:formatCode>0</c:formatCode>
                <c:ptCount val="31"/>
                <c:pt idx="0">
                  <c:v>0</c:v>
                </c:pt>
                <c:pt idx="1">
                  <c:v>25.529521552648852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3.393969277445847</c:v>
                </c:pt>
                <c:pt idx="15">
                  <c:v>0</c:v>
                </c:pt>
                <c:pt idx="16">
                  <c:v>12.370663287817104</c:v>
                </c:pt>
                <c:pt idx="17">
                  <c:v>0</c:v>
                </c:pt>
                <c:pt idx="18">
                  <c:v>0</c:v>
                </c:pt>
                <c:pt idx="19">
                  <c:v>24.774510906257401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7-0041-9C24-60F0EC467F72}"/>
            </c:ext>
          </c:extLst>
        </c:ser>
        <c:ser>
          <c:idx val="2"/>
          <c:order val="2"/>
          <c:tx>
            <c:strRef>
              <c:f>'Indicators(perCrop)'!$BJ$3</c:f>
              <c:strCache>
                <c:ptCount val="1"/>
                <c:pt idx="0">
                  <c:v>Zaid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'Indicators(perCrop)'!$BJ$5:$BJ$35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188.61731582337043</c:v>
                </c:pt>
                <c:pt idx="14">
                  <c:v>31.096530026562796</c:v>
                </c:pt>
                <c:pt idx="15">
                  <c:v>0</c:v>
                </c:pt>
                <c:pt idx="16">
                  <c:v>13.816822092275887</c:v>
                </c:pt>
                <c:pt idx="17">
                  <c:v>0</c:v>
                </c:pt>
                <c:pt idx="18">
                  <c:v>0</c:v>
                </c:pt>
                <c:pt idx="19">
                  <c:v>124.5960341194952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7-0041-9C24-60F0EC467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8758368"/>
        <c:axId val="489183168"/>
      </c:bar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Crop</a:t>
                </a:r>
                <a:r>
                  <a:rPr lang="en-GB" baseline="0"/>
                  <a:t> Irrigation Water Use [mm]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34163936029735E-2"/>
          <c:y val="3.0672468573007317E-2"/>
          <c:w val="6.1485150015535832E-2"/>
          <c:h val="0.2493816825528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ET blue by Crop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46741032370957"/>
          <c:y val="0.15466076696165193"/>
          <c:w val="0.59905036812393808"/>
          <c:h val="0.761624509325714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3-944C-9D35-036977D1C9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3-944C-9D35-036977D1C9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3-944C-9D35-036977D1C9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33-944C-9D35-036977D1C9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33-944C-9D35-036977D1C9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33-944C-9D35-036977D1C9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33-944C-9D35-036977D1C9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33-944C-9D35-036977D1C9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33-944C-9D35-036977D1C9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33-944C-9D35-036977D1C9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33-944C-9D35-036977D1C9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133-944C-9D35-036977D1C99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133-944C-9D35-036977D1C99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133-944C-9D35-036977D1C99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133-944C-9D35-036977D1C99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133-944C-9D35-036977D1C99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133-944C-9D35-036977D1C99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133-944C-9D35-036977D1C99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133-944C-9D35-036977D1C99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133-944C-9D35-036977D1C99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33-944C-9D35-036977D1C99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33-944C-9D35-036977D1C99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33-944C-9D35-036977D1C99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133-944C-9D35-036977D1C99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133-944C-9D35-036977D1C99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133-944C-9D35-036977D1C99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133-944C-9D35-036977D1C99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133-944C-9D35-036977D1C99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133-944C-9D35-036977D1C99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133-944C-9D35-036977D1C99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133-944C-9D35-036977D1C99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'Indicators(perCrop)'!$BM$5:$BM$35</c:f>
              <c:numCache>
                <c:formatCode>0.00%</c:formatCode>
                <c:ptCount val="31"/>
                <c:pt idx="0">
                  <c:v>0</c:v>
                </c:pt>
                <c:pt idx="1">
                  <c:v>0.25748695070765548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0.30748754199755307</c:v>
                </c:pt>
                <c:pt idx="14">
                  <c:v>3.3599027658027018E-2</c:v>
                </c:pt>
                <c:pt idx="15">
                  <c:v>0</c:v>
                </c:pt>
                <c:pt idx="16">
                  <c:v>5.7094777080271754E-2</c:v>
                </c:pt>
                <c:pt idx="17">
                  <c:v>0</c:v>
                </c:pt>
                <c:pt idx="18">
                  <c:v>0</c:v>
                </c:pt>
                <c:pt idx="19">
                  <c:v>0.34433170255649276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133-944C-9D35-036977D1C9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Yield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'Indicators(perCrop)'!$AB$4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'Indicators(perCrop)'!$AB$5:$AB$17</c:f>
              <c:numCache>
                <c:formatCode>0.00</c:formatCode>
                <c:ptCount val="13"/>
                <c:pt idx="0">
                  <c:v>0</c:v>
                </c:pt>
                <c:pt idx="1">
                  <c:v>0.18412207582683518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1-8D4C-B577-B193F6153ACB}"/>
            </c:ext>
          </c:extLst>
        </c:ser>
        <c:ser>
          <c:idx val="1"/>
          <c:order val="1"/>
          <c:tx>
            <c:strRef>
              <c:f>'Indicators(perCrop)'!$AC$4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'Indicators(perCrop)'!$AC$5:$AC$17</c:f>
              <c:numCache>
                <c:formatCode>0.00</c:formatCode>
                <c:ptCount val="13"/>
                <c:pt idx="0">
                  <c:v>0</c:v>
                </c:pt>
                <c:pt idx="1">
                  <c:v>0.21255497800879647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1-8D4C-B577-B193F6153ACB}"/>
            </c:ext>
          </c:extLst>
        </c:ser>
        <c:ser>
          <c:idx val="2"/>
          <c:order val="2"/>
          <c:tx>
            <c:strRef>
              <c:f>'Indicators(perCrop)'!$AD$4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'Indicators(perCrop)'!$AD$5:$AD$17</c:f>
              <c:numCache>
                <c:formatCode>0.00</c:formatCode>
                <c:ptCount val="13"/>
                <c:pt idx="0">
                  <c:v>0</c:v>
                </c:pt>
                <c:pt idx="1">
                  <c:v>0.25537726186411747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1-8D4C-B577-B193F6153ACB}"/>
            </c:ext>
          </c:extLst>
        </c:ser>
        <c:ser>
          <c:idx val="3"/>
          <c:order val="3"/>
          <c:tx>
            <c:strRef>
              <c:f>'Indicators(perCrop)'!$AE$4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'Indicators(perCrop)'!$AE$5:$AE$17</c:f>
              <c:numCache>
                <c:formatCode>0.00</c:formatCode>
                <c:ptCount val="13"/>
                <c:pt idx="0">
                  <c:v>0</c:v>
                </c:pt>
                <c:pt idx="1">
                  <c:v>0.26428329952670726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91-8D4C-B577-B193F6153ACB}"/>
            </c:ext>
          </c:extLst>
        </c:ser>
        <c:ser>
          <c:idx val="6"/>
          <c:order val="4"/>
          <c:tx>
            <c:strRef>
              <c:f>'Indicators(perCrop)'!$AF$4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'Indicators(perCrop)'!$AF$5:$AF$17</c:f>
              <c:numCache>
                <c:formatCode>0.00</c:formatCode>
                <c:ptCount val="13"/>
                <c:pt idx="0">
                  <c:v>0</c:v>
                </c:pt>
                <c:pt idx="1">
                  <c:v>0.19764397905759162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91-8D4C-B577-B193F6153ACB}"/>
            </c:ext>
          </c:extLst>
        </c:ser>
        <c:ser>
          <c:idx val="7"/>
          <c:order val="5"/>
          <c:tx>
            <c:strRef>
              <c:f>'Indicators(perCrop)'!$AM$4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'Indicators(perCrop)'!$AG$5:$AG$17</c:f>
              <c:numCache>
                <c:formatCode>0.00</c:formatCode>
                <c:ptCount val="13"/>
                <c:pt idx="0">
                  <c:v>0</c:v>
                </c:pt>
                <c:pt idx="1">
                  <c:v>0.22279631885680962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91-8D4C-B577-B193F615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Figures!$Z$8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Figures!$Z$9:$Z$21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91-8D4C-B577-B193F6153ACB}"/>
            </c:ext>
          </c:extLst>
        </c:ser>
        <c:ser>
          <c:idx val="5"/>
          <c:order val="7"/>
          <c:tx>
            <c:strRef>
              <c:f>Figures!$AA$8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Figures!$AA$9:$AA$21</c:f>
              <c:numCache>
                <c:formatCode>General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91-8D4C-B577-B193F615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 Gap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3055861331863"/>
          <c:y val="9.4027561607482962E-2"/>
          <c:w val="0.7855730955608391"/>
          <c:h val="0.83732247859148301"/>
        </c:manualLayout>
      </c:layout>
      <c:doughnutChart>
        <c:varyColors val="1"/>
        <c:ser>
          <c:idx val="0"/>
          <c:order val="0"/>
          <c:tx>
            <c:strRef>
              <c:f>'Indicators(perCrop)'!$I$5</c:f>
              <c:strCache>
                <c:ptCount val="1"/>
              </c:strCache>
            </c:strRef>
          </c:tx>
          <c:spPr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6-CF48-BAE5-FDB097DB9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6-CF48-BAE5-FDB097DB93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A6-CF48-BAE5-FDB097DB93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A6-CF48-BAE5-FDB097DB93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A6-CF48-BAE5-FDB097DB93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A6-CF48-BAE5-FDB097DB93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A6-CF48-BAE5-FDB097DB93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A6-CF48-BAE5-FDB097DB93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A6-CF48-BAE5-FDB097DB9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A6-CF48-BAE5-FDB097DB93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A6-CF48-BAE5-FDB097DB93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7A6-CF48-BAE5-FDB097DB93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7A6-CF48-BAE5-FDB097DB93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7A6-CF48-BAE5-FDB097DB93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7A6-CF48-BAE5-FDB097DB93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7A6-CF48-BAE5-FDB097DB93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7A6-CF48-BAE5-FDB097DB93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7A6-CF48-BAE5-FDB097DB93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7A6-CF48-BAE5-FDB097DB93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7A6-CF48-BAE5-FDB097DB93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7A6-CF48-BAE5-FDB097DB93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7A6-CF48-BAE5-FDB097DB93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7A6-CF48-BAE5-FDB097DB93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7A6-CF48-BAE5-FDB097DB93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7A6-CF48-BAE5-FDB097DB93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7A6-CF48-BAE5-FDB097DB93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7A6-CF48-BAE5-FDB097DB93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7A6-CF48-BAE5-FDB097DB93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7A6-CF48-BAE5-FDB097DB93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7A6-CF48-BAE5-FDB097DB9376}"/>
              </c:ext>
            </c:extLst>
          </c:dPt>
          <c:dLbls>
            <c:numFmt formatCode="0%" sourceLinked="0"/>
            <c:spPr>
              <a:solidFill>
                <a:sysClr val="window" lastClr="FFFFFF">
                  <a:alpha val="41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'Indicators(perCrop)'!$A$6:$A$35</c:f>
              <c:strCache>
                <c:ptCount val="30"/>
                <c:pt idx="0">
                  <c:v>Paddy</c:v>
                </c:pt>
                <c:pt idx="1">
                  <c:v>Maize</c:v>
                </c:pt>
                <c:pt idx="2">
                  <c:v>Wheat</c:v>
                </c:pt>
                <c:pt idx="3">
                  <c:v>Redgram</c:v>
                </c:pt>
                <c:pt idx="4">
                  <c:v>Chickpea</c:v>
                </c:pt>
                <c:pt idx="5">
                  <c:v>Mustard</c:v>
                </c:pt>
                <c:pt idx="6">
                  <c:v>Jowar</c:v>
                </c:pt>
                <c:pt idx="7">
                  <c:v>Chili</c:v>
                </c:pt>
                <c:pt idx="8">
                  <c:v>Orchard</c:v>
                </c:pt>
                <c:pt idx="9">
                  <c:v>Groundnut</c:v>
                </c:pt>
                <c:pt idx="10">
                  <c:v>Potato</c:v>
                </c:pt>
                <c:pt idx="11">
                  <c:v>Sugarcane</c:v>
                </c:pt>
                <c:pt idx="12">
                  <c:v>Other Irrigated (High Water Intensive)</c:v>
                </c:pt>
                <c:pt idx="13">
                  <c:v>Other Irrigated (Less Water Intensive)</c:v>
                </c:pt>
                <c:pt idx="14">
                  <c:v>Other Rainfed</c:v>
                </c:pt>
                <c:pt idx="15">
                  <c:v>Class1</c:v>
                </c:pt>
                <c:pt idx="16">
                  <c:v>Class2</c:v>
                </c:pt>
                <c:pt idx="17">
                  <c:v>Class3</c:v>
                </c:pt>
                <c:pt idx="18">
                  <c:v>Class4</c:v>
                </c:pt>
                <c:pt idx="19">
                  <c:v>Class5</c:v>
                </c:pt>
                <c:pt idx="20">
                  <c:v>Class6</c:v>
                </c:pt>
                <c:pt idx="21">
                  <c:v>Class7</c:v>
                </c:pt>
                <c:pt idx="22">
                  <c:v>Class8</c:v>
                </c:pt>
                <c:pt idx="23">
                  <c:v>Class9</c:v>
                </c:pt>
                <c:pt idx="24">
                  <c:v>Class10</c:v>
                </c:pt>
                <c:pt idx="25">
                  <c:v>Class11</c:v>
                </c:pt>
                <c:pt idx="26">
                  <c:v>Class12</c:v>
                </c:pt>
                <c:pt idx="27">
                  <c:v>Class13</c:v>
                </c:pt>
                <c:pt idx="28">
                  <c:v>Class14</c:v>
                </c:pt>
                <c:pt idx="29">
                  <c:v>Class15</c:v>
                </c:pt>
              </c:strCache>
            </c:strRef>
          </c:cat>
          <c:val>
            <c:numRef>
              <c:f>'Indicators(perCrop)'!$I$6:$I$35</c:f>
              <c:numCache>
                <c:formatCode>0.00%</c:formatCode>
                <c:ptCount val="30"/>
                <c:pt idx="0">
                  <c:v>0.47962314047621341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0.18290789825585893</c:v>
                </c:pt>
                <c:pt idx="13">
                  <c:v>5.3497482225813242E-2</c:v>
                </c:pt>
                <c:pt idx="14">
                  <c:v>0</c:v>
                </c:pt>
                <c:pt idx="15">
                  <c:v>8.7781718773561487E-2</c:v>
                </c:pt>
                <c:pt idx="16">
                  <c:v>0</c:v>
                </c:pt>
                <c:pt idx="17">
                  <c:v>0</c:v>
                </c:pt>
                <c:pt idx="18">
                  <c:v>0.19618976026855292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7A6-CF48-BAE5-FDB097DB9376}"/>
            </c:ext>
          </c:extLst>
        </c:ser>
        <c:ser>
          <c:idx val="1"/>
          <c:order val="1"/>
          <c:tx>
            <c:strRef>
              <c:f>'Indicators(perCrop)'!$BM$5</c:f>
              <c:strCache>
                <c:ptCount val="1"/>
              </c:strCache>
            </c:strRef>
          </c:tx>
          <c:spPr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67A6-CF48-BAE5-FDB097DB9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67A6-CF48-BAE5-FDB097DB93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67A6-CF48-BAE5-FDB097DB93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67A6-CF48-BAE5-FDB097DB93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67A6-CF48-BAE5-FDB097DB93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67A6-CF48-BAE5-FDB097DB93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67A6-CF48-BAE5-FDB097DB93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67A6-CF48-BAE5-FDB097DB93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67A6-CF48-BAE5-FDB097DB9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67A6-CF48-BAE5-FDB097DB93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67A6-CF48-BAE5-FDB097DB93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67A6-CF48-BAE5-FDB097DB93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67A6-CF48-BAE5-FDB097DB93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67A6-CF48-BAE5-FDB097DB93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67A6-CF48-BAE5-FDB097DB93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67A6-CF48-BAE5-FDB097DB93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67A6-CF48-BAE5-FDB097DB93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67A6-CF48-BAE5-FDB097DB93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67A6-CF48-BAE5-FDB097DB93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67A6-CF48-BAE5-FDB097DB93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67A6-CF48-BAE5-FDB097DB93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67A6-CF48-BAE5-FDB097DB93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67A6-CF48-BAE5-FDB097DB93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67A6-CF48-BAE5-FDB097DB93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67A6-CF48-BAE5-FDB097DB93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67A6-CF48-BAE5-FDB097DB93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67A6-CF48-BAE5-FDB097DB93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67A6-CF48-BAE5-FDB097DB93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67A6-CF48-BAE5-FDB097DB93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67A6-CF48-BAE5-FDB097DB9376}"/>
              </c:ext>
            </c:extLst>
          </c:dPt>
          <c:dLbls>
            <c:numFmt formatCode="0%" sourceLinked="0"/>
            <c:spPr>
              <a:solidFill>
                <a:sysClr val="window" lastClr="FFFFFF">
                  <a:alpha val="41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'Indicators(perCrop)'!$A$6:$A$35</c:f>
              <c:strCache>
                <c:ptCount val="30"/>
                <c:pt idx="0">
                  <c:v>Paddy</c:v>
                </c:pt>
                <c:pt idx="1">
                  <c:v>Maize</c:v>
                </c:pt>
                <c:pt idx="2">
                  <c:v>Wheat</c:v>
                </c:pt>
                <c:pt idx="3">
                  <c:v>Redgram</c:v>
                </c:pt>
                <c:pt idx="4">
                  <c:v>Chickpea</c:v>
                </c:pt>
                <c:pt idx="5">
                  <c:v>Mustard</c:v>
                </c:pt>
                <c:pt idx="6">
                  <c:v>Jowar</c:v>
                </c:pt>
                <c:pt idx="7">
                  <c:v>Chili</c:v>
                </c:pt>
                <c:pt idx="8">
                  <c:v>Orchard</c:v>
                </c:pt>
                <c:pt idx="9">
                  <c:v>Groundnut</c:v>
                </c:pt>
                <c:pt idx="10">
                  <c:v>Potato</c:v>
                </c:pt>
                <c:pt idx="11">
                  <c:v>Sugarcane</c:v>
                </c:pt>
                <c:pt idx="12">
                  <c:v>Other Irrigated (High Water Intensive)</c:v>
                </c:pt>
                <c:pt idx="13">
                  <c:v>Other Irrigated (Less Water Intensive)</c:v>
                </c:pt>
                <c:pt idx="14">
                  <c:v>Other Rainfed</c:v>
                </c:pt>
                <c:pt idx="15">
                  <c:v>Class1</c:v>
                </c:pt>
                <c:pt idx="16">
                  <c:v>Class2</c:v>
                </c:pt>
                <c:pt idx="17">
                  <c:v>Class3</c:v>
                </c:pt>
                <c:pt idx="18">
                  <c:v>Class4</c:v>
                </c:pt>
                <c:pt idx="19">
                  <c:v>Class5</c:v>
                </c:pt>
                <c:pt idx="20">
                  <c:v>Class6</c:v>
                </c:pt>
                <c:pt idx="21">
                  <c:v>Class7</c:v>
                </c:pt>
                <c:pt idx="22">
                  <c:v>Class8</c:v>
                </c:pt>
                <c:pt idx="23">
                  <c:v>Class9</c:v>
                </c:pt>
                <c:pt idx="24">
                  <c:v>Class10</c:v>
                </c:pt>
                <c:pt idx="25">
                  <c:v>Class11</c:v>
                </c:pt>
                <c:pt idx="26">
                  <c:v>Class12</c:v>
                </c:pt>
                <c:pt idx="27">
                  <c:v>Class13</c:v>
                </c:pt>
                <c:pt idx="28">
                  <c:v>Class14</c:v>
                </c:pt>
                <c:pt idx="29">
                  <c:v>Class15</c:v>
                </c:pt>
              </c:strCache>
            </c:strRef>
          </c:cat>
          <c:val>
            <c:numRef>
              <c:f>'Indicators(perCrop)'!$BM$6:$BM$35</c:f>
              <c:numCache>
                <c:formatCode>0.00%</c:formatCode>
                <c:ptCount val="30"/>
                <c:pt idx="0">
                  <c:v>0.25748695070765548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0.30748754199755307</c:v>
                </c:pt>
                <c:pt idx="13">
                  <c:v>3.3599027658027018E-2</c:v>
                </c:pt>
                <c:pt idx="14">
                  <c:v>0</c:v>
                </c:pt>
                <c:pt idx="15">
                  <c:v>5.7094777080271754E-2</c:v>
                </c:pt>
                <c:pt idx="16">
                  <c:v>0</c:v>
                </c:pt>
                <c:pt idx="17">
                  <c:v>0</c:v>
                </c:pt>
                <c:pt idx="18">
                  <c:v>0.34433170255649276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7A6-CF48-BAE5-FDB097DB9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74205353237095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'Indicators(perCrop)'!$V$4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'Indicators(perCrop)'!$V$5:$V$35</c:f>
              <c:numCache>
                <c:formatCode>0.00</c:formatCode>
                <c:ptCount val="31"/>
                <c:pt idx="0">
                  <c:v>0</c:v>
                </c:pt>
                <c:pt idx="1">
                  <c:v>0.13864818024263437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0.84079601990049746</c:v>
                </c:pt>
                <c:pt idx="17">
                  <c:v>0</c:v>
                </c:pt>
                <c:pt idx="18">
                  <c:v>0</c:v>
                </c:pt>
                <c:pt idx="19">
                  <c:v>0.25108979947689625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B-CC48-9142-BD21E4E25C70}"/>
            </c:ext>
          </c:extLst>
        </c:ser>
        <c:ser>
          <c:idx val="1"/>
          <c:order val="1"/>
          <c:tx>
            <c:strRef>
              <c:f>'Indicators(perCrop)'!$W$4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'Indicators(perCrop)'!$W$5:$W$35</c:f>
              <c:numCache>
                <c:formatCode>0.00</c:formatCode>
                <c:ptCount val="31"/>
                <c:pt idx="0">
                  <c:v>0</c:v>
                </c:pt>
                <c:pt idx="1">
                  <c:v>0.19535783365570603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0.61142857142857143</c:v>
                </c:pt>
                <c:pt idx="17">
                  <c:v>0</c:v>
                </c:pt>
                <c:pt idx="18">
                  <c:v>0</c:v>
                </c:pt>
                <c:pt idx="19">
                  <c:v>0.20774315391879128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B-CC48-9142-BD21E4E25C70}"/>
            </c:ext>
          </c:extLst>
        </c:ser>
        <c:ser>
          <c:idx val="2"/>
          <c:order val="2"/>
          <c:tx>
            <c:strRef>
              <c:f>'Indicators(perCrop)'!$X$4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'Indicators(perCrop)'!$X$5:$X$35</c:f>
              <c:numCache>
                <c:formatCode>0.00</c:formatCode>
                <c:ptCount val="31"/>
                <c:pt idx="0">
                  <c:v>0</c:v>
                </c:pt>
                <c:pt idx="1">
                  <c:v>0.21490467937608315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0.73656618610747049</c:v>
                </c:pt>
                <c:pt idx="17">
                  <c:v>0</c:v>
                </c:pt>
                <c:pt idx="18">
                  <c:v>0</c:v>
                </c:pt>
                <c:pt idx="19">
                  <c:v>0.21485411140583555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B-CC48-9142-BD21E4E25C70}"/>
            </c:ext>
          </c:extLst>
        </c:ser>
        <c:ser>
          <c:idx val="3"/>
          <c:order val="3"/>
          <c:tx>
            <c:strRef>
              <c:f>'Indicators(perCrop)'!$Y$4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'Indicators(perCrop)'!$Y$5:$Y$35</c:f>
              <c:numCache>
                <c:formatCode>0.00</c:formatCode>
                <c:ptCount val="31"/>
                <c:pt idx="0">
                  <c:v>0</c:v>
                </c:pt>
                <c:pt idx="1">
                  <c:v>0.18019801980198025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0.68296296296296299</c:v>
                </c:pt>
                <c:pt idx="17">
                  <c:v>0</c:v>
                </c:pt>
                <c:pt idx="18">
                  <c:v>0</c:v>
                </c:pt>
                <c:pt idx="19">
                  <c:v>0.19575253924284397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5B-CC48-9142-BD21E4E25C70}"/>
            </c:ext>
          </c:extLst>
        </c:ser>
        <c:ser>
          <c:idx val="6"/>
          <c:order val="4"/>
          <c:tx>
            <c:strRef>
              <c:f>'Indicators(perCrop)'!$Z$4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'Indicators(perCrop)'!$Z$5:$Z$35</c:f>
              <c:numCache>
                <c:formatCode>0.00</c:formatCode>
                <c:ptCount val="31"/>
                <c:pt idx="0">
                  <c:v>0</c:v>
                </c:pt>
                <c:pt idx="1">
                  <c:v>0.14587332053742808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0.67324290998766956</c:v>
                </c:pt>
                <c:pt idx="17">
                  <c:v>0</c:v>
                </c:pt>
                <c:pt idx="18">
                  <c:v>0</c:v>
                </c:pt>
                <c:pt idx="19">
                  <c:v>0.22292993630573243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5B-CC48-9142-BD21E4E25C70}"/>
            </c:ext>
          </c:extLst>
        </c:ser>
        <c:ser>
          <c:idx val="7"/>
          <c:order val="5"/>
          <c:tx>
            <c:strRef>
              <c:f>'Indicators(perCrop)'!$AA$4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'Indicators(perCrop)'!$AA$5:$AA$35</c:f>
              <c:numCache>
                <c:formatCode>0.00</c:formatCode>
                <c:ptCount val="31"/>
                <c:pt idx="0">
                  <c:v>0</c:v>
                </c:pt>
                <c:pt idx="1">
                  <c:v>0.17499640672276637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0.70899933007743443</c:v>
                </c:pt>
                <c:pt idx="17">
                  <c:v>0</c:v>
                </c:pt>
                <c:pt idx="18">
                  <c:v>0</c:v>
                </c:pt>
                <c:pt idx="19">
                  <c:v>0.2184739080700199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5B-CC48-9142-BD21E4E2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Figures!$V$9:$V$40</c:f>
              <c:numCache>
                <c:formatCode>0</c:formatCode>
                <c:ptCount val="3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5B-CC48-9142-BD21E4E25C70}"/>
            </c:ext>
          </c:extLst>
        </c:ser>
        <c:ser>
          <c:idx val="5"/>
          <c:order val="7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Figures!$W$9:$W$40</c:f>
              <c:numCache>
                <c:formatCode>0.00</c:formatCode>
                <c:ptCount val="3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5B-CC48-9142-BD21E4E2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Reliability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'Indicators(perCrop)'!$AH$4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'Indicators(perCrop)'!$AH$5:$AH$35</c:f>
              <c:numCache>
                <c:formatCode>0.00</c:formatCode>
                <c:ptCount val="31"/>
                <c:pt idx="0">
                  <c:v>0</c:v>
                </c:pt>
                <c:pt idx="1">
                  <c:v>0.28833944615385698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0.23960025661153106</c:v>
                </c:pt>
                <c:pt idx="17">
                  <c:v>0</c:v>
                </c:pt>
                <c:pt idx="18">
                  <c:v>0</c:v>
                </c:pt>
                <c:pt idx="19">
                  <c:v>0.22494834055037805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5-9D4B-AC7A-692C4EB4A8CE}"/>
            </c:ext>
          </c:extLst>
        </c:ser>
        <c:ser>
          <c:idx val="1"/>
          <c:order val="1"/>
          <c:tx>
            <c:strRef>
              <c:f>'Indicators(perCrop)'!$AI$4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'Indicators(perCrop)'!$AI$5:$AI$35</c:f>
              <c:numCache>
                <c:formatCode>0.00</c:formatCode>
                <c:ptCount val="31"/>
                <c:pt idx="0">
                  <c:v>0</c:v>
                </c:pt>
                <c:pt idx="1">
                  <c:v>0.30633765303118443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0.29479871945045311</c:v>
                </c:pt>
                <c:pt idx="17">
                  <c:v>0</c:v>
                </c:pt>
                <c:pt idx="18">
                  <c:v>0</c:v>
                </c:pt>
                <c:pt idx="19">
                  <c:v>0.32109579247768505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5-9D4B-AC7A-692C4EB4A8CE}"/>
            </c:ext>
          </c:extLst>
        </c:ser>
        <c:ser>
          <c:idx val="2"/>
          <c:order val="2"/>
          <c:tx>
            <c:strRef>
              <c:f>'Indicators(perCrop)'!$AJ$4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'Indicators(perCrop)'!$AJ$5:$AJ$35</c:f>
              <c:numCache>
                <c:formatCode>0.00</c:formatCode>
                <c:ptCount val="31"/>
                <c:pt idx="0">
                  <c:v>0</c:v>
                </c:pt>
                <c:pt idx="1">
                  <c:v>0.21954009418254949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0.17802299179433945</c:v>
                </c:pt>
                <c:pt idx="17">
                  <c:v>0</c:v>
                </c:pt>
                <c:pt idx="18">
                  <c:v>0</c:v>
                </c:pt>
                <c:pt idx="19">
                  <c:v>0.16044739465015212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5-9D4B-AC7A-692C4EB4A8CE}"/>
            </c:ext>
          </c:extLst>
        </c:ser>
        <c:ser>
          <c:idx val="3"/>
          <c:order val="3"/>
          <c:tx>
            <c:strRef>
              <c:f>'Indicators(perCrop)'!$AK$4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'Indicators(perCrop)'!$AK$5:$AK$35</c:f>
              <c:numCache>
                <c:formatCode>0.00</c:formatCode>
                <c:ptCount val="31"/>
                <c:pt idx="0">
                  <c:v>0</c:v>
                </c:pt>
                <c:pt idx="1">
                  <c:v>0.28775421899048048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0.27275260510191945</c:v>
                </c:pt>
                <c:pt idx="17">
                  <c:v>0</c:v>
                </c:pt>
                <c:pt idx="18">
                  <c:v>0</c:v>
                </c:pt>
                <c:pt idx="19">
                  <c:v>0.28134345550819395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45-9D4B-AC7A-692C4EB4A8CE}"/>
            </c:ext>
          </c:extLst>
        </c:ser>
        <c:ser>
          <c:idx val="6"/>
          <c:order val="4"/>
          <c:tx>
            <c:strRef>
              <c:f>'Indicators(perCrop)'!$AL$4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'Indicators(perCrop)'!$AL$5:$AL$35</c:f>
              <c:numCache>
                <c:formatCode>0.00</c:formatCode>
                <c:ptCount val="31"/>
                <c:pt idx="0">
                  <c:v>0</c:v>
                </c:pt>
                <c:pt idx="1">
                  <c:v>0.26520606172335348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0.21450527414647447</c:v>
                </c:pt>
                <c:pt idx="17">
                  <c:v>0</c:v>
                </c:pt>
                <c:pt idx="18">
                  <c:v>0</c:v>
                </c:pt>
                <c:pt idx="19">
                  <c:v>0.24520766782173109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5-9D4B-AC7A-692C4EB4A8CE}"/>
            </c:ext>
          </c:extLst>
        </c:ser>
        <c:ser>
          <c:idx val="7"/>
          <c:order val="5"/>
          <c:tx>
            <c:strRef>
              <c:f>'Indicators(perCrop)'!$AM$4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'Indicators(perCrop)'!$AM$5:$AM$35</c:f>
              <c:numCache>
                <c:formatCode>0.00</c:formatCode>
                <c:ptCount val="31"/>
                <c:pt idx="0">
                  <c:v>0</c:v>
                </c:pt>
                <c:pt idx="1">
                  <c:v>0.27343549481628504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0.23993596942094353</c:v>
                </c:pt>
                <c:pt idx="17">
                  <c:v>0</c:v>
                </c:pt>
                <c:pt idx="18">
                  <c:v>0</c:v>
                </c:pt>
                <c:pt idx="19">
                  <c:v>0.24660853020162804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45-9D4B-AC7A-692C4EB4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Figures!$X$8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Figures!$X$9:$X$40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45-9D4B-AC7A-692C4EB4A8CE}"/>
            </c:ext>
          </c:extLst>
        </c:ser>
        <c:ser>
          <c:idx val="5"/>
          <c:order val="7"/>
          <c:tx>
            <c:strRef>
              <c:f>Figures!$Y$8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Figures!$Y$9:$Y$40</c:f>
              <c:numCache>
                <c:formatCode>0.00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5-9D4B-AC7A-692C4EB4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ΔETa/ETp*100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Yield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'Indicators(perCrop)'!$AB$4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'Indicators(perCrop)'!$AB$5:$AB$35</c:f>
              <c:numCache>
                <c:formatCode>0.00</c:formatCode>
                <c:ptCount val="31"/>
                <c:pt idx="0">
                  <c:v>0</c:v>
                </c:pt>
                <c:pt idx="1">
                  <c:v>0.18412207582683518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0.24437901498929337</c:v>
                </c:pt>
                <c:pt idx="17">
                  <c:v>0</c:v>
                </c:pt>
                <c:pt idx="18">
                  <c:v>0</c:v>
                </c:pt>
                <c:pt idx="19">
                  <c:v>0.24603021845828121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2-5E4C-A026-2C5A43F36939}"/>
            </c:ext>
          </c:extLst>
        </c:ser>
        <c:ser>
          <c:idx val="1"/>
          <c:order val="1"/>
          <c:tx>
            <c:strRef>
              <c:f>'Indicators(perCrop)'!$AC$4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'Indicators(perCrop)'!$AC$5:$AC$35</c:f>
              <c:numCache>
                <c:formatCode>0.00</c:formatCode>
                <c:ptCount val="31"/>
                <c:pt idx="0">
                  <c:v>0</c:v>
                </c:pt>
                <c:pt idx="1">
                  <c:v>0.21255497800879647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0.40328175761246626</c:v>
                </c:pt>
                <c:pt idx="17">
                  <c:v>0</c:v>
                </c:pt>
                <c:pt idx="18">
                  <c:v>0</c:v>
                </c:pt>
                <c:pt idx="19">
                  <c:v>0.2304906316399459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2-5E4C-A026-2C5A43F36939}"/>
            </c:ext>
          </c:extLst>
        </c:ser>
        <c:ser>
          <c:idx val="2"/>
          <c:order val="2"/>
          <c:tx>
            <c:strRef>
              <c:f>'Indicators(perCrop)'!$AD$4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'Indicators(perCrop)'!$AD$5:$AD$35</c:f>
              <c:numCache>
                <c:formatCode>0.00</c:formatCode>
                <c:ptCount val="31"/>
                <c:pt idx="0">
                  <c:v>0</c:v>
                </c:pt>
                <c:pt idx="1">
                  <c:v>0.25537726186411747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0.26936750111094654</c:v>
                </c:pt>
                <c:pt idx="17">
                  <c:v>0</c:v>
                </c:pt>
                <c:pt idx="18">
                  <c:v>0</c:v>
                </c:pt>
                <c:pt idx="19">
                  <c:v>0.25675006873797085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D2-5E4C-A026-2C5A43F36939}"/>
            </c:ext>
          </c:extLst>
        </c:ser>
        <c:ser>
          <c:idx val="3"/>
          <c:order val="3"/>
          <c:tx>
            <c:strRef>
              <c:f>'Indicators(perCrop)'!$AE$4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'Indicators(perCrop)'!$AE$5:$AE$35</c:f>
              <c:numCache>
                <c:formatCode>0.00</c:formatCode>
                <c:ptCount val="31"/>
                <c:pt idx="0">
                  <c:v>0</c:v>
                </c:pt>
                <c:pt idx="1">
                  <c:v>0.26428329952670726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0.34179125934445082</c:v>
                </c:pt>
                <c:pt idx="17">
                  <c:v>0</c:v>
                </c:pt>
                <c:pt idx="18">
                  <c:v>0</c:v>
                </c:pt>
                <c:pt idx="19">
                  <c:v>0.24848696461824954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D2-5E4C-A026-2C5A43F36939}"/>
            </c:ext>
          </c:extLst>
        </c:ser>
        <c:ser>
          <c:idx val="6"/>
          <c:order val="4"/>
          <c:tx>
            <c:strRef>
              <c:f>'Indicators(perCrop)'!$AF$4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'Indicators(perCrop)'!$AF$5:$AF$35</c:f>
              <c:numCache>
                <c:formatCode>0.00</c:formatCode>
                <c:ptCount val="31"/>
                <c:pt idx="0">
                  <c:v>0</c:v>
                </c:pt>
                <c:pt idx="1">
                  <c:v>0.19764397905759162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0.28647352388359582</c:v>
                </c:pt>
                <c:pt idx="17">
                  <c:v>0</c:v>
                </c:pt>
                <c:pt idx="18">
                  <c:v>0</c:v>
                </c:pt>
                <c:pt idx="19">
                  <c:v>0.22997376138292946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D2-5E4C-A026-2C5A43F36939}"/>
            </c:ext>
          </c:extLst>
        </c:ser>
        <c:ser>
          <c:idx val="7"/>
          <c:order val="5"/>
          <c:tx>
            <c:strRef>
              <c:f>'Indicators(perCrop)'!$AM$4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'Indicators(perCrop)'!$A$5:$A$35</c:f>
              <c:strCache>
                <c:ptCount val="31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  <c:pt idx="13">
                  <c:v>Other Irrigated (High Water Intensive)</c:v>
                </c:pt>
                <c:pt idx="14">
                  <c:v>Other Irrigated (Less Water Intensive)</c:v>
                </c:pt>
                <c:pt idx="15">
                  <c:v>Other Rainfed</c:v>
                </c:pt>
                <c:pt idx="16">
                  <c:v>Class1</c:v>
                </c:pt>
                <c:pt idx="17">
                  <c:v>Class2</c:v>
                </c:pt>
                <c:pt idx="18">
                  <c:v>Class3</c:v>
                </c:pt>
                <c:pt idx="19">
                  <c:v>Class4</c:v>
                </c:pt>
                <c:pt idx="20">
                  <c:v>Class5</c:v>
                </c:pt>
                <c:pt idx="21">
                  <c:v>Class6</c:v>
                </c:pt>
                <c:pt idx="22">
                  <c:v>Class7</c:v>
                </c:pt>
                <c:pt idx="23">
                  <c:v>Class8</c:v>
                </c:pt>
                <c:pt idx="24">
                  <c:v>Class9</c:v>
                </c:pt>
                <c:pt idx="25">
                  <c:v>Class10</c:v>
                </c:pt>
                <c:pt idx="26">
                  <c:v>Class11</c:v>
                </c:pt>
                <c:pt idx="27">
                  <c:v>Class12</c:v>
                </c:pt>
                <c:pt idx="28">
                  <c:v>Class13</c:v>
                </c:pt>
                <c:pt idx="29">
                  <c:v>Class14</c:v>
                </c:pt>
                <c:pt idx="30">
                  <c:v>Class15</c:v>
                </c:pt>
              </c:strCache>
            </c:strRef>
          </c:cat>
          <c:val>
            <c:numRef>
              <c:f>'Indicators(perCrop)'!$AG$5:$AG$35</c:f>
              <c:numCache>
                <c:formatCode>0.00</c:formatCode>
                <c:ptCount val="31"/>
                <c:pt idx="0">
                  <c:v>0</c:v>
                </c:pt>
                <c:pt idx="1">
                  <c:v>0.22279631885680962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0.30905861138815055</c:v>
                </c:pt>
                <c:pt idx="17">
                  <c:v>0</c:v>
                </c:pt>
                <c:pt idx="18">
                  <c:v>0</c:v>
                </c:pt>
                <c:pt idx="19">
                  <c:v>0.24234632896747535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D2-5E4C-A026-2C5A43F36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Figures!$Z$8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Figures!$Z$9:$Z$40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D2-5E4C-A026-2C5A43F36939}"/>
            </c:ext>
          </c:extLst>
        </c:ser>
        <c:ser>
          <c:idx val="5"/>
          <c:order val="7"/>
          <c:tx>
            <c:strRef>
              <c:f>Figures!$AA$8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'Indicators(perCrop)'!$A$5:$A$17</c:f>
              <c:strCache>
                <c:ptCount val="1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  <c:pt idx="3">
                  <c:v>Wheat</c:v>
                </c:pt>
                <c:pt idx="4">
                  <c:v>Redgram</c:v>
                </c:pt>
                <c:pt idx="5">
                  <c:v>Chickpea</c:v>
                </c:pt>
                <c:pt idx="6">
                  <c:v>Mustard</c:v>
                </c:pt>
                <c:pt idx="7">
                  <c:v>Jowar</c:v>
                </c:pt>
                <c:pt idx="8">
                  <c:v>Chili</c:v>
                </c:pt>
                <c:pt idx="9">
                  <c:v>Orchard</c:v>
                </c:pt>
                <c:pt idx="10">
                  <c:v>Groundnut</c:v>
                </c:pt>
                <c:pt idx="11">
                  <c:v>Potato</c:v>
                </c:pt>
                <c:pt idx="12">
                  <c:v>Sugarcane</c:v>
                </c:pt>
              </c:strCache>
            </c:strRef>
          </c:cat>
          <c:val>
            <c:numRef>
              <c:f>Figures!$AA$9:$AA$40</c:f>
              <c:numCache>
                <c:formatCode>General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D2-5E4C-A026-2C5A43F36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 Gap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ETblue per Season</a:t>
            </a:r>
            <a:r>
              <a:rPr lang="en-GB" baseline="0"/>
              <a:t> </a:t>
            </a:r>
            <a:r>
              <a:rPr lang="en-GB"/>
              <a:t>[Mm3 per year]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E-8545-AE01-9EBC5B3A94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4E-8545-AE01-9EBC5B3A94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4E-8545-AE01-9EBC5B3A94A4}"/>
              </c:ext>
            </c:extLst>
          </c:dPt>
          <c:dLbls>
            <c:spPr>
              <a:solidFill>
                <a:schemeClr val="bg1">
                  <a:alpha val="44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Indicators!$C$6:$E$6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Indicators!$C$104:$E$104</c:f>
              <c:numCache>
                <c:formatCode>0.00</c:formatCode>
                <c:ptCount val="3"/>
                <c:pt idx="0">
                  <c:v>2.7980706666036932</c:v>
                </c:pt>
                <c:pt idx="1">
                  <c:v>1.8252651592150511</c:v>
                </c:pt>
                <c:pt idx="2">
                  <c:v>7.5949780305405401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4E-8545-AE01-9EBC5B3A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38100</xdr:rowOff>
    </xdr:from>
    <xdr:to>
      <xdr:col>6</xdr:col>
      <xdr:colOff>336500</xdr:colOff>
      <xdr:row>14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50DB30-F18E-334A-9D89-194A25069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40</xdr:row>
      <xdr:rowOff>63500</xdr:rowOff>
    </xdr:from>
    <xdr:to>
      <xdr:col>18</xdr:col>
      <xdr:colOff>203200</xdr:colOff>
      <xdr:row>57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8FA4E-BA13-4446-BF32-FCC290191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609600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3F66AB-AEE6-C04C-B10B-EAEC7A51A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50800</xdr:rowOff>
    </xdr:from>
    <xdr:to>
      <xdr:col>9</xdr:col>
      <xdr:colOff>698500</xdr:colOff>
      <xdr:row>58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DE9C55-A2BA-D445-A9EC-D57065E68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247650</xdr:colOff>
      <xdr:row>60</xdr:row>
      <xdr:rowOff>60325</xdr:rowOff>
    </xdr:from>
    <xdr:to>
      <xdr:col>16</xdr:col>
      <xdr:colOff>234950</xdr:colOff>
      <xdr:row>78</xdr:row>
      <xdr:rowOff>22225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0FE025-8187-4A4D-9792-C3791F46C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457200</xdr:colOff>
      <xdr:row>0</xdr:row>
      <xdr:rowOff>101600</xdr:rowOff>
    </xdr:from>
    <xdr:to>
      <xdr:col>13</xdr:col>
      <xdr:colOff>152400</xdr:colOff>
      <xdr:row>21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BA8E3F-AA1A-314C-ABA6-3C55521E3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482600</xdr:colOff>
      <xdr:row>22</xdr:row>
      <xdr:rowOff>50800</xdr:rowOff>
    </xdr:from>
    <xdr:to>
      <xdr:col>19</xdr:col>
      <xdr:colOff>266700</xdr:colOff>
      <xdr:row>40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143C38-AC07-8E45-8D49-66B694A2E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330200</xdr:colOff>
      <xdr:row>77</xdr:row>
      <xdr:rowOff>139700</xdr:rowOff>
    </xdr:from>
    <xdr:to>
      <xdr:col>13</xdr:col>
      <xdr:colOff>800100</xdr:colOff>
      <xdr:row>106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9BC09-E7F9-FC44-92DB-C9AB6E73D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342900</xdr:colOff>
      <xdr:row>123</xdr:row>
      <xdr:rowOff>63500</xdr:rowOff>
    </xdr:from>
    <xdr:to>
      <xdr:col>16</xdr:col>
      <xdr:colOff>254000</xdr:colOff>
      <xdr:row>141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AB5744-6FAD-2F44-BE15-0B90F1CA4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15</xdr:col>
      <xdr:colOff>203200</xdr:colOff>
      <xdr:row>124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8D2EEF-A6B3-A54F-8E50-E28BC7BD8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143</xdr:row>
      <xdr:rowOff>0</xdr:rowOff>
    </xdr:from>
    <xdr:to>
      <xdr:col>16</xdr:col>
      <xdr:colOff>63500</xdr:colOff>
      <xdr:row>161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6693DE8-9E82-4D46-A886-96F1420C5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317500</xdr:colOff>
      <xdr:row>2</xdr:row>
      <xdr:rowOff>38100</xdr:rowOff>
    </xdr:from>
    <xdr:to>
      <xdr:col>18</xdr:col>
      <xdr:colOff>762000</xdr:colOff>
      <xdr:row>15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CF89C06-7E82-D54B-90E5-2D51CEB2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0.80178</cdr:x>
      <cdr:y>0.24823</cdr:y>
    </cdr:from>
    <cdr:to>
      <cdr:x>0.98443</cdr:x>
      <cdr:y>0.32979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5233868" y="889011"/>
          <a:ext cx="1192303" cy="292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0.78988</cdr:x>
      <cdr:y>0.79078</cdr:y>
    </cdr:from>
    <cdr:to>
      <cdr:x>0.97253</cdr:x>
      <cdr:y>0.87234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5156196" y="2832093"/>
          <a:ext cx="1192302" cy="292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0.63474</cdr:y>
    </cdr:from>
    <cdr:to>
      <cdr:x>1</cdr:x>
      <cdr:y>0.7234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273267"/>
          <a:ext cx="1506802" cy="317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0.05378</cdr:x>
      <cdr:y>0.05263</cdr:y>
    </cdr:from>
    <cdr:to>
      <cdr:x>0.23904</cdr:x>
      <cdr:y>0.17162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6AC24F-D002-E019-A74B-4AE3DCA10BE9}"/>
            </a:ext>
          </a:extLst>
        </cdr:cNvPr>
        <cdr:cNvSpPr txBox="1"/>
      </cdr:nvSpPr>
      <cdr:spPr>
        <a:xfrm xmlns:a="http://schemas.openxmlformats.org/drawingml/2006/main">
          <a:off x="342900" y="292100"/>
          <a:ext cx="1181100" cy="660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latin typeface="Arial" panose="020B0604020202020204" pitchFamily="34" charset="0"/>
              <a:cs typeface="Arial" panose="020B0604020202020204" pitchFamily="34" charset="0"/>
            </a:rPr>
            <a:t>Irrigation Volume</a:t>
          </a:r>
        </a:p>
      </cdr:txBody>
    </cdr:sp>
  </cdr:relSizeAnchor>
  <cdr:relSizeAnchor xmlns:cdr="http://schemas.openxmlformats.org/drawingml/2006/chartDrawing">
    <cdr:from>
      <cdr:x>0.14542</cdr:x>
      <cdr:y>0.15103</cdr:y>
    </cdr:from>
    <cdr:to>
      <cdr:x>0.25299</cdr:x>
      <cdr:y>0.24256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81DF3C2-2457-AEB6-6ECD-B58C477353FD}"/>
            </a:ext>
          </a:extLst>
        </cdr:cNvPr>
        <cdr:cNvCxnSpPr/>
      </cdr:nvCxnSpPr>
      <cdr:spPr>
        <a:xfrm xmlns:a="http://schemas.openxmlformats.org/drawingml/2006/main">
          <a:off x="927100" y="838200"/>
          <a:ext cx="685800" cy="508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0.47211</cdr:x>
      <cdr:y>0.39588</cdr:y>
    </cdr:from>
    <cdr:to>
      <cdr:x>0.65737</cdr:x>
      <cdr:y>0.51487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D5C6B7B-4746-21BE-E62B-318081272E28}"/>
            </a:ext>
          </a:extLst>
        </cdr:cNvPr>
        <cdr:cNvSpPr txBox="1"/>
      </cdr:nvSpPr>
      <cdr:spPr>
        <a:xfrm xmlns:a="http://schemas.openxmlformats.org/drawingml/2006/main">
          <a:off x="3009900" y="2197100"/>
          <a:ext cx="1181100" cy="660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>
              <a:latin typeface="Arial" panose="020B0604020202020204" pitchFamily="34" charset="0"/>
              <a:cs typeface="Arial" panose="020B0604020202020204" pitchFamily="34" charset="0"/>
            </a:rPr>
            <a:t>Irrigated</a:t>
          </a:r>
          <a:r>
            <a:rPr lang="en-GB" sz="1600" baseline="0">
              <a:latin typeface="Arial" panose="020B0604020202020204" pitchFamily="34" charset="0"/>
              <a:cs typeface="Arial" panose="020B0604020202020204" pitchFamily="34" charset="0"/>
            </a:rPr>
            <a:t> Area</a:t>
          </a:r>
          <a:endParaRPr lang="en-GB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0.3745</cdr:x>
      <cdr:y>0.3524</cdr:y>
    </cdr:from>
    <cdr:to>
      <cdr:x>0.47211</cdr:x>
      <cdr:y>0.4508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FB06A7D1-CEA4-2CF2-E888-005FBC61D29E}"/>
            </a:ext>
          </a:extLst>
        </cdr:cNvPr>
        <cdr:cNvCxnSpPr/>
      </cdr:nvCxnSpPr>
      <cdr:spPr>
        <a:xfrm xmlns:a="http://schemas.openxmlformats.org/drawingml/2006/main">
          <a:off x="2387600" y="1955800"/>
          <a:ext cx="622300" cy="5461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0.82772</cdr:x>
      <cdr:y>0.14502</cdr:y>
    </cdr:from>
    <cdr:to>
      <cdr:x>1</cdr:x>
      <cdr:y>0.21594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10858942" y="524892"/>
          <a:ext cx="2260158" cy="2566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0.74351</cdr:y>
    </cdr:from>
    <cdr:to>
      <cdr:x>1</cdr:x>
      <cdr:y>0.83217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10859991" y="2691141"/>
          <a:ext cx="2259109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ilvan Ragettli" id="{707583BE-95E8-CA4E-B436-90BB95119765}" userId="S::ragettli@hydrosolutions.ch::8f0106a1-bbd9-4cae-a37e-0fec256bd9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04-05T08:12:42.56" personId="{707583BE-95E8-CA4E-B436-90BB95119765}" id="{FBCA4655-38AD-F24D-B932-58B922300DD2}">
    <text>Area that was identified as cropped at least once during the 5-year period</text>
  </threadedComment>
  <threadedComment ref="B6" dT="2024-04-05T08:14:00.57" personId="{707583BE-95E8-CA4E-B436-90BB95119765}" id="{C5893B76-CD35-024F-83B7-FF8EEBE87849}">
    <text>Area that was identified as irrigated at least once during the 5-year period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quastat.fao.org/" TargetMode="Externa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C2E5-CD2D-C740-9914-9A317B8BFDFE}">
  <dimension ref="A1:H27"/>
  <sheetViews>
    <sheetView workbookViewId="0">
      <selection activeCell="C3" sqref="C3"/>
    </sheetView>
  </sheetViews>
  <sheetFormatPr defaultColWidth="11.25" defaultRowHeight="15.75" x14ac:dyDescent="0.25"/>
  <cols>
    <col min="2" max="2" width="24.75" bestFit="1" customWidth="1"/>
    <col min="3" max="3" width="56.75" bestFit="1" customWidth="1"/>
    <col min="4" max="4" width="14.25" customWidth="1"/>
    <col min="5" max="5" width="21" bestFit="1" customWidth="1"/>
    <col min="6" max="6" width="39.75" bestFit="1" customWidth="1"/>
  </cols>
  <sheetData>
    <row r="1" spans="1:8" s="4" customFormat="1" ht="18.75" x14ac:dyDescent="0.3"/>
    <row r="2" spans="1:8" ht="18.75" x14ac:dyDescent="0.3">
      <c r="A2" s="47"/>
      <c r="B2" s="48" t="s">
        <v>157</v>
      </c>
      <c r="C2" s="42" t="s">
        <v>215</v>
      </c>
      <c r="D2" s="47"/>
      <c r="E2" s="47"/>
      <c r="F2" s="49" t="s">
        <v>178</v>
      </c>
      <c r="G2" s="47"/>
      <c r="H2" s="47"/>
    </row>
    <row r="3" spans="1:8" x14ac:dyDescent="0.25">
      <c r="B3" t="s">
        <v>202</v>
      </c>
      <c r="C3" s="39">
        <v>17276</v>
      </c>
    </row>
    <row r="4" spans="1:8" x14ac:dyDescent="0.25">
      <c r="B4" t="s">
        <v>206</v>
      </c>
      <c r="C4" s="25">
        <v>30837.7</v>
      </c>
    </row>
    <row r="5" spans="1:8" x14ac:dyDescent="0.25">
      <c r="B5" t="s">
        <v>200</v>
      </c>
      <c r="C5" s="25">
        <v>16663</v>
      </c>
    </row>
    <row r="6" spans="1:8" x14ac:dyDescent="0.25">
      <c r="B6" t="s">
        <v>201</v>
      </c>
      <c r="C6" s="25">
        <v>13657</v>
      </c>
    </row>
    <row r="7" spans="1:8" x14ac:dyDescent="0.25">
      <c r="B7" t="s">
        <v>210</v>
      </c>
      <c r="C7">
        <f>COUNT(_xlfn.UNIQUE('Data(perCrop)'!O:O))</f>
        <v>5</v>
      </c>
      <c r="F7" t="s">
        <v>211</v>
      </c>
    </row>
    <row r="9" spans="1:8" ht="18.75" x14ac:dyDescent="0.3">
      <c r="A9" s="47"/>
      <c r="B9" s="48" t="s">
        <v>158</v>
      </c>
      <c r="C9" s="48" t="s">
        <v>16</v>
      </c>
      <c r="D9" s="43" t="s">
        <v>168</v>
      </c>
      <c r="E9" s="44" t="s">
        <v>169</v>
      </c>
      <c r="F9" s="49" t="s">
        <v>178</v>
      </c>
      <c r="G9" s="47"/>
      <c r="H9" s="47"/>
    </row>
    <row r="10" spans="1:8" x14ac:dyDescent="0.25">
      <c r="B10" s="41" t="s">
        <v>159</v>
      </c>
      <c r="C10" t="s">
        <v>175</v>
      </c>
      <c r="D10" s="5" t="s">
        <v>170</v>
      </c>
      <c r="E10" t="s">
        <v>170</v>
      </c>
    </row>
    <row r="11" spans="1:8" x14ac:dyDescent="0.25">
      <c r="B11" s="41" t="s">
        <v>162</v>
      </c>
      <c r="C11" t="s">
        <v>172</v>
      </c>
      <c r="D11" s="5" t="s">
        <v>170</v>
      </c>
    </row>
    <row r="12" spans="1:8" x14ac:dyDescent="0.25">
      <c r="B12" s="41" t="s">
        <v>163</v>
      </c>
      <c r="C12" t="s">
        <v>171</v>
      </c>
      <c r="D12" s="5" t="s">
        <v>170</v>
      </c>
    </row>
    <row r="13" spans="1:8" x14ac:dyDescent="0.25">
      <c r="B13" s="41" t="s">
        <v>161</v>
      </c>
      <c r="C13" t="s">
        <v>167</v>
      </c>
      <c r="D13" s="5" t="s">
        <v>170</v>
      </c>
      <c r="F13" t="s">
        <v>179</v>
      </c>
      <c r="G13" s="6">
        <f>Indicators!F42</f>
        <v>0.71602852095788572</v>
      </c>
    </row>
    <row r="14" spans="1:8" x14ac:dyDescent="0.25">
      <c r="B14" s="41" t="s">
        <v>160</v>
      </c>
      <c r="C14" t="s">
        <v>173</v>
      </c>
    </row>
    <row r="15" spans="1:8" x14ac:dyDescent="0.25">
      <c r="B15" s="41" t="s">
        <v>164</v>
      </c>
      <c r="C15" t="s">
        <v>174</v>
      </c>
    </row>
    <row r="16" spans="1:8" x14ac:dyDescent="0.25">
      <c r="B16" s="41" t="s">
        <v>165</v>
      </c>
      <c r="C16" t="s">
        <v>176</v>
      </c>
    </row>
    <row r="17" spans="1:8" x14ac:dyDescent="0.25">
      <c r="B17" s="41" t="s">
        <v>166</v>
      </c>
      <c r="C17" t="s">
        <v>166</v>
      </c>
    </row>
    <row r="19" spans="1:8" ht="18.75" x14ac:dyDescent="0.3">
      <c r="A19" s="48"/>
      <c r="B19" s="48" t="s">
        <v>4</v>
      </c>
      <c r="C19" s="48" t="s">
        <v>16</v>
      </c>
      <c r="D19" s="48" t="s">
        <v>12</v>
      </c>
      <c r="E19" s="48" t="s">
        <v>10</v>
      </c>
      <c r="F19" s="48" t="s">
        <v>180</v>
      </c>
      <c r="G19" s="48" t="s">
        <v>7</v>
      </c>
      <c r="H19" s="47"/>
    </row>
    <row r="20" spans="1:8" x14ac:dyDescent="0.25">
      <c r="A20">
        <v>1</v>
      </c>
      <c r="B20" t="s">
        <v>5</v>
      </c>
      <c r="D20" s="1" t="s">
        <v>13</v>
      </c>
      <c r="E20" t="s">
        <v>11</v>
      </c>
      <c r="F20" s="1" t="s">
        <v>181</v>
      </c>
      <c r="G20" t="s">
        <v>213</v>
      </c>
    </row>
    <row r="21" spans="1:8" x14ac:dyDescent="0.25">
      <c r="A21">
        <v>2</v>
      </c>
      <c r="B21" t="s">
        <v>153</v>
      </c>
      <c r="C21" t="s">
        <v>154</v>
      </c>
      <c r="D21" t="s">
        <v>14</v>
      </c>
      <c r="E21" t="s">
        <v>90</v>
      </c>
      <c r="F21" s="1" t="s">
        <v>181</v>
      </c>
      <c r="G21" t="s">
        <v>213</v>
      </c>
    </row>
    <row r="22" spans="1:8" ht="31.5" x14ac:dyDescent="0.25">
      <c r="A22">
        <v>3</v>
      </c>
      <c r="B22" t="s">
        <v>80</v>
      </c>
      <c r="C22" t="s">
        <v>155</v>
      </c>
      <c r="D22" t="s">
        <v>14</v>
      </c>
      <c r="E22" t="s">
        <v>90</v>
      </c>
      <c r="F22" s="3" t="s">
        <v>183</v>
      </c>
      <c r="G22" s="41" t="s">
        <v>184</v>
      </c>
    </row>
    <row r="23" spans="1:8" x14ac:dyDescent="0.25">
      <c r="A23">
        <v>4</v>
      </c>
      <c r="B23" t="s">
        <v>0</v>
      </c>
      <c r="C23" t="s">
        <v>22</v>
      </c>
      <c r="D23" s="1" t="s">
        <v>13</v>
      </c>
      <c r="E23" t="s">
        <v>90</v>
      </c>
      <c r="F23" t="s">
        <v>185</v>
      </c>
    </row>
    <row r="24" spans="1:8" x14ac:dyDescent="0.25">
      <c r="A24">
        <v>5</v>
      </c>
      <c r="B24" t="s">
        <v>2</v>
      </c>
      <c r="C24" t="s">
        <v>17</v>
      </c>
      <c r="D24" s="1" t="s">
        <v>13</v>
      </c>
      <c r="E24" t="s">
        <v>90</v>
      </c>
      <c r="F24" s="1" t="s">
        <v>186</v>
      </c>
    </row>
    <row r="25" spans="1:8" x14ac:dyDescent="0.25">
      <c r="A25">
        <v>6</v>
      </c>
      <c r="B25" t="s">
        <v>3</v>
      </c>
      <c r="C25" t="s">
        <v>9</v>
      </c>
      <c r="D25" t="s">
        <v>19</v>
      </c>
      <c r="E25" t="s">
        <v>91</v>
      </c>
      <c r="F25" t="s">
        <v>187</v>
      </c>
    </row>
    <row r="26" spans="1:8" ht="63" x14ac:dyDescent="0.25">
      <c r="A26">
        <v>7</v>
      </c>
      <c r="B26" t="s">
        <v>1</v>
      </c>
      <c r="C26" s="3" t="s">
        <v>20</v>
      </c>
      <c r="D26" t="s">
        <v>14</v>
      </c>
      <c r="E26" t="s">
        <v>91</v>
      </c>
      <c r="F26" s="45" t="s">
        <v>188</v>
      </c>
    </row>
    <row r="27" spans="1:8" x14ac:dyDescent="0.25">
      <c r="A27">
        <v>8</v>
      </c>
      <c r="B27" t="s">
        <v>15</v>
      </c>
      <c r="C27" s="3" t="s">
        <v>21</v>
      </c>
      <c r="D27" t="s">
        <v>14</v>
      </c>
      <c r="E27" t="s">
        <v>91</v>
      </c>
      <c r="F27" t="s">
        <v>189</v>
      </c>
    </row>
  </sheetData>
  <hyperlinks>
    <hyperlink ref="B10" location="SCORES!A1" display="SCORES" xr:uid="{205F44FD-7B59-1A4A-936A-5453D4179C62}"/>
    <hyperlink ref="B13" location="'Data(FAO-AQUASTAT)'!A1" display="Data(FAO-AQUASTAT)" xr:uid="{6F28D5C1-8DE1-7C47-8518-95314F87E209}"/>
    <hyperlink ref="B11" location="'Data(perSeason,perCrop)'!A1" display="Data(perSeason,perCrop)" xr:uid="{DFDD5FE1-3940-9B48-9965-FFD40883665B}"/>
    <hyperlink ref="B12" location="'Data(perCrop)'!A1" display="Data(perCrop)" xr:uid="{3B3DC2BC-8B3B-0C46-AB5C-3F0AF8DB8418}"/>
    <hyperlink ref="B14" location="Indicators!A1" display="Indicators" xr:uid="{D95D4175-A578-B149-80C3-0F8232670683}"/>
    <hyperlink ref="B15" location="'Indicators(perCrop)'!A1" display="Indicators(perCrop)" xr:uid="{DD0D6188-2E63-EE4F-A403-BAD1B315A6E8}"/>
    <hyperlink ref="B16" location="SummaryTable!A1" display="SummaryTable" xr:uid="{3C9D712B-8B70-5941-A49F-28D3BE7D64D9}"/>
    <hyperlink ref="B17" location="Figures!A1" display="Figures" xr:uid="{6B593956-9AF0-E34B-900E-14831F53010F}"/>
    <hyperlink ref="G22" r:id="rId1" xr:uid="{157D1014-CAC9-A741-A5A1-FF51B5089754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14AA-958F-4F42-972F-DBA9E3603149}">
  <dimension ref="A1:AE20"/>
  <sheetViews>
    <sheetView tabSelected="1" zoomScale="85" zoomScaleNormal="85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G8" sqref="G8"/>
    </sheetView>
  </sheetViews>
  <sheetFormatPr defaultColWidth="11.25" defaultRowHeight="15.75" x14ac:dyDescent="0.25"/>
  <cols>
    <col min="1" max="1" width="11.75" bestFit="1" customWidth="1"/>
    <col min="2" max="2" width="16.25" bestFit="1" customWidth="1"/>
    <col min="3" max="3" width="47.75" customWidth="1"/>
    <col min="4" max="4" width="8.75" customWidth="1"/>
    <col min="5" max="5" width="12" customWidth="1"/>
    <col min="6" max="6" width="53.75" customWidth="1"/>
    <col min="7" max="7" width="11.5" customWidth="1"/>
    <col min="8" max="8" width="35.375" customWidth="1"/>
    <col min="9" max="9" width="11.5" customWidth="1"/>
    <col min="10" max="10" width="12.25" bestFit="1" customWidth="1"/>
    <col min="11" max="11" width="13.25" bestFit="1" customWidth="1"/>
    <col min="12" max="12" width="6.25" customWidth="1"/>
    <col min="13" max="14" width="4.75" bestFit="1" customWidth="1"/>
    <col min="15" max="15" width="6.75" bestFit="1" customWidth="1"/>
    <col min="16" max="16" width="17.25" style="26" bestFit="1" customWidth="1"/>
    <col min="17" max="17" width="17.75" bestFit="1" customWidth="1"/>
    <col min="18" max="18" width="13" bestFit="1" customWidth="1"/>
    <col min="19" max="19" width="12.75" bestFit="1" customWidth="1"/>
    <col min="20" max="20" width="13" bestFit="1" customWidth="1"/>
    <col min="21" max="21" width="12.75" bestFit="1" customWidth="1"/>
    <col min="22" max="22" width="13" bestFit="1" customWidth="1"/>
  </cols>
  <sheetData>
    <row r="1" spans="1:31" ht="31.5" x14ac:dyDescent="0.3">
      <c r="B1" s="4" t="s">
        <v>4</v>
      </c>
      <c r="C1" t="s">
        <v>16</v>
      </c>
      <c r="D1" t="s">
        <v>97</v>
      </c>
      <c r="E1" s="24" t="s">
        <v>96</v>
      </c>
      <c r="F1" t="s">
        <v>92</v>
      </c>
      <c r="G1" s="24" t="s">
        <v>82</v>
      </c>
      <c r="H1" s="24" t="s">
        <v>101</v>
      </c>
      <c r="I1" s="24" t="s">
        <v>102</v>
      </c>
      <c r="J1" s="4" t="s">
        <v>111</v>
      </c>
      <c r="K1" s="4" t="s">
        <v>99</v>
      </c>
      <c r="L1" s="4" t="s">
        <v>85</v>
      </c>
      <c r="P1" s="4" t="s">
        <v>93</v>
      </c>
      <c r="Q1" s="4" t="s">
        <v>146</v>
      </c>
      <c r="R1" s="4" t="s">
        <v>177</v>
      </c>
      <c r="S1" s="4"/>
      <c r="T1" s="4"/>
      <c r="U1" s="4"/>
      <c r="V1" s="4"/>
      <c r="X1" s="4"/>
      <c r="Y1" s="4"/>
      <c r="AA1" s="4"/>
      <c r="AB1" s="4"/>
      <c r="AC1" s="4"/>
      <c r="AE1" s="4"/>
    </row>
    <row r="2" spans="1:31" ht="18.75" x14ac:dyDescent="0.3">
      <c r="B2" s="54"/>
      <c r="C2" s="54"/>
      <c r="D2" s="54"/>
      <c r="E2" s="54"/>
      <c r="F2" s="54"/>
      <c r="G2" s="24"/>
      <c r="H2" s="24"/>
      <c r="I2" s="24"/>
      <c r="J2" s="4"/>
      <c r="K2" s="4"/>
      <c r="L2" t="s">
        <v>62</v>
      </c>
      <c r="M2" t="s">
        <v>63</v>
      </c>
      <c r="N2" t="s">
        <v>64</v>
      </c>
      <c r="O2" t="s">
        <v>11</v>
      </c>
      <c r="P2" s="12"/>
      <c r="Q2" s="4"/>
      <c r="R2" s="4"/>
      <c r="S2" s="4"/>
      <c r="T2" s="4"/>
      <c r="U2" s="4"/>
      <c r="V2" s="4"/>
    </row>
    <row r="3" spans="1:31" x14ac:dyDescent="0.25">
      <c r="A3">
        <v>1</v>
      </c>
      <c r="B3" s="27" t="s">
        <v>5</v>
      </c>
      <c r="C3" s="24" t="s">
        <v>212</v>
      </c>
      <c r="D3" s="24" t="s">
        <v>98</v>
      </c>
      <c r="E3" s="23" t="s">
        <v>94</v>
      </c>
      <c r="F3" s="24" t="s">
        <v>86</v>
      </c>
      <c r="G3" t="s">
        <v>83</v>
      </c>
      <c r="J3" s="55">
        <v>1</v>
      </c>
      <c r="K3" s="55">
        <v>1.5</v>
      </c>
      <c r="L3" s="56"/>
      <c r="M3" s="56"/>
      <c r="N3" s="56"/>
      <c r="O3" s="55">
        <v>1</v>
      </c>
      <c r="P3" s="57">
        <v>1</v>
      </c>
      <c r="Q3" s="8">
        <f>Indicators!F61</f>
        <v>0.86742225523310323</v>
      </c>
      <c r="R3" s="5">
        <f>IF($G3="D",MIN(MAX(1,11-ROUND(((Q3-$K3)/($J3-$K3))*9+1,0)),10),MIN(MAX(1,ROUND(((Q3-$J3)/($K3-$J3))*9+1,0)),10))</f>
        <v>1</v>
      </c>
      <c r="S3" s="8"/>
      <c r="T3" s="5"/>
      <c r="U3" s="5"/>
      <c r="V3" s="5"/>
      <c r="Z3" s="8"/>
      <c r="AD3" s="8"/>
    </row>
    <row r="4" spans="1:31" ht="31.5" x14ac:dyDescent="0.25">
      <c r="A4">
        <v>2</v>
      </c>
      <c r="B4" s="27" t="s">
        <v>153</v>
      </c>
      <c r="C4" s="24" t="s">
        <v>196</v>
      </c>
      <c r="D4" s="24" t="s">
        <v>98</v>
      </c>
      <c r="E4" s="23" t="s">
        <v>94</v>
      </c>
      <c r="F4" s="24" t="s">
        <v>87</v>
      </c>
      <c r="G4" t="s">
        <v>83</v>
      </c>
      <c r="J4" s="55">
        <v>0.25</v>
      </c>
      <c r="K4" s="55">
        <v>0.8</v>
      </c>
      <c r="L4" s="55"/>
      <c r="M4" s="55"/>
      <c r="N4" s="55"/>
      <c r="O4" s="55">
        <v>1</v>
      </c>
      <c r="P4" s="57">
        <v>1</v>
      </c>
      <c r="Q4" s="8">
        <f>(L4*Indicators!C34+SCORES!M4*Indicators!D34+SCORES!N4*Indicators!E34+SCORES!O4*Indicators!F34)/SUM(L4:O4)</f>
        <v>0.49118116809770251</v>
      </c>
      <c r="R4" s="5">
        <f>IF($G4="D",MIN(MAX(1,11-ROUND(((Q4-$K4)/($J4-$K4))*9+1,0)),10),MIN(MAX(1,ROUND(((Q4-$J4)/($K4-$J4))*9+1,0)),10))</f>
        <v>5</v>
      </c>
      <c r="S4" s="8"/>
      <c r="T4" s="5"/>
      <c r="U4" s="5"/>
      <c r="V4" s="5"/>
    </row>
    <row r="5" spans="1:31" ht="31.5" x14ac:dyDescent="0.25">
      <c r="A5">
        <v>3</v>
      </c>
      <c r="B5" s="27" t="s">
        <v>80</v>
      </c>
      <c r="C5" s="24" t="s">
        <v>149</v>
      </c>
      <c r="D5" s="24" t="s">
        <v>98</v>
      </c>
      <c r="E5" s="23" t="s">
        <v>95</v>
      </c>
      <c r="F5" s="24" t="s">
        <v>150</v>
      </c>
      <c r="G5" s="23" t="s">
        <v>83</v>
      </c>
      <c r="H5" s="24" t="s">
        <v>199</v>
      </c>
      <c r="I5" s="55">
        <v>500</v>
      </c>
      <c r="J5" s="55">
        <v>0.25</v>
      </c>
      <c r="K5" s="55">
        <v>0.8</v>
      </c>
      <c r="L5" s="56"/>
      <c r="M5" s="56"/>
      <c r="N5" s="56"/>
      <c r="O5" s="55">
        <v>1</v>
      </c>
      <c r="P5" s="57">
        <v>0</v>
      </c>
      <c r="Q5" s="8">
        <f>Indicators!F48</f>
        <v>7.4714177801528919E-2</v>
      </c>
      <c r="R5" s="5">
        <f>IF($G5="D",MIN(MAX(1,11-ROUND(((IF(ISNUMBER(Q5),Q5,Q6)-$K5)/($J5-$K5))*9+1,0)),10),MIN(MAX(1,ROUND(((IF(ISNUMBER(Q5),Q5,Q6)-$J5)/($K5-$J5))*9+1,0)),10))</f>
        <v>1</v>
      </c>
      <c r="S5" s="8"/>
      <c r="T5" s="5"/>
      <c r="U5" s="5"/>
      <c r="V5" s="5"/>
    </row>
    <row r="6" spans="1:31" ht="31.5" x14ac:dyDescent="0.25">
      <c r="B6" s="27"/>
      <c r="C6" s="24"/>
      <c r="D6" s="24"/>
      <c r="E6" s="23" t="s">
        <v>94</v>
      </c>
      <c r="F6" s="24" t="s">
        <v>197</v>
      </c>
      <c r="G6" s="23" t="s">
        <v>83</v>
      </c>
      <c r="H6" s="24" t="s">
        <v>198</v>
      </c>
      <c r="I6" s="55">
        <v>300</v>
      </c>
      <c r="J6" s="55">
        <v>0</v>
      </c>
      <c r="K6" s="55">
        <v>1</v>
      </c>
      <c r="L6" s="55">
        <v>1</v>
      </c>
      <c r="M6" s="55">
        <v>1</v>
      </c>
      <c r="N6" s="55"/>
      <c r="O6" s="55">
        <v>1</v>
      </c>
      <c r="P6" s="58"/>
      <c r="Q6" s="8">
        <f>(L6*Indicators!C40+SCORES!M6*Indicators!D36+SCORES!N6*Indicators!E40+SCORES!O6*Indicators!F40)/SUM(L6:O6)</f>
        <v>0.36621048062983941</v>
      </c>
      <c r="R6" s="5"/>
      <c r="S6" s="8"/>
      <c r="T6" s="5"/>
      <c r="U6" s="5"/>
      <c r="V6" s="5"/>
    </row>
    <row r="7" spans="1:31" x14ac:dyDescent="0.25">
      <c r="A7">
        <v>4</v>
      </c>
      <c r="B7" s="27" t="s">
        <v>0</v>
      </c>
      <c r="C7" s="23" t="s">
        <v>22</v>
      </c>
      <c r="D7" s="24" t="s">
        <v>13</v>
      </c>
      <c r="E7" s="23" t="s">
        <v>94</v>
      </c>
      <c r="F7" s="24" t="s">
        <v>89</v>
      </c>
      <c r="G7" t="s">
        <v>84</v>
      </c>
      <c r="J7" s="55">
        <v>0.25</v>
      </c>
      <c r="K7" s="55">
        <v>0.8</v>
      </c>
      <c r="L7" s="55"/>
      <c r="M7" s="55"/>
      <c r="N7" s="55"/>
      <c r="O7" s="55">
        <v>1</v>
      </c>
      <c r="P7" s="57">
        <v>1</v>
      </c>
      <c r="Q7" s="8">
        <f>(L7*Indicators!C67+SCORES!M7*Indicators!D67+SCORES!N7*Indicators!E67+SCORES!O7*Indicators!F67)/SUM(L7:O7)</f>
        <v>0.24726080901493902</v>
      </c>
      <c r="R7" s="5">
        <f>IF($G7="D",MIN(MAX(1,11-ROUND(((Q7-$K7)/($J7-$K7))*9+1,0)),10),MIN(MAX(1,ROUND(((Q7-$J7)/($K7-$J7))*9+1,0)),10))</f>
        <v>1</v>
      </c>
      <c r="S7" s="8"/>
      <c r="T7" s="5"/>
      <c r="U7" s="5"/>
      <c r="V7" s="5"/>
    </row>
    <row r="8" spans="1:31" ht="31.5" x14ac:dyDescent="0.25">
      <c r="A8">
        <v>5</v>
      </c>
      <c r="B8" s="27" t="s">
        <v>2</v>
      </c>
      <c r="C8" s="24" t="s">
        <v>17</v>
      </c>
      <c r="D8" s="24" t="s">
        <v>13</v>
      </c>
      <c r="E8" s="24" t="s">
        <v>94</v>
      </c>
      <c r="F8" s="24" t="s">
        <v>89</v>
      </c>
      <c r="G8" t="s">
        <v>84</v>
      </c>
      <c r="J8" s="55">
        <v>0.4</v>
      </c>
      <c r="K8" s="55">
        <v>0</v>
      </c>
      <c r="L8" s="55"/>
      <c r="M8" s="55"/>
      <c r="N8" s="55"/>
      <c r="O8" s="55">
        <v>1</v>
      </c>
      <c r="P8" s="57">
        <v>1</v>
      </c>
      <c r="Q8" s="8">
        <f>(L8*Indicators!C73+SCORES!M8*Indicators!D73+SCORES!N8*Indicators!E73+SCORES!O8*Indicators!F73)/SUM(L8:O8)</f>
        <v>0.10352414477276457</v>
      </c>
      <c r="R8" s="5">
        <f>IF($G8="D",MIN(MAX(1,11-ROUND(((Q8-$K8)/($J8-$K8))*9+1,0)),10),MIN(MAX(1,ROUND(((Q8-$J8)/($K8-$J8))*9+1,0)),10))</f>
        <v>8</v>
      </c>
      <c r="S8" s="8"/>
      <c r="T8" s="5"/>
      <c r="U8" s="5"/>
      <c r="V8" s="5"/>
    </row>
    <row r="9" spans="1:31" ht="31.5" x14ac:dyDescent="0.25">
      <c r="B9" s="27"/>
      <c r="C9" s="24" t="s">
        <v>124</v>
      </c>
      <c r="D9" s="24" t="s">
        <v>13</v>
      </c>
      <c r="E9" s="24" t="s">
        <v>94</v>
      </c>
      <c r="F9" s="24" t="s">
        <v>89</v>
      </c>
      <c r="G9" t="s">
        <v>84</v>
      </c>
      <c r="J9" s="55"/>
      <c r="K9" s="55">
        <v>0</v>
      </c>
      <c r="L9" s="55"/>
      <c r="M9" s="55">
        <v>1</v>
      </c>
      <c r="N9" s="55"/>
      <c r="O9" s="55"/>
      <c r="P9" s="57">
        <v>0</v>
      </c>
      <c r="Q9" s="8">
        <f>(L9*Indicators!C79+SCORES!M9*Indicators!D79+SCORES!N9*Indicators!E79+SCORES!O9*Indicators!F79)/SUM(L9:O9)</f>
        <v>0.45399189819518104</v>
      </c>
      <c r="R9" s="5" t="str">
        <f>IF(ISNUMBER(J9),IF($G9="D",MIN(MAX(1,11-ROUND(((Q9-$K9)/($J9-$K9))*9+1,0)),10),MIN(MAX(1,ROUND(((Q9-$J9)/($K9-$J9))*9+1,0)),10)),"")</f>
        <v/>
      </c>
      <c r="S9" s="8"/>
      <c r="T9" s="5"/>
      <c r="U9" s="5"/>
      <c r="V9" s="5"/>
    </row>
    <row r="10" spans="1:31" x14ac:dyDescent="0.25">
      <c r="A10">
        <v>6</v>
      </c>
      <c r="B10" s="27" t="s">
        <v>3</v>
      </c>
      <c r="C10" s="24" t="s">
        <v>9</v>
      </c>
      <c r="D10" s="23" t="s">
        <v>19</v>
      </c>
      <c r="E10" s="23" t="s">
        <v>95</v>
      </c>
      <c r="F10" s="24"/>
      <c r="P10" s="57">
        <v>1</v>
      </c>
      <c r="R10" s="21">
        <f>AVERAGE(R11:R16)</f>
        <v>10</v>
      </c>
      <c r="T10" s="21"/>
      <c r="U10" s="21"/>
      <c r="V10" s="21"/>
    </row>
    <row r="11" spans="1:31" x14ac:dyDescent="0.25">
      <c r="B11" s="27"/>
      <c r="C11" s="23"/>
      <c r="D11" s="24"/>
      <c r="E11" s="23"/>
      <c r="F11" s="24" t="s">
        <v>49</v>
      </c>
      <c r="G11" t="s">
        <v>83</v>
      </c>
      <c r="J11" s="59">
        <v>0.10559418457648546</v>
      </c>
      <c r="K11" s="59">
        <v>0.41678402355094091</v>
      </c>
      <c r="L11" s="56"/>
      <c r="M11" s="56"/>
      <c r="N11" s="56"/>
      <c r="O11" s="56"/>
      <c r="P11" s="22"/>
      <c r="Q11" s="8" t="e">
        <f>'Indicators(perCrop)'!BA5</f>
        <v>#DIV/0!</v>
      </c>
      <c r="R11" s="5" t="str">
        <f t="shared" ref="R11:R16" si="0">IF(ISNUMBER(Q11),IF($G11="D",MIN(MAX(1,11-ROUND(((Q11-$K11)/($J11-$K11))*9+1,0)),10),MIN(MAX(1,ROUND(((Q11-$J11)/($K11-$J11))*9+1,0)),10)),"")</f>
        <v/>
      </c>
      <c r="S11" s="33"/>
      <c r="T11" s="20"/>
      <c r="U11" s="20"/>
      <c r="V11" s="5"/>
    </row>
    <row r="12" spans="1:31" x14ac:dyDescent="0.25">
      <c r="B12" s="27"/>
      <c r="C12" s="23"/>
      <c r="D12" s="23"/>
      <c r="E12" s="23"/>
      <c r="F12" s="24" t="s">
        <v>54</v>
      </c>
      <c r="G12" t="s">
        <v>83</v>
      </c>
      <c r="J12" s="59">
        <v>0.53490679217423409</v>
      </c>
      <c r="K12" s="59">
        <v>0.81847970216238275</v>
      </c>
      <c r="L12" s="56"/>
      <c r="M12" s="56"/>
      <c r="N12" s="56"/>
      <c r="O12" s="56"/>
      <c r="P12" s="22"/>
      <c r="Q12" s="8" t="e">
        <f>'Indicators(perCrop)'!BA12</f>
        <v>#DIV/0!</v>
      </c>
      <c r="R12" s="5" t="str">
        <f t="shared" si="0"/>
        <v/>
      </c>
      <c r="T12" s="20"/>
      <c r="U12" s="20"/>
      <c r="V12" s="20"/>
    </row>
    <row r="13" spans="1:31" x14ac:dyDescent="0.25">
      <c r="B13" s="27"/>
      <c r="C13" s="23"/>
      <c r="D13" s="23"/>
      <c r="E13" s="23"/>
      <c r="F13" s="24" t="s">
        <v>59</v>
      </c>
      <c r="G13" t="s">
        <v>83</v>
      </c>
      <c r="J13" s="59">
        <v>0.46496333713540816</v>
      </c>
      <c r="K13" s="59">
        <v>1</v>
      </c>
      <c r="L13" s="56"/>
      <c r="M13" s="56"/>
      <c r="N13" s="56"/>
      <c r="O13" s="56"/>
      <c r="P13" s="22"/>
      <c r="Q13" s="8">
        <f>'Indicators(perCrop)'!BA6</f>
        <v>1.1047879815034638</v>
      </c>
      <c r="R13" s="5">
        <f t="shared" si="0"/>
        <v>10</v>
      </c>
      <c r="S13" s="33"/>
      <c r="T13" s="20"/>
      <c r="U13" s="20"/>
      <c r="V13" s="5"/>
    </row>
    <row r="14" spans="1:31" x14ac:dyDescent="0.25">
      <c r="B14" s="27"/>
      <c r="C14" s="23"/>
      <c r="D14" s="23"/>
      <c r="E14" s="23"/>
      <c r="F14" s="24" t="s">
        <v>50</v>
      </c>
      <c r="G14" t="s">
        <v>83</v>
      </c>
      <c r="J14" s="59">
        <v>3.8966165413533838</v>
      </c>
      <c r="K14" s="59">
        <v>5.2341920374707263</v>
      </c>
      <c r="L14" s="56"/>
      <c r="M14" s="56"/>
      <c r="N14" s="56"/>
      <c r="O14" s="56"/>
      <c r="P14" s="22"/>
      <c r="Q14" s="8" t="e">
        <f>'Indicators(perCrop)'!BA17</f>
        <v>#DIV/0!</v>
      </c>
      <c r="R14" s="5" t="str">
        <f t="shared" si="0"/>
        <v/>
      </c>
      <c r="S14" s="33"/>
      <c r="T14" s="20"/>
      <c r="U14" s="20"/>
      <c r="V14" s="5"/>
    </row>
    <row r="15" spans="1:31" x14ac:dyDescent="0.25">
      <c r="B15" s="27"/>
      <c r="C15" s="23"/>
      <c r="D15" s="23"/>
      <c r="E15" s="23"/>
      <c r="F15" s="24" t="s">
        <v>125</v>
      </c>
      <c r="G15" t="s">
        <v>83</v>
      </c>
      <c r="J15" s="59">
        <v>2.9234074823053589</v>
      </c>
      <c r="K15" s="59">
        <v>3.6598923665203227</v>
      </c>
      <c r="L15" s="56"/>
      <c r="M15" s="56"/>
      <c r="N15" s="56"/>
      <c r="O15" s="56"/>
      <c r="P15" s="22"/>
      <c r="Q15" s="8" t="e">
        <f>'Indicators(perCrop)'!BA11</f>
        <v>#DIV/0!</v>
      </c>
      <c r="R15" s="5" t="str">
        <f t="shared" si="0"/>
        <v/>
      </c>
      <c r="T15" s="20"/>
      <c r="U15" s="20"/>
      <c r="V15" s="5"/>
    </row>
    <row r="16" spans="1:31" x14ac:dyDescent="0.25">
      <c r="B16" s="27"/>
      <c r="C16" s="23"/>
      <c r="D16" s="23"/>
      <c r="E16" s="23"/>
      <c r="F16" s="24" t="s">
        <v>52</v>
      </c>
      <c r="G16" t="s">
        <v>83</v>
      </c>
      <c r="J16" s="59">
        <v>1.0734830829706585</v>
      </c>
      <c r="K16" s="59">
        <v>1.4866770779108105</v>
      </c>
      <c r="L16" s="56"/>
      <c r="M16" s="56"/>
      <c r="N16" s="56"/>
      <c r="O16" s="56"/>
      <c r="P16" s="22"/>
      <c r="Q16" s="8" t="e">
        <f>'Indicators(perCrop)'!BA8</f>
        <v>#DIV/0!</v>
      </c>
      <c r="R16" s="5" t="str">
        <f t="shared" si="0"/>
        <v/>
      </c>
      <c r="T16" s="20"/>
      <c r="U16" s="20"/>
      <c r="V16" s="5"/>
    </row>
    <row r="17" spans="1:22" ht="31.5" x14ac:dyDescent="0.25">
      <c r="A17">
        <v>7</v>
      </c>
      <c r="B17" s="27" t="s">
        <v>1</v>
      </c>
      <c r="C17" s="24" t="s">
        <v>106</v>
      </c>
      <c r="D17" s="24" t="s">
        <v>98</v>
      </c>
      <c r="E17" s="24" t="s">
        <v>94</v>
      </c>
      <c r="F17" s="24" t="s">
        <v>89</v>
      </c>
      <c r="G17" t="s">
        <v>84</v>
      </c>
      <c r="J17" s="55">
        <v>0.4</v>
      </c>
      <c r="K17" s="55">
        <v>0</v>
      </c>
      <c r="L17" s="56"/>
      <c r="M17" s="56"/>
      <c r="N17" s="56"/>
      <c r="O17" s="56"/>
      <c r="P17" s="57">
        <v>1</v>
      </c>
      <c r="Q17" s="8">
        <f>Indicators!F92</f>
        <v>0.26708584144514019</v>
      </c>
      <c r="R17" s="5">
        <f>IF($G17="D",MIN(MAX(1,11-ROUND(((Q17-$K17)/($J17-$K17))*9+1,0)),10),MIN(MAX(1,ROUND(((Q17-$J17)/($K17-$J17))*9+1,0)),10))</f>
        <v>4</v>
      </c>
      <c r="S17" s="8"/>
      <c r="T17" s="5"/>
      <c r="U17" s="5"/>
      <c r="V17" s="5"/>
    </row>
    <row r="18" spans="1:22" ht="31.5" x14ac:dyDescent="0.25">
      <c r="A18">
        <v>8</v>
      </c>
      <c r="B18" s="27" t="s">
        <v>15</v>
      </c>
      <c r="C18" s="24" t="s">
        <v>21</v>
      </c>
      <c r="D18" s="24" t="s">
        <v>98</v>
      </c>
      <c r="E18" s="24" t="s">
        <v>94</v>
      </c>
      <c r="F18" s="24" t="s">
        <v>89</v>
      </c>
      <c r="G18" t="s">
        <v>84</v>
      </c>
      <c r="J18" s="55">
        <v>0.4</v>
      </c>
      <c r="K18" s="55">
        <v>0</v>
      </c>
      <c r="L18" s="56"/>
      <c r="M18" s="56"/>
      <c r="N18" s="56"/>
      <c r="O18" s="56"/>
      <c r="P18" s="57">
        <v>1</v>
      </c>
      <c r="Q18" s="8">
        <f>Indicators!F99</f>
        <v>0.2371484669197273</v>
      </c>
      <c r="R18" s="5">
        <f>IF($G18="D",MIN(MAX(1,11-ROUND(((Q18-$K18)/($J18-$K18))*9+1,0)),10),MIN(MAX(1,ROUND(((Q18-$J18)/($K18-$J18))*9+1,0)),10))</f>
        <v>5</v>
      </c>
      <c r="S18" s="8"/>
      <c r="T18" s="5"/>
      <c r="U18" s="5"/>
      <c r="V18" s="5"/>
    </row>
    <row r="20" spans="1:22" ht="18.75" x14ac:dyDescent="0.3">
      <c r="Q20" s="4" t="s">
        <v>88</v>
      </c>
      <c r="R20" s="34">
        <f>(SUMPRODUCT($P7:$P10,R7:R10)+SUMPRODUCT($P17:$P18,R17:R18)+SUMPRODUCT($P3:$P5,R3:R5))/SUM($P7:$P10,$P17:$P18,P3:P5)</f>
        <v>4.8571428571428568</v>
      </c>
      <c r="S20" s="4"/>
      <c r="T20" s="34"/>
      <c r="U20" s="34"/>
      <c r="V20" s="34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5377-AA0B-7341-94D1-504DBC81267D}">
  <dimension ref="A1:H16"/>
  <sheetViews>
    <sheetView workbookViewId="0">
      <selection activeCell="F11" sqref="F11"/>
    </sheetView>
  </sheetViews>
  <sheetFormatPr defaultColWidth="11.25" defaultRowHeight="15.75" x14ac:dyDescent="0.25"/>
  <cols>
    <col min="1" max="1" width="18.75" customWidth="1"/>
    <col min="2" max="2" width="30.75" customWidth="1"/>
    <col min="3" max="3" width="8.75" customWidth="1"/>
    <col min="4" max="4" width="12.25" bestFit="1" customWidth="1"/>
    <col min="5" max="5" width="13.25" bestFit="1" customWidth="1"/>
    <col min="6" max="6" width="17.75" bestFit="1" customWidth="1"/>
    <col min="7" max="7" width="13" bestFit="1" customWidth="1"/>
    <col min="8" max="8" width="12.75" bestFit="1" customWidth="1"/>
  </cols>
  <sheetData>
    <row r="1" spans="1:8" ht="18.75" x14ac:dyDescent="0.3">
      <c r="A1" s="4" t="str">
        <f>SCORES!B1</f>
        <v>Indicator</v>
      </c>
      <c r="B1" s="4" t="str">
        <f>SCORES!C1</f>
        <v>Description</v>
      </c>
      <c r="C1" s="4" t="str">
        <f>SCORES!D1</f>
        <v>Units</v>
      </c>
      <c r="D1" s="4" t="str">
        <f>SCORES!J1</f>
        <v>Critical Value</v>
      </c>
      <c r="E1" s="4" t="str">
        <f>SCORES!K1</f>
        <v>Target Value</v>
      </c>
      <c r="F1" s="4" t="str">
        <f>SCORES!Q1</f>
        <v>Value</v>
      </c>
      <c r="G1" s="4" t="s">
        <v>177</v>
      </c>
      <c r="H1" s="4"/>
    </row>
    <row r="2" spans="1:8" x14ac:dyDescent="0.25">
      <c r="A2" s="27" t="str">
        <f>SCORES!B3</f>
        <v>Cropping Intensity</v>
      </c>
      <c r="B2" s="24" t="str">
        <f>SCORES!C3</f>
        <v>Cropping Intensity, considering CCA</v>
      </c>
      <c r="C2" t="str">
        <f>SCORES!D3</f>
        <v>%/100</v>
      </c>
      <c r="D2" s="8">
        <f>SCORES!J3</f>
        <v>1</v>
      </c>
      <c r="E2" s="8">
        <f>SCORES!K3</f>
        <v>1.5</v>
      </c>
      <c r="F2" s="8">
        <f>SCORES!Q3</f>
        <v>0.86742225523310323</v>
      </c>
      <c r="G2" s="5">
        <f>SCORES!R3</f>
        <v>1</v>
      </c>
      <c r="H2" s="5"/>
    </row>
    <row r="3" spans="1:8" x14ac:dyDescent="0.25">
      <c r="A3" s="27" t="str">
        <f>SCORES!B4</f>
        <v>Irrigation Utilization</v>
      </c>
      <c r="B3" s="24" t="str">
        <f>SCORES!C4</f>
        <v>Fraction of CCA irrigated</v>
      </c>
      <c r="C3" s="24" t="str">
        <f>SCORES!D4</f>
        <v>%/100</v>
      </c>
      <c r="D3" s="8">
        <f>SCORES!J4</f>
        <v>0.25</v>
      </c>
      <c r="E3" s="8">
        <f>SCORES!K4</f>
        <v>0.8</v>
      </c>
      <c r="F3" s="8">
        <f>SCORES!Q4</f>
        <v>0.49118116809770251</v>
      </c>
      <c r="G3" s="5">
        <f>SCORES!R4</f>
        <v>5</v>
      </c>
      <c r="H3" s="5"/>
    </row>
    <row r="4" spans="1:8" ht="31.5" x14ac:dyDescent="0.25">
      <c r="A4" s="27" t="str">
        <f>SCORES!B5</f>
        <v>Low Water Intensive Crops</v>
      </c>
      <c r="B4" s="24" t="s">
        <v>155</v>
      </c>
      <c r="C4" s="24" t="str">
        <f>SCORES!D5</f>
        <v>%/100</v>
      </c>
      <c r="D4" s="8">
        <f>SCORES!J5</f>
        <v>0.25</v>
      </c>
      <c r="E4" s="8">
        <f>SCORES!K5</f>
        <v>0.8</v>
      </c>
      <c r="F4" s="8">
        <f>IF(ISNUMBER(SCORES!Q5),SCORES!Q5,SCORES!Q6)</f>
        <v>7.4714177801528919E-2</v>
      </c>
      <c r="G4" s="5">
        <f>SCORES!R5</f>
        <v>1</v>
      </c>
      <c r="H4" s="5"/>
    </row>
    <row r="5" spans="1:8" x14ac:dyDescent="0.25">
      <c r="A5" s="27" t="str">
        <f>SCORES!B7</f>
        <v>Adequacy</v>
      </c>
      <c r="B5" s="23" t="str">
        <f>SCORES!C7</f>
        <v>RWD=1-(Eta/Etp)</v>
      </c>
      <c r="C5" s="24" t="str">
        <f>SCORES!D7</f>
        <v>-</v>
      </c>
      <c r="D5" s="8">
        <f>SCORES!J7</f>
        <v>0.25</v>
      </c>
      <c r="E5" s="8">
        <f>SCORES!K7</f>
        <v>0.8</v>
      </c>
      <c r="F5" s="8">
        <f>SCORES!Q7</f>
        <v>0.24726080901493902</v>
      </c>
      <c r="G5" s="5">
        <f>SCORES!R7</f>
        <v>1</v>
      </c>
      <c r="H5" s="5"/>
    </row>
    <row r="6" spans="1:8" ht="47.25" x14ac:dyDescent="0.25">
      <c r="A6" s="27" t="str">
        <f>SCORES!B8</f>
        <v>Equity</v>
      </c>
      <c r="B6" s="24" t="str">
        <f>SCORES!C8</f>
        <v>Standard deviation of ETa over irrigated areas divided by average ETa</v>
      </c>
      <c r="C6" s="24" t="str">
        <f>SCORES!D8</f>
        <v>-</v>
      </c>
      <c r="D6" s="8">
        <f>SCORES!J8</f>
        <v>0.4</v>
      </c>
      <c r="E6" s="8">
        <f>SCORES!K8</f>
        <v>0</v>
      </c>
      <c r="F6" s="8">
        <f>SCORES!Q8</f>
        <v>0.10352414477276457</v>
      </c>
      <c r="G6" s="5">
        <f>SCORES!R8</f>
        <v>8</v>
      </c>
      <c r="H6" s="5"/>
    </row>
    <row r="7" spans="1:8" x14ac:dyDescent="0.25">
      <c r="A7" s="27" t="str">
        <f>SCORES!B10</f>
        <v>Productivity</v>
      </c>
      <c r="B7" s="24" t="str">
        <f>SCORES!C10</f>
        <v>Water Productivity (in terms of yield)</v>
      </c>
      <c r="C7" s="23" t="str">
        <f>SCORES!D10</f>
        <v>kg/m3</v>
      </c>
      <c r="D7" s="8"/>
      <c r="E7" s="8"/>
      <c r="G7" s="5">
        <f>SCORES!R10</f>
        <v>10</v>
      </c>
      <c r="H7" s="21"/>
    </row>
    <row r="8" spans="1:8" x14ac:dyDescent="0.25">
      <c r="A8" s="27"/>
      <c r="B8" s="24" t="s">
        <v>49</v>
      </c>
      <c r="C8" s="24"/>
      <c r="D8" s="8">
        <v>0.10559418457648546</v>
      </c>
      <c r="E8" s="8">
        <v>0.41678402355094091</v>
      </c>
      <c r="F8" s="8" t="e">
        <f>SCORES!Q11</f>
        <v>#DIV/0!</v>
      </c>
      <c r="G8" s="5" t="str">
        <f>SCORES!R11</f>
        <v/>
      </c>
      <c r="H8" s="20"/>
    </row>
    <row r="9" spans="1:8" x14ac:dyDescent="0.25">
      <c r="A9" s="27"/>
      <c r="B9" s="24" t="s">
        <v>54</v>
      </c>
      <c r="C9" s="23"/>
      <c r="D9" s="8">
        <v>0.53490679217423409</v>
      </c>
      <c r="E9" s="8">
        <v>0.81847970216238275</v>
      </c>
      <c r="F9" s="8" t="e">
        <f>SCORES!Q12</f>
        <v>#DIV/0!</v>
      </c>
      <c r="G9" s="5" t="str">
        <f>SCORES!R12</f>
        <v/>
      </c>
      <c r="H9" s="20"/>
    </row>
    <row r="10" spans="1:8" x14ac:dyDescent="0.25">
      <c r="A10" s="27"/>
      <c r="B10" s="24" t="s">
        <v>59</v>
      </c>
      <c r="C10" s="23"/>
      <c r="D10" s="8">
        <v>0.46496333713540816</v>
      </c>
      <c r="E10" s="8">
        <v>1</v>
      </c>
      <c r="F10" s="8">
        <f>SCORES!Q13</f>
        <v>1.1047879815034638</v>
      </c>
      <c r="G10" s="5">
        <f>SCORES!R13</f>
        <v>10</v>
      </c>
      <c r="H10" s="20"/>
    </row>
    <row r="11" spans="1:8" x14ac:dyDescent="0.25">
      <c r="A11" s="27"/>
      <c r="B11" s="24" t="s">
        <v>50</v>
      </c>
      <c r="C11" s="23"/>
      <c r="D11" s="8">
        <v>3.8966165413533838</v>
      </c>
      <c r="E11" s="8">
        <v>5.2341920374707263</v>
      </c>
      <c r="F11" s="8" t="e">
        <f>SCORES!Q14</f>
        <v>#DIV/0!</v>
      </c>
      <c r="G11" s="5" t="str">
        <f>SCORES!R14</f>
        <v/>
      </c>
      <c r="H11" s="20"/>
    </row>
    <row r="12" spans="1:8" x14ac:dyDescent="0.25">
      <c r="A12" s="27"/>
      <c r="B12" s="24" t="s">
        <v>125</v>
      </c>
      <c r="C12" s="23"/>
      <c r="D12" s="8">
        <v>2.9234074823053589</v>
      </c>
      <c r="E12" s="8">
        <v>3.6598923665203227</v>
      </c>
      <c r="F12" s="8" t="e">
        <f>SCORES!Q15</f>
        <v>#DIV/0!</v>
      </c>
      <c r="G12" s="5" t="str">
        <f>SCORES!R15</f>
        <v/>
      </c>
      <c r="H12" s="20"/>
    </row>
    <row r="13" spans="1:8" x14ac:dyDescent="0.25">
      <c r="A13" s="27"/>
      <c r="B13" s="24" t="s">
        <v>52</v>
      </c>
      <c r="C13" s="23"/>
      <c r="D13" s="8">
        <v>1.0734830829706585</v>
      </c>
      <c r="E13" s="8">
        <v>1.4866770779108105</v>
      </c>
      <c r="F13" s="8" t="e">
        <f>SCORES!Q16</f>
        <v>#DIV/0!</v>
      </c>
      <c r="G13" s="5" t="str">
        <f>SCORES!R16</f>
        <v/>
      </c>
      <c r="H13" s="20"/>
    </row>
    <row r="14" spans="1:8" ht="47.25" x14ac:dyDescent="0.25">
      <c r="A14" s="27" t="str">
        <f>SCORES!B17</f>
        <v>Reliability</v>
      </c>
      <c r="B14" s="24" t="str">
        <f>SCORES!C17</f>
        <v>Range of average crop-specific monthly Relative
ET (ET/ETp)</v>
      </c>
      <c r="C14" s="24" t="str">
        <f>SCORES!D17</f>
        <v>%/100</v>
      </c>
      <c r="D14" s="8">
        <f>SCORES!J17</f>
        <v>0.4</v>
      </c>
      <c r="E14" s="8">
        <f>SCORES!K17</f>
        <v>0</v>
      </c>
      <c r="F14" s="8">
        <f>SCORES!Q17</f>
        <v>0.26708584144514019</v>
      </c>
      <c r="G14" s="5">
        <f>SCORES!R17</f>
        <v>4</v>
      </c>
      <c r="H14" s="5"/>
    </row>
    <row r="15" spans="1:8" ht="31.5" x14ac:dyDescent="0.25">
      <c r="A15" s="27" t="str">
        <f>SCORES!B18</f>
        <v>Yield Gap due to water stress</v>
      </c>
      <c r="B15" s="24" t="str">
        <f>SCORES!C18</f>
        <v>(Ypotential​−Yactual​​)/(Ypotential​)×100</v>
      </c>
      <c r="C15" s="24" t="str">
        <f>SCORES!D18</f>
        <v>%/100</v>
      </c>
      <c r="D15" s="8">
        <f>SCORES!J18</f>
        <v>0.4</v>
      </c>
      <c r="E15" s="8">
        <f>SCORES!K18</f>
        <v>0</v>
      </c>
      <c r="F15" s="8">
        <f>SCORES!Q18</f>
        <v>0.2371484669197273</v>
      </c>
      <c r="G15" s="5">
        <f>SCORES!R18</f>
        <v>5</v>
      </c>
      <c r="H15" s="5"/>
    </row>
    <row r="16" spans="1:8" ht="18.75" x14ac:dyDescent="0.3">
      <c r="F16" s="4" t="str">
        <f>SCORES!Q20</f>
        <v>AVERAGE SCORE</v>
      </c>
      <c r="G16" s="22">
        <f>AVERAGE(G14:G15,G2:G7)</f>
        <v>4.375</v>
      </c>
      <c r="H16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E9C6-349E-9541-9ACA-C5D18CF6D7F3}">
  <sheetPr filterMode="1"/>
  <dimension ref="A1:AE49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62" sqref="C62"/>
    </sheetView>
  </sheetViews>
  <sheetFormatPr defaultColWidth="11.25" defaultRowHeight="15.75" x14ac:dyDescent="0.25"/>
  <cols>
    <col min="1" max="1" width="13" customWidth="1"/>
    <col min="2" max="2" width="15.75" customWidth="1"/>
    <col min="3" max="3" width="35.625" customWidth="1"/>
    <col min="4" max="14" width="8"/>
    <col min="15" max="15" width="11.5" customWidth="1"/>
    <col min="16" max="17" width="8"/>
    <col min="18" max="18" width="14.875" customWidth="1"/>
    <col min="19" max="19" width="8"/>
    <col min="20" max="20" width="10.75" style="40"/>
    <col min="26" max="31" width="10.75" style="15"/>
  </cols>
  <sheetData>
    <row r="1" spans="1:20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135</v>
      </c>
      <c r="G1" t="s">
        <v>28</v>
      </c>
      <c r="H1" t="s">
        <v>29</v>
      </c>
      <c r="I1" t="s">
        <v>119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s="40" t="s">
        <v>100</v>
      </c>
    </row>
    <row r="2" spans="1:20" hidden="1" x14ac:dyDescent="0.25">
      <c r="A2">
        <v>892.75171087141996</v>
      </c>
      <c r="B2">
        <v>7.6</v>
      </c>
      <c r="C2" t="s">
        <v>128</v>
      </c>
      <c r="D2">
        <v>31</v>
      </c>
      <c r="E2">
        <v>287</v>
      </c>
      <c r="F2">
        <v>344</v>
      </c>
      <c r="G2">
        <v>68</v>
      </c>
      <c r="H2">
        <v>0.126172476181793</v>
      </c>
      <c r="I2">
        <v>0.52725009227184905</v>
      </c>
      <c r="J2">
        <v>217</v>
      </c>
      <c r="K2" t="s">
        <v>215</v>
      </c>
      <c r="L2">
        <v>1313</v>
      </c>
      <c r="M2">
        <v>0.90091945755770597</v>
      </c>
      <c r="N2">
        <v>0.42328921372824402</v>
      </c>
      <c r="O2">
        <v>1</v>
      </c>
      <c r="P2">
        <v>6243</v>
      </c>
      <c r="Q2">
        <v>7324</v>
      </c>
      <c r="R2" t="s">
        <v>41</v>
      </c>
      <c r="S2">
        <v>2018</v>
      </c>
      <c r="T2" s="40">
        <f>IF(R2="IRRIGATED",IF(F2&gt;=SCORES!I$6,1,0),"")</f>
        <v>1</v>
      </c>
    </row>
    <row r="3" spans="1:20" hidden="1" x14ac:dyDescent="0.25">
      <c r="A3">
        <v>493.768332635886</v>
      </c>
      <c r="B3">
        <v>4.7</v>
      </c>
      <c r="C3" t="s">
        <v>128</v>
      </c>
      <c r="D3">
        <v>31</v>
      </c>
      <c r="E3">
        <v>222</v>
      </c>
      <c r="F3">
        <v>262</v>
      </c>
      <c r="G3">
        <v>23</v>
      </c>
      <c r="H3">
        <v>4.0802421096639903E-2</v>
      </c>
      <c r="I3">
        <v>0.38562955986719799</v>
      </c>
      <c r="J3">
        <v>194</v>
      </c>
      <c r="K3" t="s">
        <v>215</v>
      </c>
      <c r="L3">
        <v>52</v>
      </c>
      <c r="M3">
        <v>0.91055892816492601</v>
      </c>
      <c r="N3">
        <v>0.90898865877132595</v>
      </c>
      <c r="O3">
        <v>2</v>
      </c>
      <c r="P3">
        <v>5782</v>
      </c>
      <c r="Q3">
        <v>8449</v>
      </c>
      <c r="R3" t="s">
        <v>41</v>
      </c>
      <c r="S3">
        <v>2018</v>
      </c>
      <c r="T3" s="40">
        <f>IF(R3="IRRIGATED",IF(F3&gt;=SCORES!I$6,1,0),"")</f>
        <v>0</v>
      </c>
    </row>
    <row r="4" spans="1:20" hidden="1" x14ac:dyDescent="0.25">
      <c r="A4">
        <v>486.04367420180398</v>
      </c>
      <c r="B4">
        <v>3.8</v>
      </c>
      <c r="C4" t="s">
        <v>128</v>
      </c>
      <c r="D4">
        <v>31</v>
      </c>
      <c r="E4">
        <v>223</v>
      </c>
      <c r="F4">
        <v>320</v>
      </c>
      <c r="G4">
        <v>22</v>
      </c>
      <c r="H4">
        <v>4.2562362247116903E-2</v>
      </c>
      <c r="I4">
        <v>0.54302631415500702</v>
      </c>
      <c r="J4">
        <v>195</v>
      </c>
      <c r="K4" t="s">
        <v>215</v>
      </c>
      <c r="L4">
        <v>93</v>
      </c>
      <c r="M4">
        <v>0.925152601270122</v>
      </c>
      <c r="N4">
        <v>0.90250255231404397</v>
      </c>
      <c r="O4">
        <v>2</v>
      </c>
      <c r="P4">
        <v>6349</v>
      </c>
      <c r="Q4">
        <v>9465</v>
      </c>
      <c r="R4" t="s">
        <v>41</v>
      </c>
      <c r="S4">
        <v>2019</v>
      </c>
      <c r="T4" s="40">
        <f>IF(R4="IRRIGATED",IF(F4&gt;=SCORES!I$6,1,0),"")</f>
        <v>1</v>
      </c>
    </row>
    <row r="5" spans="1:20" hidden="1" x14ac:dyDescent="0.25">
      <c r="A5">
        <v>804.64819681717495</v>
      </c>
      <c r="B5">
        <v>6</v>
      </c>
      <c r="C5" t="s">
        <v>128</v>
      </c>
      <c r="D5">
        <v>31</v>
      </c>
      <c r="E5">
        <v>235</v>
      </c>
      <c r="F5">
        <v>296</v>
      </c>
      <c r="G5">
        <v>45</v>
      </c>
      <c r="H5">
        <v>0.193306122131854</v>
      </c>
      <c r="I5">
        <v>0.89136114588304005</v>
      </c>
      <c r="J5">
        <v>187</v>
      </c>
      <c r="K5" t="s">
        <v>215</v>
      </c>
      <c r="L5">
        <v>1172</v>
      </c>
      <c r="M5">
        <v>0.91927536211694505</v>
      </c>
      <c r="N5">
        <v>0.35232797217211698</v>
      </c>
      <c r="O5">
        <v>1</v>
      </c>
      <c r="P5">
        <v>4175</v>
      </c>
      <c r="Q5">
        <v>5169</v>
      </c>
      <c r="R5" t="s">
        <v>41</v>
      </c>
      <c r="S5">
        <v>2019</v>
      </c>
      <c r="T5" s="40">
        <f>IF(R5="IRRIGATED",IF(F5&gt;=SCORES!I$6,1,0),"")</f>
        <v>0</v>
      </c>
    </row>
    <row r="6" spans="1:20" hidden="1" x14ac:dyDescent="0.25">
      <c r="A6">
        <v>440.46393581672697</v>
      </c>
      <c r="B6">
        <v>4.5999999999999996</v>
      </c>
      <c r="C6" t="s">
        <v>128</v>
      </c>
      <c r="D6">
        <v>31</v>
      </c>
      <c r="E6">
        <v>246</v>
      </c>
      <c r="F6">
        <v>286</v>
      </c>
      <c r="G6">
        <v>24</v>
      </c>
      <c r="H6">
        <v>4.2734244163670401E-2</v>
      </c>
      <c r="I6">
        <v>0.44241038492330598</v>
      </c>
      <c r="J6">
        <v>216</v>
      </c>
      <c r="K6" t="s">
        <v>215</v>
      </c>
      <c r="L6">
        <v>93</v>
      </c>
      <c r="M6">
        <v>0.90312693120190601</v>
      </c>
      <c r="N6">
        <v>0.90276146878405505</v>
      </c>
      <c r="O6">
        <v>2</v>
      </c>
      <c r="P6">
        <v>5737</v>
      </c>
      <c r="Q6">
        <v>7741</v>
      </c>
      <c r="R6" t="s">
        <v>41</v>
      </c>
      <c r="S6">
        <v>2020</v>
      </c>
      <c r="T6" s="40">
        <f>IF(R6="IRRIGATED",IF(F6&gt;=SCORES!I$6,1,0),"")</f>
        <v>0</v>
      </c>
    </row>
    <row r="7" spans="1:20" hidden="1" x14ac:dyDescent="0.25">
      <c r="A7">
        <v>573.60987432403999</v>
      </c>
      <c r="B7">
        <v>5.5</v>
      </c>
      <c r="C7" t="s">
        <v>128</v>
      </c>
      <c r="D7">
        <v>31</v>
      </c>
      <c r="E7">
        <v>321</v>
      </c>
      <c r="F7">
        <v>384</v>
      </c>
      <c r="G7">
        <v>91</v>
      </c>
      <c r="H7">
        <v>0.142510961535599</v>
      </c>
      <c r="I7">
        <v>0.485414820537721</v>
      </c>
      <c r="J7">
        <v>233</v>
      </c>
      <c r="K7" t="s">
        <v>215</v>
      </c>
      <c r="L7">
        <v>1426</v>
      </c>
      <c r="M7">
        <v>0.89788855107537002</v>
      </c>
      <c r="N7">
        <v>0.54220802990454198</v>
      </c>
      <c r="O7">
        <v>1</v>
      </c>
      <c r="P7">
        <v>4863</v>
      </c>
      <c r="Q7">
        <v>6207</v>
      </c>
      <c r="R7" t="s">
        <v>41</v>
      </c>
      <c r="S7">
        <v>2020</v>
      </c>
      <c r="T7" s="40">
        <f>IF(R7="IRRIGATED",IF(F7&gt;=SCORES!I$6,1,0),"")</f>
        <v>1</v>
      </c>
    </row>
    <row r="8" spans="1:20" hidden="1" x14ac:dyDescent="0.25">
      <c r="A8">
        <v>641.35861876530896</v>
      </c>
      <c r="B8">
        <v>7.2</v>
      </c>
      <c r="C8" t="s">
        <v>128</v>
      </c>
      <c r="D8">
        <v>31</v>
      </c>
      <c r="E8">
        <v>220</v>
      </c>
      <c r="F8">
        <v>288</v>
      </c>
      <c r="G8">
        <v>57</v>
      </c>
      <c r="H8">
        <v>0.21250162366161299</v>
      </c>
      <c r="I8">
        <v>0.65831415253023995</v>
      </c>
      <c r="J8">
        <v>165</v>
      </c>
      <c r="K8" t="s">
        <v>215</v>
      </c>
      <c r="L8">
        <v>936</v>
      </c>
      <c r="M8">
        <v>0.90406316320386204</v>
      </c>
      <c r="N8">
        <v>0.35947749718762501</v>
      </c>
      <c r="O8">
        <v>1</v>
      </c>
      <c r="P8">
        <v>3775</v>
      </c>
      <c r="Q8">
        <v>4904</v>
      </c>
      <c r="R8" t="s">
        <v>41</v>
      </c>
      <c r="S8">
        <v>2021</v>
      </c>
      <c r="T8" s="40">
        <f>IF(R8="IRRIGATED",IF(F8&gt;=SCORES!I$6,1,0),"")</f>
        <v>0</v>
      </c>
    </row>
    <row r="9" spans="1:20" hidden="1" x14ac:dyDescent="0.25">
      <c r="A9">
        <v>690.02423692899504</v>
      </c>
      <c r="B9">
        <v>8</v>
      </c>
      <c r="C9" t="s">
        <v>128</v>
      </c>
      <c r="D9">
        <v>31</v>
      </c>
      <c r="E9">
        <v>236</v>
      </c>
      <c r="F9">
        <v>324</v>
      </c>
      <c r="G9">
        <v>26</v>
      </c>
      <c r="H9">
        <v>4.39373584897031E-2</v>
      </c>
      <c r="I9">
        <v>0.424790395403013</v>
      </c>
      <c r="J9">
        <v>204</v>
      </c>
      <c r="K9" t="s">
        <v>215</v>
      </c>
      <c r="L9">
        <v>88</v>
      </c>
      <c r="M9">
        <v>0.90892785730897696</v>
      </c>
      <c r="N9">
        <v>0.90800831312137498</v>
      </c>
      <c r="O9">
        <v>2</v>
      </c>
      <c r="P9">
        <v>5740</v>
      </c>
      <c r="Q9">
        <v>9113</v>
      </c>
      <c r="R9" t="s">
        <v>41</v>
      </c>
      <c r="S9">
        <v>2021</v>
      </c>
      <c r="T9" s="40">
        <f>IF(R9="IRRIGATED",IF(F9&gt;=SCORES!I$6,1,0),"")</f>
        <v>1</v>
      </c>
    </row>
    <row r="10" spans="1:20" hidden="1" x14ac:dyDescent="0.25">
      <c r="A10">
        <v>293.050721790247</v>
      </c>
      <c r="B10">
        <v>2.4</v>
      </c>
      <c r="C10" t="s">
        <v>128</v>
      </c>
      <c r="D10">
        <v>31</v>
      </c>
      <c r="E10">
        <v>238</v>
      </c>
      <c r="F10">
        <v>296</v>
      </c>
      <c r="G10">
        <v>22</v>
      </c>
      <c r="H10">
        <v>4.2348140080079998E-2</v>
      </c>
      <c r="I10">
        <v>0.47410283662738101</v>
      </c>
      <c r="J10">
        <v>211</v>
      </c>
      <c r="K10" t="s">
        <v>215</v>
      </c>
      <c r="L10">
        <v>118</v>
      </c>
      <c r="M10">
        <v>0.92030224244162095</v>
      </c>
      <c r="N10">
        <v>0.89486402036281298</v>
      </c>
      <c r="O10">
        <v>2</v>
      </c>
      <c r="P10">
        <v>6625</v>
      </c>
      <c r="Q10">
        <v>9433</v>
      </c>
      <c r="R10" t="s">
        <v>41</v>
      </c>
      <c r="S10">
        <v>2022</v>
      </c>
      <c r="T10" s="40">
        <f>IF(R10="IRRIGATED",IF(F10&gt;=SCORES!I$6,1,0),"")</f>
        <v>0</v>
      </c>
    </row>
    <row r="11" spans="1:20" hidden="1" x14ac:dyDescent="0.25">
      <c r="A11">
        <v>594.24039549012696</v>
      </c>
      <c r="B11">
        <v>4.5</v>
      </c>
      <c r="C11" t="s">
        <v>128</v>
      </c>
      <c r="D11">
        <v>31</v>
      </c>
      <c r="E11">
        <v>265</v>
      </c>
      <c r="F11">
        <v>304</v>
      </c>
      <c r="G11">
        <v>50</v>
      </c>
      <c r="H11">
        <v>0.131231891001617</v>
      </c>
      <c r="I11">
        <v>0.64136106540455595</v>
      </c>
      <c r="J11">
        <v>213</v>
      </c>
      <c r="K11" t="s">
        <v>215</v>
      </c>
      <c r="L11">
        <v>1226</v>
      </c>
      <c r="M11">
        <v>0.89504882097842997</v>
      </c>
      <c r="N11">
        <v>0.49147649476428901</v>
      </c>
      <c r="O11">
        <v>1</v>
      </c>
      <c r="P11">
        <v>4874</v>
      </c>
      <c r="Q11">
        <v>5340</v>
      </c>
      <c r="R11" t="s">
        <v>41</v>
      </c>
      <c r="S11">
        <v>2022</v>
      </c>
      <c r="T11" s="40">
        <f>IF(R11="IRRIGATED",IF(F11&gt;=SCORES!I$6,1,0),"")</f>
        <v>1</v>
      </c>
    </row>
    <row r="12" spans="1:20" hidden="1" x14ac:dyDescent="0.25">
      <c r="A12">
        <v>32.092347733992</v>
      </c>
      <c r="B12">
        <v>1.2</v>
      </c>
      <c r="C12" t="s">
        <v>128</v>
      </c>
      <c r="D12">
        <v>31</v>
      </c>
      <c r="E12">
        <v>389</v>
      </c>
      <c r="F12">
        <v>493</v>
      </c>
      <c r="G12">
        <v>109</v>
      </c>
      <c r="H12">
        <v>9.8095934790621203E-2</v>
      </c>
      <c r="I12">
        <v>0.33488716120267398</v>
      </c>
      <c r="J12">
        <v>278</v>
      </c>
      <c r="K12" t="s">
        <v>215</v>
      </c>
      <c r="L12">
        <v>85</v>
      </c>
      <c r="O12">
        <v>3</v>
      </c>
      <c r="P12">
        <v>2846</v>
      </c>
      <c r="Q12">
        <v>3909</v>
      </c>
      <c r="R12" t="s">
        <v>41</v>
      </c>
      <c r="S12">
        <v>2018</v>
      </c>
      <c r="T12" s="40">
        <f>IF(R12="IRRIGATED",IF(F12&gt;=SCORES!I$6,1,0),"")</f>
        <v>1</v>
      </c>
    </row>
    <row r="13" spans="1:20" hidden="1" x14ac:dyDescent="0.25">
      <c r="A13">
        <v>251.30926642697199</v>
      </c>
      <c r="B13">
        <v>3.1</v>
      </c>
      <c r="C13" t="s">
        <v>128</v>
      </c>
      <c r="D13">
        <v>31</v>
      </c>
      <c r="E13">
        <v>325</v>
      </c>
      <c r="F13">
        <v>438</v>
      </c>
      <c r="G13">
        <v>74</v>
      </c>
      <c r="H13">
        <v>0.104348037828291</v>
      </c>
      <c r="I13">
        <v>0.41887680066525901</v>
      </c>
      <c r="J13">
        <v>248</v>
      </c>
      <c r="K13" t="s">
        <v>215</v>
      </c>
      <c r="L13">
        <v>120</v>
      </c>
      <c r="O13">
        <v>3</v>
      </c>
      <c r="P13">
        <v>4055</v>
      </c>
      <c r="Q13">
        <v>5813</v>
      </c>
      <c r="R13" t="s">
        <v>41</v>
      </c>
      <c r="S13">
        <v>2019</v>
      </c>
      <c r="T13" s="40">
        <f>IF(R13="IRRIGATED",IF(F13&gt;=SCORES!I$6,1,0),"")</f>
        <v>1</v>
      </c>
    </row>
    <row r="14" spans="1:20" hidden="1" x14ac:dyDescent="0.25">
      <c r="A14">
        <v>79.219020296092296</v>
      </c>
      <c r="B14">
        <v>3.4</v>
      </c>
      <c r="C14" t="s">
        <v>128</v>
      </c>
      <c r="D14">
        <v>31</v>
      </c>
      <c r="E14">
        <v>288</v>
      </c>
      <c r="F14">
        <v>417</v>
      </c>
      <c r="G14">
        <v>110</v>
      </c>
      <c r="H14">
        <v>0.12550526164343501</v>
      </c>
      <c r="I14">
        <v>0.33515564576896401</v>
      </c>
      <c r="J14">
        <v>177</v>
      </c>
      <c r="K14" t="s">
        <v>215</v>
      </c>
      <c r="L14">
        <v>136</v>
      </c>
      <c r="O14">
        <v>3</v>
      </c>
      <c r="P14">
        <v>2354</v>
      </c>
      <c r="Q14">
        <v>3920</v>
      </c>
      <c r="R14" t="s">
        <v>41</v>
      </c>
      <c r="S14">
        <v>2020</v>
      </c>
      <c r="T14" s="40">
        <f>IF(R14="IRRIGATED",IF(F14&gt;=SCORES!I$6,1,0),"")</f>
        <v>1</v>
      </c>
    </row>
    <row r="15" spans="1:20" hidden="1" x14ac:dyDescent="0.25">
      <c r="A15">
        <v>81.540190848801501</v>
      </c>
      <c r="B15">
        <v>3.2</v>
      </c>
      <c r="C15" t="s">
        <v>128</v>
      </c>
      <c r="D15">
        <v>31</v>
      </c>
      <c r="E15">
        <v>318</v>
      </c>
      <c r="F15">
        <v>449</v>
      </c>
      <c r="G15">
        <v>119</v>
      </c>
      <c r="H15">
        <v>0.130117303959601</v>
      </c>
      <c r="I15">
        <v>0.31382273155333901</v>
      </c>
      <c r="J15">
        <v>198</v>
      </c>
      <c r="K15" t="s">
        <v>215</v>
      </c>
      <c r="L15">
        <v>115</v>
      </c>
      <c r="O15">
        <v>3</v>
      </c>
      <c r="P15">
        <v>2778</v>
      </c>
      <c r="Q15">
        <v>3601</v>
      </c>
      <c r="R15" t="s">
        <v>41</v>
      </c>
      <c r="S15">
        <v>2021</v>
      </c>
      <c r="T15" s="40">
        <f>IF(R15="IRRIGATED",IF(F15&gt;=SCORES!I$6,1,0),"")</f>
        <v>1</v>
      </c>
    </row>
    <row r="16" spans="1:20" hidden="1" x14ac:dyDescent="0.25">
      <c r="A16">
        <v>150.657449786077</v>
      </c>
      <c r="B16">
        <v>3.3</v>
      </c>
      <c r="C16" t="s">
        <v>128</v>
      </c>
      <c r="D16">
        <v>31</v>
      </c>
      <c r="E16">
        <v>318</v>
      </c>
      <c r="F16">
        <v>417</v>
      </c>
      <c r="G16">
        <v>116</v>
      </c>
      <c r="H16">
        <v>0.14274506206635401</v>
      </c>
      <c r="I16">
        <v>0.393241614609597</v>
      </c>
      <c r="J16">
        <v>201</v>
      </c>
      <c r="K16" t="s">
        <v>215</v>
      </c>
      <c r="L16">
        <v>57</v>
      </c>
      <c r="O16">
        <v>3</v>
      </c>
      <c r="P16">
        <v>2562</v>
      </c>
      <c r="Q16">
        <v>4201</v>
      </c>
      <c r="R16" t="s">
        <v>41</v>
      </c>
      <c r="S16">
        <v>2022</v>
      </c>
      <c r="T16" s="40">
        <f>IF(R16="IRRIGATED",IF(F16&gt;=SCORES!I$6,1,0),"")</f>
        <v>1</v>
      </c>
    </row>
    <row r="17" spans="1:20" hidden="1" x14ac:dyDescent="0.25">
      <c r="A17">
        <v>490.68952754643101</v>
      </c>
      <c r="B17">
        <v>4.2</v>
      </c>
      <c r="C17" t="s">
        <v>128</v>
      </c>
      <c r="D17">
        <v>31</v>
      </c>
      <c r="E17">
        <v>217</v>
      </c>
      <c r="F17">
        <v>246</v>
      </c>
      <c r="G17">
        <v>0</v>
      </c>
      <c r="J17">
        <v>215</v>
      </c>
      <c r="K17" t="s">
        <v>215</v>
      </c>
      <c r="L17">
        <v>1255</v>
      </c>
      <c r="M17">
        <v>0.90091945755770597</v>
      </c>
      <c r="N17">
        <v>0.42328921372824402</v>
      </c>
      <c r="O17">
        <v>1</v>
      </c>
      <c r="P17">
        <v>5039</v>
      </c>
      <c r="R17" t="s">
        <v>57</v>
      </c>
      <c r="S17">
        <v>2018</v>
      </c>
      <c r="T17" s="40" t="str">
        <f>IF(R17="IRRIGATED",IF(F17&gt;=SCORES!I$6,1,0),"")</f>
        <v/>
      </c>
    </row>
    <row r="18" spans="1:20" hidden="1" x14ac:dyDescent="0.25">
      <c r="A18">
        <v>524.99812069155098</v>
      </c>
      <c r="B18">
        <v>5</v>
      </c>
      <c r="C18" t="s">
        <v>128</v>
      </c>
      <c r="D18">
        <v>31</v>
      </c>
      <c r="E18">
        <v>195</v>
      </c>
      <c r="F18">
        <v>206</v>
      </c>
      <c r="G18">
        <v>0</v>
      </c>
      <c r="J18">
        <v>190</v>
      </c>
      <c r="K18" t="s">
        <v>215</v>
      </c>
      <c r="L18">
        <v>51</v>
      </c>
      <c r="M18">
        <v>0.91055892816492601</v>
      </c>
      <c r="N18">
        <v>0.90898865877132595</v>
      </c>
      <c r="O18">
        <v>2</v>
      </c>
      <c r="P18">
        <v>4683</v>
      </c>
      <c r="R18" t="s">
        <v>57</v>
      </c>
      <c r="S18">
        <v>2018</v>
      </c>
      <c r="T18" s="40" t="str">
        <f>IF(R18="IRRIGATED",IF(F18&gt;=SCORES!I$6,1,0),"")</f>
        <v/>
      </c>
    </row>
    <row r="19" spans="1:20" hidden="1" x14ac:dyDescent="0.25">
      <c r="A19">
        <v>1024.75739646173</v>
      </c>
      <c r="B19">
        <v>7.7</v>
      </c>
      <c r="C19" t="s">
        <v>128</v>
      </c>
      <c r="D19">
        <v>31</v>
      </c>
      <c r="E19">
        <v>191</v>
      </c>
      <c r="F19">
        <v>228</v>
      </c>
      <c r="G19">
        <v>0</v>
      </c>
      <c r="J19">
        <v>185</v>
      </c>
      <c r="K19" t="s">
        <v>215</v>
      </c>
      <c r="L19">
        <v>1132</v>
      </c>
      <c r="M19">
        <v>0.91927536211694505</v>
      </c>
      <c r="N19">
        <v>0.35232797217211698</v>
      </c>
      <c r="O19">
        <v>1</v>
      </c>
      <c r="P19">
        <v>3474</v>
      </c>
      <c r="R19" t="s">
        <v>57</v>
      </c>
      <c r="S19">
        <v>2019</v>
      </c>
      <c r="T19" s="40" t="str">
        <f>IF(R19="IRRIGATED",IF(F19&gt;=SCORES!I$6,1,0),"")</f>
        <v/>
      </c>
    </row>
    <row r="20" spans="1:20" hidden="1" x14ac:dyDescent="0.25">
      <c r="A20">
        <v>1159.5291868817301</v>
      </c>
      <c r="B20">
        <v>9</v>
      </c>
      <c r="C20" t="s">
        <v>128</v>
      </c>
      <c r="D20">
        <v>31</v>
      </c>
      <c r="E20">
        <v>188</v>
      </c>
      <c r="F20">
        <v>276</v>
      </c>
      <c r="G20">
        <v>0</v>
      </c>
      <c r="J20">
        <v>181</v>
      </c>
      <c r="K20" t="s">
        <v>215</v>
      </c>
      <c r="L20">
        <v>93</v>
      </c>
      <c r="M20">
        <v>0.925152601270122</v>
      </c>
      <c r="N20">
        <v>0.90250255231404397</v>
      </c>
      <c r="O20">
        <v>2</v>
      </c>
      <c r="P20">
        <v>5125</v>
      </c>
      <c r="R20" t="s">
        <v>57</v>
      </c>
      <c r="S20">
        <v>2019</v>
      </c>
      <c r="T20" s="40" t="str">
        <f>IF(R20="IRRIGATED",IF(F20&gt;=SCORES!I$6,1,0),"")</f>
        <v/>
      </c>
    </row>
    <row r="21" spans="1:20" hidden="1" x14ac:dyDescent="0.25">
      <c r="A21">
        <v>905.21449989134499</v>
      </c>
      <c r="B21">
        <v>8.6</v>
      </c>
      <c r="C21" t="s">
        <v>128</v>
      </c>
      <c r="D21">
        <v>31</v>
      </c>
      <c r="E21">
        <v>202</v>
      </c>
      <c r="F21">
        <v>288</v>
      </c>
      <c r="G21">
        <v>0</v>
      </c>
      <c r="J21">
        <v>220</v>
      </c>
      <c r="K21" t="s">
        <v>215</v>
      </c>
      <c r="L21">
        <v>1305</v>
      </c>
      <c r="M21">
        <v>0.89788855107537002</v>
      </c>
      <c r="N21">
        <v>0.54220802990454198</v>
      </c>
      <c r="O21">
        <v>1</v>
      </c>
      <c r="P21">
        <v>2991</v>
      </c>
      <c r="R21" t="s">
        <v>57</v>
      </c>
      <c r="S21">
        <v>2020</v>
      </c>
      <c r="T21" s="40" t="str">
        <f>IF(R21="IRRIGATED",IF(F21&gt;=SCORES!I$6,1,0),"")</f>
        <v/>
      </c>
    </row>
    <row r="22" spans="1:20" hidden="1" x14ac:dyDescent="0.25">
      <c r="A22">
        <v>886.03518602663905</v>
      </c>
      <c r="B22">
        <v>9.1999999999999993</v>
      </c>
      <c r="C22" t="s">
        <v>128</v>
      </c>
      <c r="D22">
        <v>31</v>
      </c>
      <c r="E22">
        <v>215</v>
      </c>
      <c r="F22">
        <v>268</v>
      </c>
      <c r="G22">
        <v>0</v>
      </c>
      <c r="J22">
        <v>208</v>
      </c>
      <c r="K22" t="s">
        <v>215</v>
      </c>
      <c r="L22">
        <v>92</v>
      </c>
      <c r="M22">
        <v>0.90312693120190601</v>
      </c>
      <c r="N22">
        <v>0.90276146878405505</v>
      </c>
      <c r="O22">
        <v>2</v>
      </c>
      <c r="P22">
        <v>4724</v>
      </c>
      <c r="R22" t="s">
        <v>57</v>
      </c>
      <c r="S22">
        <v>2020</v>
      </c>
      <c r="T22" s="40" t="str">
        <f>IF(R22="IRRIGATED",IF(F22&gt;=SCORES!I$6,1,0),"")</f>
        <v/>
      </c>
    </row>
    <row r="23" spans="1:20" hidden="1" x14ac:dyDescent="0.25">
      <c r="A23">
        <v>889.40239345230395</v>
      </c>
      <c r="B23">
        <v>10</v>
      </c>
      <c r="C23" t="s">
        <v>128</v>
      </c>
      <c r="D23">
        <v>31</v>
      </c>
      <c r="E23">
        <v>142</v>
      </c>
      <c r="F23">
        <v>202</v>
      </c>
      <c r="G23">
        <v>0</v>
      </c>
      <c r="J23">
        <v>151</v>
      </c>
      <c r="K23" t="s">
        <v>215</v>
      </c>
      <c r="L23">
        <v>799</v>
      </c>
      <c r="M23">
        <v>0.90406316320386204</v>
      </c>
      <c r="N23">
        <v>0.35947749718762501</v>
      </c>
      <c r="O23">
        <v>1</v>
      </c>
      <c r="P23">
        <v>2492</v>
      </c>
      <c r="R23" t="s">
        <v>57</v>
      </c>
      <c r="S23">
        <v>2021</v>
      </c>
      <c r="T23" s="40" t="str">
        <f>IF(R23="IRRIGATED",IF(F23&gt;=SCORES!I$6,1,0),"")</f>
        <v/>
      </c>
    </row>
    <row r="24" spans="1:20" hidden="1" x14ac:dyDescent="0.25">
      <c r="A24">
        <v>752.43328807409898</v>
      </c>
      <c r="B24">
        <v>8.8000000000000007</v>
      </c>
      <c r="C24" t="s">
        <v>128</v>
      </c>
      <c r="D24">
        <v>31</v>
      </c>
      <c r="E24">
        <v>207</v>
      </c>
      <c r="F24">
        <v>292</v>
      </c>
      <c r="G24">
        <v>0</v>
      </c>
      <c r="J24">
        <v>199</v>
      </c>
      <c r="K24" t="s">
        <v>215</v>
      </c>
      <c r="L24">
        <v>88</v>
      </c>
      <c r="M24">
        <v>0.90892785730897696</v>
      </c>
      <c r="N24">
        <v>0.90800831312137498</v>
      </c>
      <c r="O24">
        <v>2</v>
      </c>
      <c r="P24">
        <v>4793</v>
      </c>
      <c r="R24" t="s">
        <v>57</v>
      </c>
      <c r="S24">
        <v>2021</v>
      </c>
      <c r="T24" s="40" t="str">
        <f>IF(R24="IRRIGATED",IF(F24&gt;=SCORES!I$6,1,0),"")</f>
        <v/>
      </c>
    </row>
    <row r="25" spans="1:20" hidden="1" x14ac:dyDescent="0.25">
      <c r="A25">
        <v>791.58881019891101</v>
      </c>
      <c r="B25">
        <v>6</v>
      </c>
      <c r="C25" t="s">
        <v>128</v>
      </c>
      <c r="D25">
        <v>31</v>
      </c>
      <c r="E25">
        <v>206</v>
      </c>
      <c r="F25">
        <v>248</v>
      </c>
      <c r="G25">
        <v>0</v>
      </c>
      <c r="J25">
        <v>210</v>
      </c>
      <c r="K25" t="s">
        <v>215</v>
      </c>
      <c r="L25">
        <v>1193</v>
      </c>
      <c r="M25">
        <v>0.89504882097842997</v>
      </c>
      <c r="N25">
        <v>0.49147649476428901</v>
      </c>
      <c r="O25">
        <v>1</v>
      </c>
      <c r="P25">
        <v>3955</v>
      </c>
      <c r="R25" t="s">
        <v>57</v>
      </c>
      <c r="S25">
        <v>2022</v>
      </c>
      <c r="T25" s="40" t="str">
        <f>IF(R25="IRRIGATED",IF(F25&gt;=SCORES!I$6,1,0),"")</f>
        <v/>
      </c>
    </row>
    <row r="26" spans="1:20" hidden="1" x14ac:dyDescent="0.25">
      <c r="A26">
        <v>935.351456915364</v>
      </c>
      <c r="B26">
        <v>7.5</v>
      </c>
      <c r="C26" t="s">
        <v>128</v>
      </c>
      <c r="D26">
        <v>31</v>
      </c>
      <c r="E26">
        <v>204</v>
      </c>
      <c r="F26">
        <v>266</v>
      </c>
      <c r="G26">
        <v>0</v>
      </c>
      <c r="J26">
        <v>200</v>
      </c>
      <c r="K26" t="s">
        <v>215</v>
      </c>
      <c r="L26">
        <v>118</v>
      </c>
      <c r="M26">
        <v>0.92030224244162095</v>
      </c>
      <c r="N26">
        <v>0.89486402036281298</v>
      </c>
      <c r="O26">
        <v>2</v>
      </c>
      <c r="P26">
        <v>5466</v>
      </c>
      <c r="R26" t="s">
        <v>57</v>
      </c>
      <c r="S26">
        <v>2022</v>
      </c>
      <c r="T26" s="40" t="str">
        <f>IF(R26="IRRIGATED",IF(F26&gt;=SCORES!I$6,1,0),"")</f>
        <v/>
      </c>
    </row>
    <row r="27" spans="1:20" hidden="1" x14ac:dyDescent="0.25">
      <c r="A27">
        <v>4.0898163182726002</v>
      </c>
      <c r="B27">
        <v>0.2</v>
      </c>
      <c r="C27" t="s">
        <v>128</v>
      </c>
      <c r="D27">
        <v>31</v>
      </c>
      <c r="E27">
        <v>239</v>
      </c>
      <c r="F27">
        <v>456</v>
      </c>
      <c r="G27">
        <v>0</v>
      </c>
      <c r="J27">
        <v>189</v>
      </c>
      <c r="K27" t="s">
        <v>215</v>
      </c>
      <c r="L27">
        <v>56</v>
      </c>
      <c r="O27">
        <v>3</v>
      </c>
      <c r="P27">
        <v>1963</v>
      </c>
      <c r="R27" t="s">
        <v>57</v>
      </c>
      <c r="S27">
        <v>2018</v>
      </c>
      <c r="T27" s="40" t="str">
        <f>IF(R27="IRRIGATED",IF(F27&gt;=SCORES!I$6,1,0),"")</f>
        <v/>
      </c>
    </row>
    <row r="28" spans="1:20" hidden="1" x14ac:dyDescent="0.25">
      <c r="A28">
        <v>58.6419466260812</v>
      </c>
      <c r="B28">
        <v>0.7</v>
      </c>
      <c r="C28" t="s">
        <v>128</v>
      </c>
      <c r="D28">
        <v>31</v>
      </c>
      <c r="E28">
        <v>280</v>
      </c>
      <c r="F28">
        <v>425</v>
      </c>
      <c r="G28">
        <v>0</v>
      </c>
      <c r="J28">
        <v>229</v>
      </c>
      <c r="K28" t="s">
        <v>215</v>
      </c>
      <c r="L28">
        <v>116</v>
      </c>
      <c r="O28">
        <v>3</v>
      </c>
      <c r="P28">
        <v>3483</v>
      </c>
      <c r="R28" t="s">
        <v>57</v>
      </c>
      <c r="S28">
        <v>2019</v>
      </c>
      <c r="T28" s="40" t="str">
        <f>IF(R28="IRRIGATED",IF(F28&gt;=SCORES!I$6,1,0),"")</f>
        <v/>
      </c>
    </row>
    <row r="29" spans="1:20" hidden="1" x14ac:dyDescent="0.25">
      <c r="A29">
        <v>13.050283949082299</v>
      </c>
      <c r="B29">
        <v>0.6</v>
      </c>
      <c r="C29" t="s">
        <v>128</v>
      </c>
      <c r="D29">
        <v>31</v>
      </c>
      <c r="E29">
        <v>182</v>
      </c>
      <c r="F29">
        <v>352</v>
      </c>
      <c r="G29">
        <v>0</v>
      </c>
      <c r="J29">
        <v>130</v>
      </c>
      <c r="K29" t="s">
        <v>215</v>
      </c>
      <c r="L29">
        <v>109</v>
      </c>
      <c r="O29">
        <v>3</v>
      </c>
      <c r="P29">
        <v>1443</v>
      </c>
      <c r="R29" t="s">
        <v>57</v>
      </c>
      <c r="S29">
        <v>2020</v>
      </c>
      <c r="T29" s="40" t="str">
        <f>IF(R29="IRRIGATED",IF(F29&gt;=SCORES!I$6,1,0),"")</f>
        <v/>
      </c>
    </row>
    <row r="30" spans="1:20" hidden="1" x14ac:dyDescent="0.25">
      <c r="A30">
        <v>8.3266426413143293</v>
      </c>
      <c r="B30">
        <v>0.3</v>
      </c>
      <c r="C30" t="s">
        <v>128</v>
      </c>
      <c r="D30">
        <v>31</v>
      </c>
      <c r="E30">
        <v>182</v>
      </c>
      <c r="F30">
        <v>349</v>
      </c>
      <c r="G30">
        <v>0</v>
      </c>
      <c r="J30">
        <v>143</v>
      </c>
      <c r="K30" t="s">
        <v>215</v>
      </c>
      <c r="L30">
        <v>52</v>
      </c>
      <c r="O30">
        <v>3</v>
      </c>
      <c r="P30">
        <v>2325</v>
      </c>
      <c r="R30" t="s">
        <v>57</v>
      </c>
      <c r="S30">
        <v>2021</v>
      </c>
      <c r="T30" s="40" t="str">
        <f>IF(R30="IRRIGATED",IF(F30&gt;=SCORES!I$6,1,0),"")</f>
        <v/>
      </c>
    </row>
    <row r="31" spans="1:20" hidden="1" x14ac:dyDescent="0.25">
      <c r="A31">
        <v>25.447042903002501</v>
      </c>
      <c r="B31">
        <v>0.6</v>
      </c>
      <c r="C31" t="s">
        <v>128</v>
      </c>
      <c r="D31">
        <v>31</v>
      </c>
      <c r="E31">
        <v>233</v>
      </c>
      <c r="F31">
        <v>369</v>
      </c>
      <c r="G31">
        <v>0</v>
      </c>
      <c r="J31">
        <v>157</v>
      </c>
      <c r="K31" t="s">
        <v>215</v>
      </c>
      <c r="L31">
        <v>45</v>
      </c>
      <c r="O31">
        <v>3</v>
      </c>
      <c r="P31">
        <v>1820</v>
      </c>
      <c r="R31" t="s">
        <v>57</v>
      </c>
      <c r="S31">
        <v>2022</v>
      </c>
      <c r="T31" s="40" t="str">
        <f>IF(R31="IRRIGATED",IF(F31&gt;=SCORES!I$6,1,0),"")</f>
        <v/>
      </c>
    </row>
    <row r="32" spans="1:20" hidden="1" x14ac:dyDescent="0.25">
      <c r="A32">
        <v>1103.4963688442199</v>
      </c>
      <c r="B32">
        <v>9.4</v>
      </c>
      <c r="C32" t="s">
        <v>132</v>
      </c>
      <c r="D32">
        <v>34</v>
      </c>
      <c r="E32">
        <v>302</v>
      </c>
      <c r="F32">
        <v>358</v>
      </c>
      <c r="G32">
        <v>82</v>
      </c>
      <c r="H32">
        <v>0.126172476181793</v>
      </c>
      <c r="I32">
        <v>0.52725009227184905</v>
      </c>
      <c r="J32">
        <v>218</v>
      </c>
      <c r="K32" t="s">
        <v>215</v>
      </c>
      <c r="L32">
        <v>1342</v>
      </c>
      <c r="M32">
        <v>0.92854274445001805</v>
      </c>
      <c r="N32">
        <v>0.49314123381986502</v>
      </c>
      <c r="O32">
        <v>1</v>
      </c>
      <c r="P32">
        <v>6380</v>
      </c>
      <c r="Q32">
        <v>7342</v>
      </c>
      <c r="R32" t="s">
        <v>41</v>
      </c>
      <c r="S32">
        <v>2018</v>
      </c>
      <c r="T32" s="40">
        <f>IF(R32="IRRIGATED",IF(F32&gt;=SCORES!I$6,1,0),"")</f>
        <v>1</v>
      </c>
    </row>
    <row r="33" spans="1:20" hidden="1" x14ac:dyDescent="0.25">
      <c r="A33">
        <v>1027.58627186422</v>
      </c>
      <c r="B33">
        <v>9.9</v>
      </c>
      <c r="C33" t="s">
        <v>132</v>
      </c>
      <c r="D33">
        <v>34</v>
      </c>
      <c r="E33">
        <v>263</v>
      </c>
      <c r="F33">
        <v>336</v>
      </c>
      <c r="G33">
        <v>34</v>
      </c>
      <c r="H33">
        <v>4.0802421096639903E-2</v>
      </c>
      <c r="I33">
        <v>0.38562955986719799</v>
      </c>
      <c r="J33">
        <v>224</v>
      </c>
      <c r="K33" t="s">
        <v>215</v>
      </c>
      <c r="L33">
        <v>57</v>
      </c>
      <c r="M33">
        <v>0.92393575277522599</v>
      </c>
      <c r="N33">
        <v>0.90944058230462299</v>
      </c>
      <c r="O33">
        <v>2</v>
      </c>
      <c r="P33">
        <v>7535</v>
      </c>
      <c r="Q33">
        <v>10404</v>
      </c>
      <c r="R33" t="s">
        <v>41</v>
      </c>
      <c r="S33">
        <v>2018</v>
      </c>
      <c r="T33" s="40">
        <f>IF(R33="IRRIGATED",IF(F33&gt;=SCORES!I$6,1,0),"")</f>
        <v>1</v>
      </c>
    </row>
    <row r="34" spans="1:20" hidden="1" x14ac:dyDescent="0.25">
      <c r="A34">
        <v>4306.16760870691</v>
      </c>
      <c r="B34">
        <v>33.299999999999997</v>
      </c>
      <c r="C34" t="s">
        <v>132</v>
      </c>
      <c r="D34">
        <v>34</v>
      </c>
      <c r="E34">
        <v>266</v>
      </c>
      <c r="F34">
        <v>334</v>
      </c>
      <c r="G34">
        <v>34</v>
      </c>
      <c r="H34">
        <v>4.2562362247116903E-2</v>
      </c>
      <c r="I34">
        <v>0.54302631415500702</v>
      </c>
      <c r="J34">
        <v>227</v>
      </c>
      <c r="K34" t="s">
        <v>215</v>
      </c>
      <c r="L34">
        <v>98</v>
      </c>
      <c r="M34">
        <v>0.92849869998342305</v>
      </c>
      <c r="N34">
        <v>0.85365428457894399</v>
      </c>
      <c r="O34">
        <v>2</v>
      </c>
      <c r="P34">
        <v>7819</v>
      </c>
      <c r="Q34">
        <v>10165</v>
      </c>
      <c r="R34" t="s">
        <v>41</v>
      </c>
      <c r="S34">
        <v>2019</v>
      </c>
      <c r="T34" s="40">
        <f>IF(R34="IRRIGATED",IF(F34&gt;=SCORES!I$6,1,0),"")</f>
        <v>1</v>
      </c>
    </row>
    <row r="35" spans="1:20" hidden="1" x14ac:dyDescent="0.25">
      <c r="A35">
        <v>3808.661310122</v>
      </c>
      <c r="B35">
        <v>28.6</v>
      </c>
      <c r="C35" t="s">
        <v>132</v>
      </c>
      <c r="D35">
        <v>34</v>
      </c>
      <c r="E35">
        <v>252</v>
      </c>
      <c r="F35">
        <v>336</v>
      </c>
      <c r="G35">
        <v>58</v>
      </c>
      <c r="H35">
        <v>0.193306122131854</v>
      </c>
      <c r="I35">
        <v>0.89136114588304005</v>
      </c>
      <c r="J35">
        <v>190</v>
      </c>
      <c r="K35" t="s">
        <v>215</v>
      </c>
      <c r="L35">
        <v>1225</v>
      </c>
      <c r="M35">
        <v>0.93095674722017496</v>
      </c>
      <c r="N35">
        <v>0.36360957766928398</v>
      </c>
      <c r="O35">
        <v>1</v>
      </c>
      <c r="P35">
        <v>4294</v>
      </c>
      <c r="Q35">
        <v>5568</v>
      </c>
      <c r="R35" t="s">
        <v>41</v>
      </c>
      <c r="S35">
        <v>2019</v>
      </c>
      <c r="T35" s="40">
        <f>IF(R35="IRRIGATED",IF(F35&gt;=SCORES!I$6,1,0),"")</f>
        <v>1</v>
      </c>
    </row>
    <row r="36" spans="1:20" hidden="1" x14ac:dyDescent="0.25">
      <c r="A36">
        <v>364.76801616310598</v>
      </c>
      <c r="B36">
        <v>3.8</v>
      </c>
      <c r="C36" t="s">
        <v>132</v>
      </c>
      <c r="D36">
        <v>34</v>
      </c>
      <c r="E36">
        <v>285</v>
      </c>
      <c r="F36">
        <v>362</v>
      </c>
      <c r="G36">
        <v>33</v>
      </c>
      <c r="H36">
        <v>4.2734244163670401E-2</v>
      </c>
      <c r="I36">
        <v>0.44241038492330598</v>
      </c>
      <c r="J36">
        <v>247</v>
      </c>
      <c r="K36" t="s">
        <v>215</v>
      </c>
      <c r="L36">
        <v>102</v>
      </c>
      <c r="M36">
        <v>0.92276156674590704</v>
      </c>
      <c r="N36">
        <v>0.89632062780980504</v>
      </c>
      <c r="O36">
        <v>2</v>
      </c>
      <c r="P36">
        <v>6758</v>
      </c>
      <c r="Q36">
        <v>8977</v>
      </c>
      <c r="R36" t="s">
        <v>41</v>
      </c>
      <c r="S36">
        <v>2020</v>
      </c>
      <c r="T36" s="40">
        <f>IF(R36="IRRIGATED",IF(F36&gt;=SCORES!I$6,1,0),"")</f>
        <v>1</v>
      </c>
    </row>
    <row r="37" spans="1:20" hidden="1" x14ac:dyDescent="0.25">
      <c r="A37">
        <v>348.25434140223399</v>
      </c>
      <c r="B37">
        <v>3.3</v>
      </c>
      <c r="C37" t="s">
        <v>132</v>
      </c>
      <c r="D37">
        <v>34</v>
      </c>
      <c r="E37">
        <v>321</v>
      </c>
      <c r="F37">
        <v>382</v>
      </c>
      <c r="G37">
        <v>93</v>
      </c>
      <c r="H37">
        <v>0.142510961535599</v>
      </c>
      <c r="I37">
        <v>0.485414820537721</v>
      </c>
      <c r="J37">
        <v>236</v>
      </c>
      <c r="K37" t="s">
        <v>215</v>
      </c>
      <c r="L37">
        <v>1460</v>
      </c>
      <c r="M37">
        <v>0.92059014744204404</v>
      </c>
      <c r="N37">
        <v>0.62613629707784202</v>
      </c>
      <c r="O37">
        <v>1</v>
      </c>
      <c r="P37">
        <v>4788</v>
      </c>
      <c r="Q37">
        <v>6114</v>
      </c>
      <c r="R37" t="s">
        <v>41</v>
      </c>
      <c r="S37">
        <v>2020</v>
      </c>
      <c r="T37" s="40">
        <f>IF(R37="IRRIGATED",IF(F37&gt;=SCORES!I$6,1,0),"")</f>
        <v>1</v>
      </c>
    </row>
    <row r="38" spans="1:20" hidden="1" x14ac:dyDescent="0.25">
      <c r="A38">
        <v>465.10641521983399</v>
      </c>
      <c r="B38">
        <v>5.2</v>
      </c>
      <c r="C38" t="s">
        <v>132</v>
      </c>
      <c r="D38">
        <v>34</v>
      </c>
      <c r="E38">
        <v>250</v>
      </c>
      <c r="F38">
        <v>316</v>
      </c>
      <c r="G38">
        <v>79</v>
      </c>
      <c r="H38">
        <v>0.21250162366161299</v>
      </c>
      <c r="I38">
        <v>0.65831415253023995</v>
      </c>
      <c r="J38">
        <v>170</v>
      </c>
      <c r="K38" t="s">
        <v>215</v>
      </c>
      <c r="L38">
        <v>1077</v>
      </c>
      <c r="M38">
        <v>0.93467080111479794</v>
      </c>
      <c r="N38">
        <v>0.384683147016746</v>
      </c>
      <c r="O38">
        <v>1</v>
      </c>
      <c r="P38">
        <v>4091</v>
      </c>
      <c r="Q38">
        <v>5171</v>
      </c>
      <c r="R38" t="s">
        <v>41</v>
      </c>
      <c r="S38">
        <v>2021</v>
      </c>
      <c r="T38" s="40">
        <f>IF(R38="IRRIGATED",IF(F38&gt;=SCORES!I$6,1,0),"")</f>
        <v>1</v>
      </c>
    </row>
    <row r="39" spans="1:20" hidden="1" x14ac:dyDescent="0.25">
      <c r="A39">
        <v>638.98928018647405</v>
      </c>
      <c r="B39">
        <v>7.4</v>
      </c>
      <c r="C39" t="s">
        <v>132</v>
      </c>
      <c r="D39">
        <v>34</v>
      </c>
      <c r="E39">
        <v>271</v>
      </c>
      <c r="F39">
        <v>340</v>
      </c>
      <c r="G39">
        <v>36</v>
      </c>
      <c r="H39">
        <v>4.39373584897031E-2</v>
      </c>
      <c r="I39">
        <v>0.424790395403013</v>
      </c>
      <c r="J39">
        <v>230</v>
      </c>
      <c r="K39" t="s">
        <v>215</v>
      </c>
      <c r="L39">
        <v>100</v>
      </c>
      <c r="M39">
        <v>0.93573419497485599</v>
      </c>
      <c r="N39">
        <v>0.92303493805652004</v>
      </c>
      <c r="O39">
        <v>2</v>
      </c>
      <c r="P39">
        <v>7065</v>
      </c>
      <c r="Q39">
        <v>9783</v>
      </c>
      <c r="R39" t="s">
        <v>41</v>
      </c>
      <c r="S39">
        <v>2021</v>
      </c>
      <c r="T39" s="40">
        <f>IF(R39="IRRIGATED",IF(F39&gt;=SCORES!I$6,1,0),"")</f>
        <v>1</v>
      </c>
    </row>
    <row r="40" spans="1:20" hidden="1" x14ac:dyDescent="0.25">
      <c r="A40">
        <v>1066.0127568422799</v>
      </c>
      <c r="B40">
        <v>8.6</v>
      </c>
      <c r="C40" t="s">
        <v>132</v>
      </c>
      <c r="D40">
        <v>34</v>
      </c>
      <c r="E40">
        <v>285</v>
      </c>
      <c r="F40">
        <v>364</v>
      </c>
      <c r="G40">
        <v>33</v>
      </c>
      <c r="H40">
        <v>4.2348140080079998E-2</v>
      </c>
      <c r="I40">
        <v>0.47410283662738101</v>
      </c>
      <c r="J40">
        <v>247</v>
      </c>
      <c r="K40" t="s">
        <v>215</v>
      </c>
      <c r="L40">
        <v>129</v>
      </c>
      <c r="M40">
        <v>0.93422573197752401</v>
      </c>
      <c r="N40">
        <v>0.90289978465531295</v>
      </c>
      <c r="O40">
        <v>2</v>
      </c>
      <c r="P40">
        <v>8147</v>
      </c>
      <c r="Q40">
        <v>10511</v>
      </c>
      <c r="R40" t="s">
        <v>41</v>
      </c>
      <c r="S40">
        <v>2022</v>
      </c>
      <c r="T40" s="40">
        <f>IF(R40="IRRIGATED",IF(F40&gt;=SCORES!I$6,1,0),"")</f>
        <v>1</v>
      </c>
    </row>
    <row r="41" spans="1:20" hidden="1" x14ac:dyDescent="0.25">
      <c r="A41">
        <v>1096.9115895187001</v>
      </c>
      <c r="B41">
        <v>8.3000000000000007</v>
      </c>
      <c r="C41" t="s">
        <v>132</v>
      </c>
      <c r="D41">
        <v>34</v>
      </c>
      <c r="E41">
        <v>274</v>
      </c>
      <c r="F41">
        <v>326</v>
      </c>
      <c r="G41">
        <v>59</v>
      </c>
      <c r="H41">
        <v>0.131231891001617</v>
      </c>
      <c r="I41">
        <v>0.64136106540455595</v>
      </c>
      <c r="J41">
        <v>213</v>
      </c>
      <c r="K41" t="s">
        <v>215</v>
      </c>
      <c r="L41">
        <v>1235</v>
      </c>
      <c r="M41">
        <v>0.92055617640182497</v>
      </c>
      <c r="N41">
        <v>0.46146678808057401</v>
      </c>
      <c r="O41">
        <v>1</v>
      </c>
      <c r="P41">
        <v>4806</v>
      </c>
      <c r="Q41">
        <v>5223</v>
      </c>
      <c r="R41" t="s">
        <v>41</v>
      </c>
      <c r="S41">
        <v>2022</v>
      </c>
      <c r="T41" s="40">
        <f>IF(R41="IRRIGATED",IF(F41&gt;=SCORES!I$6,1,0),"")</f>
        <v>1</v>
      </c>
    </row>
    <row r="42" spans="1:20" hidden="1" x14ac:dyDescent="0.25">
      <c r="A42">
        <v>788.22196759386497</v>
      </c>
      <c r="B42">
        <v>29.9</v>
      </c>
      <c r="C42" t="s">
        <v>132</v>
      </c>
      <c r="D42">
        <v>34</v>
      </c>
      <c r="E42">
        <v>460</v>
      </c>
      <c r="F42">
        <v>553</v>
      </c>
      <c r="G42">
        <v>151</v>
      </c>
      <c r="H42">
        <v>9.8095934790621203E-2</v>
      </c>
      <c r="I42">
        <v>0.33488716120267398</v>
      </c>
      <c r="J42">
        <v>307</v>
      </c>
      <c r="K42" t="s">
        <v>215</v>
      </c>
      <c r="L42">
        <v>99</v>
      </c>
      <c r="O42">
        <v>3</v>
      </c>
      <c r="P42">
        <v>3435</v>
      </c>
      <c r="Q42">
        <v>4487</v>
      </c>
      <c r="R42" t="s">
        <v>41</v>
      </c>
      <c r="S42">
        <v>2018</v>
      </c>
      <c r="T42" s="40">
        <f>IF(R42="IRRIGATED",IF(F42&gt;=SCORES!I$6,1,0),"")</f>
        <v>1</v>
      </c>
    </row>
    <row r="43" spans="1:20" hidden="1" x14ac:dyDescent="0.25">
      <c r="A43">
        <v>4645.8124647906097</v>
      </c>
      <c r="B43">
        <v>56.4</v>
      </c>
      <c r="C43" t="s">
        <v>132</v>
      </c>
      <c r="D43">
        <v>34</v>
      </c>
      <c r="E43">
        <v>404</v>
      </c>
      <c r="F43">
        <v>481</v>
      </c>
      <c r="G43">
        <v>107</v>
      </c>
      <c r="H43">
        <v>0.104348037828291</v>
      </c>
      <c r="I43">
        <v>0.41887680066525901</v>
      </c>
      <c r="J43">
        <v>295</v>
      </c>
      <c r="K43" t="s">
        <v>215</v>
      </c>
      <c r="L43">
        <v>146</v>
      </c>
      <c r="O43">
        <v>3</v>
      </c>
      <c r="P43">
        <v>5210</v>
      </c>
      <c r="Q43">
        <v>6638</v>
      </c>
      <c r="R43" t="s">
        <v>41</v>
      </c>
      <c r="S43">
        <v>2019</v>
      </c>
      <c r="T43" s="40">
        <f>IF(R43="IRRIGATED",IF(F43&gt;=SCORES!I$6,1,0),"")</f>
        <v>1</v>
      </c>
    </row>
    <row r="44" spans="1:20" hidden="1" x14ac:dyDescent="0.25">
      <c r="A44">
        <v>421.759614879347</v>
      </c>
      <c r="B44">
        <v>18.3</v>
      </c>
      <c r="C44" t="s">
        <v>132</v>
      </c>
      <c r="D44">
        <v>34</v>
      </c>
      <c r="E44">
        <v>383</v>
      </c>
      <c r="F44">
        <v>501</v>
      </c>
      <c r="G44">
        <v>161</v>
      </c>
      <c r="H44">
        <v>0.12550526164343501</v>
      </c>
      <c r="I44">
        <v>0.33515564576896401</v>
      </c>
      <c r="J44">
        <v>221</v>
      </c>
      <c r="K44" t="s">
        <v>215</v>
      </c>
      <c r="L44">
        <v>167</v>
      </c>
      <c r="O44">
        <v>3</v>
      </c>
      <c r="P44">
        <v>3337</v>
      </c>
      <c r="Q44">
        <v>4934</v>
      </c>
      <c r="R44" t="s">
        <v>41</v>
      </c>
      <c r="S44">
        <v>2020</v>
      </c>
      <c r="T44" s="40">
        <f>IF(R44="IRRIGATED",IF(F44&gt;=SCORES!I$6,1,0),"")</f>
        <v>1</v>
      </c>
    </row>
    <row r="45" spans="1:20" hidden="1" x14ac:dyDescent="0.25">
      <c r="A45">
        <v>744.45875800567205</v>
      </c>
      <c r="B45">
        <v>29.5</v>
      </c>
      <c r="C45" t="s">
        <v>132</v>
      </c>
      <c r="D45">
        <v>34</v>
      </c>
      <c r="E45">
        <v>443</v>
      </c>
      <c r="F45">
        <v>545</v>
      </c>
      <c r="G45">
        <v>218</v>
      </c>
      <c r="H45">
        <v>0.130117303959601</v>
      </c>
      <c r="I45">
        <v>0.31382273155333901</v>
      </c>
      <c r="J45">
        <v>224</v>
      </c>
      <c r="K45" t="s">
        <v>215</v>
      </c>
      <c r="L45">
        <v>173</v>
      </c>
      <c r="O45">
        <v>3</v>
      </c>
      <c r="P45">
        <v>2884</v>
      </c>
      <c r="Q45">
        <v>4174</v>
      </c>
      <c r="R45" t="s">
        <v>41</v>
      </c>
      <c r="S45">
        <v>2021</v>
      </c>
      <c r="T45" s="40">
        <f>IF(R45="IRRIGATED",IF(F45&gt;=SCORES!I$6,1,0),"")</f>
        <v>1</v>
      </c>
    </row>
    <row r="46" spans="1:20" hidden="1" x14ac:dyDescent="0.25">
      <c r="A46">
        <v>1341.71668184193</v>
      </c>
      <c r="B46">
        <v>29.3</v>
      </c>
      <c r="C46" t="s">
        <v>132</v>
      </c>
      <c r="D46">
        <v>34</v>
      </c>
      <c r="E46">
        <v>393</v>
      </c>
      <c r="F46">
        <v>517</v>
      </c>
      <c r="G46">
        <v>160</v>
      </c>
      <c r="H46">
        <v>0.14274506206635401</v>
      </c>
      <c r="I46">
        <v>0.393241614609597</v>
      </c>
      <c r="J46">
        <v>233</v>
      </c>
      <c r="K46" t="s">
        <v>215</v>
      </c>
      <c r="L46">
        <v>69</v>
      </c>
      <c r="O46">
        <v>3</v>
      </c>
      <c r="P46">
        <v>3447</v>
      </c>
      <c r="Q46">
        <v>5135</v>
      </c>
      <c r="R46" t="s">
        <v>41</v>
      </c>
      <c r="S46">
        <v>2022</v>
      </c>
      <c r="T46" s="40">
        <f>IF(R46="IRRIGATED",IF(F46&gt;=SCORES!I$6,1,0),"")</f>
        <v>1</v>
      </c>
    </row>
    <row r="47" spans="1:20" hidden="1" x14ac:dyDescent="0.25">
      <c r="A47">
        <v>327.26933558292399</v>
      </c>
      <c r="B47">
        <v>2.8</v>
      </c>
      <c r="C47" t="s">
        <v>132</v>
      </c>
      <c r="D47">
        <v>34</v>
      </c>
      <c r="E47">
        <v>225</v>
      </c>
      <c r="F47">
        <v>302</v>
      </c>
      <c r="G47">
        <v>0</v>
      </c>
      <c r="J47">
        <v>217</v>
      </c>
      <c r="K47" t="s">
        <v>215</v>
      </c>
      <c r="L47">
        <v>1303</v>
      </c>
      <c r="M47">
        <v>0.92854274445001805</v>
      </c>
      <c r="N47">
        <v>0.49314123381986502</v>
      </c>
      <c r="O47">
        <v>1</v>
      </c>
      <c r="P47">
        <v>5071</v>
      </c>
      <c r="R47" t="s">
        <v>57</v>
      </c>
      <c r="S47">
        <v>2018</v>
      </c>
      <c r="T47" s="40" t="str">
        <f>IF(R47="IRRIGATED",IF(F47&gt;=SCORES!I$6,1,0),"")</f>
        <v/>
      </c>
    </row>
    <row r="48" spans="1:20" hidden="1" x14ac:dyDescent="0.25">
      <c r="A48">
        <v>368.601106548823</v>
      </c>
      <c r="B48">
        <v>3.5</v>
      </c>
      <c r="C48" t="s">
        <v>132</v>
      </c>
      <c r="D48">
        <v>34</v>
      </c>
      <c r="E48">
        <v>238</v>
      </c>
      <c r="F48">
        <v>320</v>
      </c>
      <c r="G48">
        <v>0</v>
      </c>
      <c r="J48">
        <v>224</v>
      </c>
      <c r="K48" t="s">
        <v>215</v>
      </c>
      <c r="L48">
        <v>57</v>
      </c>
      <c r="M48">
        <v>0.92393575277522599</v>
      </c>
      <c r="N48">
        <v>0.90944058230462299</v>
      </c>
      <c r="O48">
        <v>2</v>
      </c>
      <c r="P48">
        <v>6439</v>
      </c>
      <c r="R48" t="s">
        <v>57</v>
      </c>
      <c r="S48">
        <v>2018</v>
      </c>
      <c r="T48" s="40" t="str">
        <f>IF(R48="IRRIGATED",IF(F48&gt;=SCORES!I$6,1,0),"")</f>
        <v/>
      </c>
    </row>
    <row r="49" spans="1:20" hidden="1" x14ac:dyDescent="0.25">
      <c r="A49">
        <v>2611.0197078524102</v>
      </c>
      <c r="B49">
        <v>19.600000000000001</v>
      </c>
      <c r="C49" t="s">
        <v>132</v>
      </c>
      <c r="D49">
        <v>34</v>
      </c>
      <c r="E49">
        <v>197</v>
      </c>
      <c r="F49">
        <v>234</v>
      </c>
      <c r="G49">
        <v>0</v>
      </c>
      <c r="J49">
        <v>190</v>
      </c>
      <c r="K49" t="s">
        <v>215</v>
      </c>
      <c r="L49">
        <v>1208</v>
      </c>
      <c r="M49">
        <v>0.93095674722017496</v>
      </c>
      <c r="N49">
        <v>0.36360957766928398</v>
      </c>
      <c r="O49">
        <v>1</v>
      </c>
      <c r="P49">
        <v>3496</v>
      </c>
      <c r="R49" t="s">
        <v>57</v>
      </c>
      <c r="S49">
        <v>2019</v>
      </c>
      <c r="T49" s="40" t="str">
        <f>IF(R49="IRRIGATED",IF(F49&gt;=SCORES!I$6,1,0),"")</f>
        <v/>
      </c>
    </row>
    <row r="50" spans="1:20" hidden="1" x14ac:dyDescent="0.25">
      <c r="A50">
        <v>2096.6907208323801</v>
      </c>
      <c r="B50">
        <v>16.2</v>
      </c>
      <c r="C50" t="s">
        <v>132</v>
      </c>
      <c r="D50">
        <v>34</v>
      </c>
      <c r="E50">
        <v>237</v>
      </c>
      <c r="F50">
        <v>318</v>
      </c>
      <c r="G50">
        <v>0</v>
      </c>
      <c r="J50">
        <v>220</v>
      </c>
      <c r="K50" t="s">
        <v>215</v>
      </c>
      <c r="L50">
        <v>98</v>
      </c>
      <c r="M50">
        <v>0.92849869998342305</v>
      </c>
      <c r="N50">
        <v>0.85365428457894399</v>
      </c>
      <c r="O50">
        <v>2</v>
      </c>
      <c r="P50">
        <v>6684</v>
      </c>
      <c r="R50" t="s">
        <v>57</v>
      </c>
      <c r="S50">
        <v>2019</v>
      </c>
      <c r="T50" s="40" t="str">
        <f>IF(R50="IRRIGATED",IF(F50&gt;=SCORES!I$6,1,0),"")</f>
        <v/>
      </c>
    </row>
    <row r="51" spans="1:20" hidden="1" x14ac:dyDescent="0.25">
      <c r="A51">
        <v>205.053150076984</v>
      </c>
      <c r="B51">
        <v>2</v>
      </c>
      <c r="C51" t="s">
        <v>132</v>
      </c>
      <c r="D51">
        <v>34</v>
      </c>
      <c r="E51">
        <v>217</v>
      </c>
      <c r="F51">
        <v>298</v>
      </c>
      <c r="G51">
        <v>0</v>
      </c>
      <c r="J51">
        <v>227</v>
      </c>
      <c r="K51" t="s">
        <v>215</v>
      </c>
      <c r="L51">
        <v>1376</v>
      </c>
      <c r="M51">
        <v>0.92059014744204404</v>
      </c>
      <c r="N51">
        <v>0.62613629707784202</v>
      </c>
      <c r="O51">
        <v>1</v>
      </c>
      <c r="P51">
        <v>3254</v>
      </c>
      <c r="R51" t="s">
        <v>57</v>
      </c>
      <c r="S51">
        <v>2020</v>
      </c>
      <c r="T51" s="40" t="str">
        <f>IF(R51="IRRIGATED",IF(F51&gt;=SCORES!I$6,1,0),"")</f>
        <v/>
      </c>
    </row>
    <row r="52" spans="1:20" hidden="1" x14ac:dyDescent="0.25">
      <c r="A52">
        <v>177.92077258367399</v>
      </c>
      <c r="B52">
        <v>1.8</v>
      </c>
      <c r="C52" t="s">
        <v>132</v>
      </c>
      <c r="D52">
        <v>34</v>
      </c>
      <c r="E52">
        <v>255</v>
      </c>
      <c r="F52">
        <v>338</v>
      </c>
      <c r="G52">
        <v>0</v>
      </c>
      <c r="J52">
        <v>240</v>
      </c>
      <c r="K52" t="s">
        <v>215</v>
      </c>
      <c r="L52">
        <v>100</v>
      </c>
      <c r="M52">
        <v>0.92276156674590704</v>
      </c>
      <c r="N52">
        <v>0.89632062780980504</v>
      </c>
      <c r="O52">
        <v>2</v>
      </c>
      <c r="P52">
        <v>5733</v>
      </c>
      <c r="R52" t="s">
        <v>57</v>
      </c>
      <c r="S52">
        <v>2020</v>
      </c>
      <c r="T52" s="40" t="str">
        <f>IF(R52="IRRIGATED",IF(F52&gt;=SCORES!I$6,1,0),"")</f>
        <v/>
      </c>
    </row>
    <row r="53" spans="1:20" hidden="1" x14ac:dyDescent="0.25">
      <c r="A53">
        <v>347.71338569999199</v>
      </c>
      <c r="B53">
        <v>3.9</v>
      </c>
      <c r="C53" t="s">
        <v>132</v>
      </c>
      <c r="D53">
        <v>34</v>
      </c>
      <c r="E53">
        <v>158</v>
      </c>
      <c r="F53">
        <v>220</v>
      </c>
      <c r="G53">
        <v>0</v>
      </c>
      <c r="J53">
        <v>159</v>
      </c>
      <c r="K53" t="s">
        <v>215</v>
      </c>
      <c r="L53">
        <v>890</v>
      </c>
      <c r="M53">
        <v>0.93467080111479794</v>
      </c>
      <c r="N53">
        <v>0.384683147016746</v>
      </c>
      <c r="O53">
        <v>1</v>
      </c>
      <c r="P53">
        <v>2710</v>
      </c>
      <c r="R53" t="s">
        <v>57</v>
      </c>
      <c r="S53">
        <v>2021</v>
      </c>
      <c r="T53" s="40" t="str">
        <f>IF(R53="IRRIGATED",IF(F53&gt;=SCORES!I$6,1,0),"")</f>
        <v/>
      </c>
    </row>
    <row r="54" spans="1:20" hidden="1" x14ac:dyDescent="0.25">
      <c r="A54">
        <v>188.52867359409899</v>
      </c>
      <c r="B54">
        <v>2.2000000000000002</v>
      </c>
      <c r="C54" t="s">
        <v>132</v>
      </c>
      <c r="D54">
        <v>34</v>
      </c>
      <c r="E54">
        <v>242</v>
      </c>
      <c r="F54">
        <v>308</v>
      </c>
      <c r="G54">
        <v>0</v>
      </c>
      <c r="J54">
        <v>228</v>
      </c>
      <c r="K54" t="s">
        <v>215</v>
      </c>
      <c r="L54">
        <v>98</v>
      </c>
      <c r="M54">
        <v>0.93573419497485599</v>
      </c>
      <c r="N54">
        <v>0.92303493805652004</v>
      </c>
      <c r="O54">
        <v>2</v>
      </c>
      <c r="P54">
        <v>5941</v>
      </c>
      <c r="R54" t="s">
        <v>57</v>
      </c>
      <c r="S54">
        <v>2021</v>
      </c>
      <c r="T54" s="40" t="str">
        <f>IF(R54="IRRIGATED",IF(F54&gt;=SCORES!I$6,1,0),"")</f>
        <v/>
      </c>
    </row>
    <row r="55" spans="1:20" hidden="1" x14ac:dyDescent="0.25">
      <c r="A55">
        <v>854.03897558958101</v>
      </c>
      <c r="B55">
        <v>6.4</v>
      </c>
      <c r="C55" t="s">
        <v>132</v>
      </c>
      <c r="D55">
        <v>34</v>
      </c>
      <c r="E55">
        <v>217</v>
      </c>
      <c r="F55">
        <v>270</v>
      </c>
      <c r="G55">
        <v>0</v>
      </c>
      <c r="J55">
        <v>211</v>
      </c>
      <c r="K55" t="s">
        <v>215</v>
      </c>
      <c r="L55">
        <v>1206</v>
      </c>
      <c r="M55">
        <v>0.92055617640182497</v>
      </c>
      <c r="N55">
        <v>0.46146678808057401</v>
      </c>
      <c r="O55">
        <v>1</v>
      </c>
      <c r="P55">
        <v>4095</v>
      </c>
      <c r="R55" t="s">
        <v>57</v>
      </c>
      <c r="S55">
        <v>2022</v>
      </c>
      <c r="T55" s="40" t="str">
        <f>IF(R55="IRRIGATED",IF(F55&gt;=SCORES!I$6,1,0),"")</f>
        <v/>
      </c>
    </row>
    <row r="56" spans="1:20" hidden="1" x14ac:dyDescent="0.25">
      <c r="A56">
        <v>860.14911476920895</v>
      </c>
      <c r="B56">
        <v>6.9</v>
      </c>
      <c r="C56" t="s">
        <v>132</v>
      </c>
      <c r="D56">
        <v>34</v>
      </c>
      <c r="E56">
        <v>254</v>
      </c>
      <c r="F56">
        <v>344</v>
      </c>
      <c r="G56">
        <v>0</v>
      </c>
      <c r="J56">
        <v>238</v>
      </c>
      <c r="K56" t="s">
        <v>215</v>
      </c>
      <c r="L56">
        <v>128</v>
      </c>
      <c r="M56">
        <v>0.93422573197752401</v>
      </c>
      <c r="N56">
        <v>0.90289978465531295</v>
      </c>
      <c r="O56">
        <v>2</v>
      </c>
      <c r="P56">
        <v>7079</v>
      </c>
      <c r="R56" t="s">
        <v>57</v>
      </c>
      <c r="S56">
        <v>2022</v>
      </c>
      <c r="T56" s="40" t="str">
        <f>IF(R56="IRRIGATED",IF(F56&gt;=SCORES!I$6,1,0),"")</f>
        <v/>
      </c>
    </row>
    <row r="57" spans="1:20" hidden="1" x14ac:dyDescent="0.25">
      <c r="A57">
        <v>55.825652434880801</v>
      </c>
      <c r="B57">
        <v>2.1</v>
      </c>
      <c r="C57" t="s">
        <v>132</v>
      </c>
      <c r="D57">
        <v>34</v>
      </c>
      <c r="E57">
        <v>407</v>
      </c>
      <c r="F57">
        <v>529</v>
      </c>
      <c r="G57">
        <v>0</v>
      </c>
      <c r="J57">
        <v>291</v>
      </c>
      <c r="K57" t="s">
        <v>215</v>
      </c>
      <c r="L57">
        <v>95</v>
      </c>
      <c r="O57">
        <v>3</v>
      </c>
      <c r="P57">
        <v>3451</v>
      </c>
      <c r="R57" t="s">
        <v>57</v>
      </c>
      <c r="S57">
        <v>2018</v>
      </c>
      <c r="T57" s="40" t="str">
        <f>IF(R57="IRRIGATED",IF(F57&gt;=SCORES!I$6,1,0),"")</f>
        <v/>
      </c>
    </row>
    <row r="58" spans="1:20" hidden="1" x14ac:dyDescent="0.25">
      <c r="A58">
        <v>558.16472716569501</v>
      </c>
      <c r="B58">
        <v>6.8</v>
      </c>
      <c r="C58" t="s">
        <v>132</v>
      </c>
      <c r="D58">
        <v>34</v>
      </c>
      <c r="E58">
        <v>368</v>
      </c>
      <c r="F58">
        <v>445</v>
      </c>
      <c r="G58">
        <v>0</v>
      </c>
      <c r="J58">
        <v>289</v>
      </c>
      <c r="K58" t="s">
        <v>215</v>
      </c>
      <c r="L58">
        <v>147</v>
      </c>
      <c r="O58">
        <v>3</v>
      </c>
      <c r="P58">
        <v>4894</v>
      </c>
      <c r="R58" t="s">
        <v>57</v>
      </c>
      <c r="S58">
        <v>2019</v>
      </c>
      <c r="T58" s="40" t="str">
        <f>IF(R58="IRRIGATED",IF(F58&gt;=SCORES!I$6,1,0),"")</f>
        <v/>
      </c>
    </row>
    <row r="59" spans="1:20" hidden="1" x14ac:dyDescent="0.25">
      <c r="A59">
        <v>26.7700866105173</v>
      </c>
      <c r="B59">
        <v>1.2</v>
      </c>
      <c r="C59" t="s">
        <v>132</v>
      </c>
      <c r="D59">
        <v>34</v>
      </c>
      <c r="E59">
        <v>308</v>
      </c>
      <c r="F59">
        <v>473</v>
      </c>
      <c r="G59">
        <v>0</v>
      </c>
      <c r="J59">
        <v>202</v>
      </c>
      <c r="K59" t="s">
        <v>215</v>
      </c>
      <c r="L59">
        <v>157</v>
      </c>
      <c r="O59">
        <v>3</v>
      </c>
      <c r="P59">
        <v>2888</v>
      </c>
      <c r="R59" t="s">
        <v>57</v>
      </c>
      <c r="S59">
        <v>2020</v>
      </c>
      <c r="T59" s="40" t="str">
        <f>IF(R59="IRRIGATED",IF(F59&gt;=SCORES!I$6,1,0),"")</f>
        <v/>
      </c>
    </row>
    <row r="60" spans="1:20" hidden="1" x14ac:dyDescent="0.25">
      <c r="A60">
        <v>13.543641483181201</v>
      </c>
      <c r="B60">
        <v>0.5</v>
      </c>
      <c r="C60" t="s">
        <v>132</v>
      </c>
      <c r="D60">
        <v>34</v>
      </c>
      <c r="E60">
        <v>231</v>
      </c>
      <c r="F60">
        <v>445</v>
      </c>
      <c r="G60">
        <v>0</v>
      </c>
      <c r="J60">
        <v>161</v>
      </c>
      <c r="K60" t="s">
        <v>215</v>
      </c>
      <c r="L60">
        <v>83</v>
      </c>
      <c r="O60">
        <v>3</v>
      </c>
      <c r="P60">
        <v>2564</v>
      </c>
      <c r="R60" t="s">
        <v>57</v>
      </c>
      <c r="S60">
        <v>2021</v>
      </c>
      <c r="T60" s="40" t="str">
        <f>IF(R60="IRRIGATED",IF(F60&gt;=SCORES!I$6,1,0),"")</f>
        <v/>
      </c>
    </row>
    <row r="61" spans="1:20" hidden="1" x14ac:dyDescent="0.25">
      <c r="A61">
        <v>180.664216504423</v>
      </c>
      <c r="B61">
        <v>3.9</v>
      </c>
      <c r="C61" t="s">
        <v>132</v>
      </c>
      <c r="D61">
        <v>34</v>
      </c>
      <c r="E61">
        <v>321</v>
      </c>
      <c r="F61">
        <v>445</v>
      </c>
      <c r="G61">
        <v>0</v>
      </c>
      <c r="J61">
        <v>205</v>
      </c>
      <c r="K61" t="s">
        <v>215</v>
      </c>
      <c r="L61">
        <v>60</v>
      </c>
      <c r="O61">
        <v>3</v>
      </c>
      <c r="P61">
        <v>2758</v>
      </c>
      <c r="R61" t="s">
        <v>57</v>
      </c>
      <c r="S61">
        <v>2022</v>
      </c>
      <c r="T61" s="40" t="str">
        <f>IF(R61="IRRIGATED",IF(F61&gt;=SCORES!I$6,1,0),"")</f>
        <v/>
      </c>
    </row>
    <row r="62" spans="1:20" x14ac:dyDescent="0.25">
      <c r="A62">
        <v>59.843343867378898</v>
      </c>
      <c r="B62">
        <v>0.5</v>
      </c>
      <c r="C62" t="s">
        <v>44</v>
      </c>
      <c r="D62">
        <v>4</v>
      </c>
      <c r="E62">
        <v>633</v>
      </c>
      <c r="F62">
        <v>745</v>
      </c>
      <c r="G62">
        <v>88</v>
      </c>
      <c r="H62">
        <v>8.9735727844073895E-2</v>
      </c>
      <c r="I62">
        <v>0.75002358981967299</v>
      </c>
      <c r="J62">
        <v>523</v>
      </c>
      <c r="K62" t="s">
        <v>215</v>
      </c>
      <c r="L62">
        <v>1242</v>
      </c>
      <c r="O62">
        <v>0</v>
      </c>
      <c r="P62">
        <v>15645</v>
      </c>
      <c r="Q62">
        <v>18670</v>
      </c>
      <c r="R62" t="s">
        <v>41</v>
      </c>
      <c r="S62">
        <v>2018</v>
      </c>
      <c r="T62" s="40">
        <f>IF(R62="IRRIGATED",IF(F62&gt;=SCORES!I$6,1,0),"")</f>
        <v>1</v>
      </c>
    </row>
    <row r="63" spans="1:20" x14ac:dyDescent="0.25">
      <c r="A63">
        <v>75.894637203207495</v>
      </c>
      <c r="B63">
        <v>0.6</v>
      </c>
      <c r="C63" t="s">
        <v>44</v>
      </c>
      <c r="D63">
        <v>4</v>
      </c>
      <c r="E63">
        <v>382</v>
      </c>
      <c r="F63">
        <v>545</v>
      </c>
      <c r="G63">
        <v>69</v>
      </c>
      <c r="H63">
        <v>8.7340805097124496E-2</v>
      </c>
      <c r="I63">
        <v>0.664382019266052</v>
      </c>
      <c r="J63">
        <v>305</v>
      </c>
      <c r="K63" t="s">
        <v>215</v>
      </c>
      <c r="L63">
        <v>839</v>
      </c>
      <c r="O63">
        <v>0</v>
      </c>
      <c r="P63">
        <v>8449</v>
      </c>
      <c r="Q63">
        <v>14292</v>
      </c>
      <c r="R63" t="s">
        <v>41</v>
      </c>
      <c r="S63">
        <v>2019</v>
      </c>
      <c r="T63" s="40">
        <f>IF(R63="IRRIGATED",IF(F63&gt;=SCORES!I$6,1,0),"")</f>
        <v>1</v>
      </c>
    </row>
    <row r="64" spans="1:20" x14ac:dyDescent="0.25">
      <c r="A64">
        <v>25.360404259419099</v>
      </c>
      <c r="B64">
        <v>0.2</v>
      </c>
      <c r="C64" t="s">
        <v>44</v>
      </c>
      <c r="D64">
        <v>4</v>
      </c>
      <c r="E64">
        <v>447</v>
      </c>
      <c r="F64">
        <v>685</v>
      </c>
      <c r="G64">
        <v>80</v>
      </c>
      <c r="H64">
        <v>0.1208179445782</v>
      </c>
      <c r="I64">
        <v>0.79095224094397198</v>
      </c>
      <c r="J64">
        <v>364</v>
      </c>
      <c r="K64" t="s">
        <v>215</v>
      </c>
      <c r="L64">
        <v>1089</v>
      </c>
      <c r="O64">
        <v>0</v>
      </c>
      <c r="P64">
        <v>8161</v>
      </c>
      <c r="Q64">
        <v>14429</v>
      </c>
      <c r="R64" t="s">
        <v>41</v>
      </c>
      <c r="S64">
        <v>2020</v>
      </c>
      <c r="T64" s="40">
        <f>IF(R64="IRRIGATED",IF(F64&gt;=SCORES!I$6,1,0),"")</f>
        <v>1</v>
      </c>
    </row>
    <row r="65" spans="1:20" x14ac:dyDescent="0.25">
      <c r="A65">
        <v>67.455544868510998</v>
      </c>
      <c r="B65">
        <v>0.7</v>
      </c>
      <c r="C65" t="s">
        <v>44</v>
      </c>
      <c r="D65">
        <v>4</v>
      </c>
      <c r="E65">
        <v>481</v>
      </c>
      <c r="F65">
        <v>665</v>
      </c>
      <c r="G65">
        <v>64</v>
      </c>
      <c r="H65">
        <v>0.124434266924854</v>
      </c>
      <c r="I65">
        <v>0.871143462405506</v>
      </c>
      <c r="J65">
        <v>404</v>
      </c>
      <c r="K65" t="s">
        <v>215</v>
      </c>
      <c r="L65">
        <v>910</v>
      </c>
      <c r="O65">
        <v>0</v>
      </c>
      <c r="P65">
        <v>10517</v>
      </c>
      <c r="Q65">
        <v>14982</v>
      </c>
      <c r="R65" t="s">
        <v>41</v>
      </c>
      <c r="S65">
        <v>2021</v>
      </c>
      <c r="T65" s="40">
        <f>IF(R65="IRRIGATED",IF(F65&gt;=SCORES!I$6,1,0),"")</f>
        <v>1</v>
      </c>
    </row>
    <row r="66" spans="1:20" x14ac:dyDescent="0.25">
      <c r="A66">
        <v>10.8345299928403</v>
      </c>
      <c r="B66">
        <v>0.1</v>
      </c>
      <c r="C66" t="s">
        <v>44</v>
      </c>
      <c r="D66">
        <v>4</v>
      </c>
      <c r="E66">
        <v>418</v>
      </c>
      <c r="F66">
        <v>569</v>
      </c>
      <c r="G66">
        <v>0</v>
      </c>
      <c r="J66">
        <v>394</v>
      </c>
      <c r="K66" t="s">
        <v>215</v>
      </c>
      <c r="L66">
        <v>1184</v>
      </c>
      <c r="O66">
        <v>0</v>
      </c>
      <c r="P66">
        <v>9845</v>
      </c>
      <c r="R66" t="s">
        <v>57</v>
      </c>
      <c r="S66">
        <v>2018</v>
      </c>
      <c r="T66" s="40" t="str">
        <f>IF(R66="IRRIGATED",IF(F66&gt;=SCORES!I$6,1,0),"")</f>
        <v/>
      </c>
    </row>
    <row r="67" spans="1:20" x14ac:dyDescent="0.25">
      <c r="A67">
        <v>42.775744847127903</v>
      </c>
      <c r="B67">
        <v>0.3</v>
      </c>
      <c r="C67" t="s">
        <v>44</v>
      </c>
      <c r="D67">
        <v>4</v>
      </c>
      <c r="E67">
        <v>351</v>
      </c>
      <c r="F67">
        <v>473</v>
      </c>
      <c r="G67">
        <v>0</v>
      </c>
      <c r="J67">
        <v>324</v>
      </c>
      <c r="K67" t="s">
        <v>215</v>
      </c>
      <c r="L67">
        <v>1012</v>
      </c>
      <c r="O67">
        <v>0</v>
      </c>
      <c r="P67">
        <v>7588</v>
      </c>
      <c r="R67" t="s">
        <v>57</v>
      </c>
      <c r="S67">
        <v>2019</v>
      </c>
      <c r="T67" s="40" t="str">
        <f>IF(R67="IRRIGATED",IF(F67&gt;=SCORES!I$6,1,0),"")</f>
        <v/>
      </c>
    </row>
    <row r="68" spans="1:20" x14ac:dyDescent="0.25">
      <c r="A68">
        <v>34.237430110910402</v>
      </c>
      <c r="B68">
        <v>0.3</v>
      </c>
      <c r="C68" t="s">
        <v>44</v>
      </c>
      <c r="D68">
        <v>4</v>
      </c>
      <c r="E68">
        <v>309</v>
      </c>
      <c r="F68">
        <v>457</v>
      </c>
      <c r="G68">
        <v>0</v>
      </c>
      <c r="J68">
        <v>309</v>
      </c>
      <c r="K68" t="s">
        <v>215</v>
      </c>
      <c r="L68">
        <v>1062</v>
      </c>
      <c r="O68">
        <v>0</v>
      </c>
      <c r="P68">
        <v>5188</v>
      </c>
      <c r="R68" t="s">
        <v>57</v>
      </c>
      <c r="S68">
        <v>2020</v>
      </c>
      <c r="T68" s="40" t="str">
        <f>IF(R68="IRRIGATED",IF(F68&gt;=SCORES!I$6,1,0),"")</f>
        <v/>
      </c>
    </row>
    <row r="69" spans="1:20" x14ac:dyDescent="0.25">
      <c r="A69">
        <v>47.0761432160919</v>
      </c>
      <c r="B69">
        <v>0.5</v>
      </c>
      <c r="C69" t="s">
        <v>44</v>
      </c>
      <c r="D69">
        <v>4</v>
      </c>
      <c r="E69">
        <v>346</v>
      </c>
      <c r="F69">
        <v>473</v>
      </c>
      <c r="G69">
        <v>0</v>
      </c>
      <c r="J69">
        <v>345</v>
      </c>
      <c r="K69" t="s">
        <v>215</v>
      </c>
      <c r="L69">
        <v>928</v>
      </c>
      <c r="O69">
        <v>0</v>
      </c>
      <c r="P69">
        <v>7308</v>
      </c>
      <c r="R69" t="s">
        <v>57</v>
      </c>
      <c r="S69">
        <v>2021</v>
      </c>
      <c r="T69" s="40" t="str">
        <f>IF(R69="IRRIGATED",IF(F69&gt;=SCORES!I$6,1,0),"")</f>
        <v/>
      </c>
    </row>
    <row r="70" spans="1:20" x14ac:dyDescent="0.25">
      <c r="A70">
        <v>11.589766700915099</v>
      </c>
      <c r="B70">
        <v>0.1</v>
      </c>
      <c r="C70" t="s">
        <v>44</v>
      </c>
      <c r="D70">
        <v>4</v>
      </c>
      <c r="E70">
        <v>353</v>
      </c>
      <c r="F70">
        <v>526</v>
      </c>
      <c r="G70">
        <v>0</v>
      </c>
      <c r="J70">
        <v>354</v>
      </c>
      <c r="K70" t="s">
        <v>215</v>
      </c>
      <c r="L70">
        <v>1260</v>
      </c>
      <c r="O70">
        <v>0</v>
      </c>
      <c r="P70">
        <v>7424</v>
      </c>
      <c r="R70" t="s">
        <v>57</v>
      </c>
      <c r="S70">
        <v>2022</v>
      </c>
      <c r="T70" s="40" t="str">
        <f>IF(R70="IRRIGATED",IF(F70&gt;=SCORES!I$6,1,0),"")</f>
        <v/>
      </c>
    </row>
    <row r="71" spans="1:20" x14ac:dyDescent="0.25">
      <c r="A71">
        <v>2204.0051542435499</v>
      </c>
      <c r="B71">
        <v>18.7</v>
      </c>
      <c r="C71" t="s">
        <v>45</v>
      </c>
      <c r="D71">
        <v>5</v>
      </c>
      <c r="E71">
        <v>954</v>
      </c>
      <c r="F71">
        <v>1107</v>
      </c>
      <c r="G71">
        <v>248</v>
      </c>
      <c r="H71">
        <v>8.9735727844073895E-2</v>
      </c>
      <c r="I71">
        <v>0.75002358981967299</v>
      </c>
      <c r="J71">
        <v>700</v>
      </c>
      <c r="K71" t="s">
        <v>215</v>
      </c>
      <c r="L71">
        <v>1401</v>
      </c>
      <c r="O71">
        <v>0</v>
      </c>
      <c r="P71">
        <v>14847</v>
      </c>
      <c r="Q71">
        <v>17291</v>
      </c>
      <c r="R71" t="s">
        <v>41</v>
      </c>
      <c r="S71">
        <v>2018</v>
      </c>
      <c r="T71" s="40">
        <f>IF(R71="IRRIGATED",IF(F71&gt;=SCORES!I$6,1,0),"")</f>
        <v>1</v>
      </c>
    </row>
    <row r="72" spans="1:20" x14ac:dyDescent="0.25">
      <c r="A72">
        <v>4609.0600970074602</v>
      </c>
      <c r="B72">
        <v>33.9</v>
      </c>
      <c r="C72" t="s">
        <v>45</v>
      </c>
      <c r="D72">
        <v>5</v>
      </c>
      <c r="E72">
        <v>822</v>
      </c>
      <c r="F72">
        <v>971</v>
      </c>
      <c r="G72">
        <v>171</v>
      </c>
      <c r="H72">
        <v>8.7340805097124496E-2</v>
      </c>
      <c r="I72">
        <v>0.664382019266052</v>
      </c>
      <c r="J72">
        <v>642</v>
      </c>
      <c r="K72" t="s">
        <v>215</v>
      </c>
      <c r="L72">
        <v>1393</v>
      </c>
      <c r="O72">
        <v>0</v>
      </c>
      <c r="P72">
        <v>14289</v>
      </c>
      <c r="Q72">
        <v>17314</v>
      </c>
      <c r="R72" t="s">
        <v>41</v>
      </c>
      <c r="S72">
        <v>2019</v>
      </c>
      <c r="T72" s="40">
        <f>IF(R72="IRRIGATED",IF(F72&gt;=SCORES!I$6,1,0),"")</f>
        <v>1</v>
      </c>
    </row>
    <row r="73" spans="1:20" x14ac:dyDescent="0.25">
      <c r="A73">
        <v>2154.3016933961699</v>
      </c>
      <c r="B73">
        <v>20.399999999999999</v>
      </c>
      <c r="C73" t="s">
        <v>45</v>
      </c>
      <c r="D73">
        <v>5</v>
      </c>
      <c r="E73">
        <v>861</v>
      </c>
      <c r="F73">
        <v>1043</v>
      </c>
      <c r="G73">
        <v>228</v>
      </c>
      <c r="H73">
        <v>0.1208179445782</v>
      </c>
      <c r="I73">
        <v>0.79095224094397198</v>
      </c>
      <c r="J73">
        <v>632</v>
      </c>
      <c r="K73" t="s">
        <v>215</v>
      </c>
      <c r="L73">
        <v>1503</v>
      </c>
      <c r="O73">
        <v>0</v>
      </c>
      <c r="P73">
        <v>12185</v>
      </c>
      <c r="Q73">
        <v>15383</v>
      </c>
      <c r="R73" t="s">
        <v>41</v>
      </c>
      <c r="S73">
        <v>2020</v>
      </c>
      <c r="T73" s="40">
        <f>IF(R73="IRRIGATED",IF(F73&gt;=SCORES!I$6,1,0),"")</f>
        <v>1</v>
      </c>
    </row>
    <row r="74" spans="1:20" x14ac:dyDescent="0.25">
      <c r="A74">
        <v>2093.7227903912999</v>
      </c>
      <c r="B74">
        <v>23.2</v>
      </c>
      <c r="C74" t="s">
        <v>45</v>
      </c>
      <c r="D74">
        <v>5</v>
      </c>
      <c r="E74">
        <v>853</v>
      </c>
      <c r="F74">
        <v>995</v>
      </c>
      <c r="G74">
        <v>276</v>
      </c>
      <c r="H74">
        <v>0.124434266924854</v>
      </c>
      <c r="I74">
        <v>0.871143462405506</v>
      </c>
      <c r="J74">
        <v>569</v>
      </c>
      <c r="K74" t="s">
        <v>215</v>
      </c>
      <c r="L74">
        <v>1104</v>
      </c>
      <c r="O74">
        <v>0</v>
      </c>
      <c r="P74">
        <v>11173</v>
      </c>
      <c r="Q74">
        <v>13279</v>
      </c>
      <c r="R74" t="s">
        <v>41</v>
      </c>
      <c r="S74">
        <v>2021</v>
      </c>
      <c r="T74" s="40">
        <f>IF(R74="IRRIGATED",IF(F74&gt;=SCORES!I$6,1,0),"")</f>
        <v>1</v>
      </c>
    </row>
    <row r="75" spans="1:20" x14ac:dyDescent="0.25">
      <c r="A75">
        <v>4069.1683853299701</v>
      </c>
      <c r="B75">
        <v>30.5</v>
      </c>
      <c r="C75" t="s">
        <v>45</v>
      </c>
      <c r="D75">
        <v>5</v>
      </c>
      <c r="E75">
        <v>855</v>
      </c>
      <c r="F75">
        <v>1019</v>
      </c>
      <c r="G75">
        <v>213</v>
      </c>
      <c r="H75">
        <v>9.5291979419570502E-2</v>
      </c>
      <c r="I75">
        <v>0.83633081049462099</v>
      </c>
      <c r="J75">
        <v>633</v>
      </c>
      <c r="K75" t="s">
        <v>215</v>
      </c>
      <c r="L75">
        <v>1272</v>
      </c>
      <c r="O75">
        <v>0</v>
      </c>
      <c r="P75">
        <v>13787</v>
      </c>
      <c r="Q75">
        <v>16439</v>
      </c>
      <c r="R75" t="s">
        <v>41</v>
      </c>
      <c r="S75">
        <v>2022</v>
      </c>
      <c r="T75" s="40">
        <f>IF(R75="IRRIGATED",IF(F75&gt;=SCORES!I$6,1,0),"")</f>
        <v>1</v>
      </c>
    </row>
    <row r="76" spans="1:20" x14ac:dyDescent="0.25">
      <c r="A76">
        <v>44.942276484225403</v>
      </c>
      <c r="B76">
        <v>0.4</v>
      </c>
      <c r="C76" t="s">
        <v>45</v>
      </c>
      <c r="D76">
        <v>5</v>
      </c>
      <c r="E76">
        <v>733</v>
      </c>
      <c r="F76">
        <v>1003</v>
      </c>
      <c r="G76">
        <v>0</v>
      </c>
      <c r="J76">
        <v>632</v>
      </c>
      <c r="K76" t="s">
        <v>215</v>
      </c>
      <c r="L76">
        <v>1363</v>
      </c>
      <c r="O76">
        <v>0</v>
      </c>
      <c r="P76">
        <v>11556</v>
      </c>
      <c r="R76" t="s">
        <v>57</v>
      </c>
      <c r="S76">
        <v>2018</v>
      </c>
      <c r="T76" s="40" t="str">
        <f>IF(R76="IRRIGATED",IF(F76&gt;=SCORES!I$6,1,0),"")</f>
        <v/>
      </c>
    </row>
    <row r="77" spans="1:20" x14ac:dyDescent="0.25">
      <c r="A77">
        <v>279.81731720195</v>
      </c>
      <c r="B77">
        <v>2.1</v>
      </c>
      <c r="C77" t="s">
        <v>45</v>
      </c>
      <c r="D77">
        <v>5</v>
      </c>
      <c r="E77">
        <v>663</v>
      </c>
      <c r="F77">
        <v>811</v>
      </c>
      <c r="G77">
        <v>0</v>
      </c>
      <c r="J77">
        <v>595</v>
      </c>
      <c r="K77" t="s">
        <v>215</v>
      </c>
      <c r="L77">
        <v>1410</v>
      </c>
      <c r="O77">
        <v>0</v>
      </c>
      <c r="P77">
        <v>11485</v>
      </c>
      <c r="R77" t="s">
        <v>57</v>
      </c>
      <c r="S77">
        <v>2019</v>
      </c>
      <c r="T77" s="40" t="str">
        <f>IF(R77="IRRIGATED",IF(F77&gt;=SCORES!I$6,1,0),"")</f>
        <v/>
      </c>
    </row>
    <row r="78" spans="1:20" x14ac:dyDescent="0.25">
      <c r="A78">
        <v>102.84125619908301</v>
      </c>
      <c r="B78">
        <v>1</v>
      </c>
      <c r="C78" t="s">
        <v>45</v>
      </c>
      <c r="D78">
        <v>5</v>
      </c>
      <c r="E78">
        <v>664</v>
      </c>
      <c r="F78">
        <v>875</v>
      </c>
      <c r="G78">
        <v>0</v>
      </c>
      <c r="J78">
        <v>573</v>
      </c>
      <c r="K78" t="s">
        <v>215</v>
      </c>
      <c r="L78">
        <v>1545</v>
      </c>
      <c r="O78">
        <v>0</v>
      </c>
      <c r="P78">
        <v>10216</v>
      </c>
      <c r="R78" t="s">
        <v>57</v>
      </c>
      <c r="S78">
        <v>2020</v>
      </c>
      <c r="T78" s="40" t="str">
        <f>IF(R78="IRRIGATED",IF(F78&gt;=SCORES!I$6,1,0),"")</f>
        <v/>
      </c>
    </row>
    <row r="79" spans="1:20" x14ac:dyDescent="0.25">
      <c r="A79">
        <v>29.198353668308599</v>
      </c>
      <c r="B79">
        <v>0.3</v>
      </c>
      <c r="C79" t="s">
        <v>45</v>
      </c>
      <c r="D79">
        <v>5</v>
      </c>
      <c r="E79">
        <v>661</v>
      </c>
      <c r="F79">
        <v>914</v>
      </c>
      <c r="G79">
        <v>0</v>
      </c>
      <c r="J79">
        <v>540</v>
      </c>
      <c r="K79" t="s">
        <v>215</v>
      </c>
      <c r="L79">
        <v>1054</v>
      </c>
      <c r="O79">
        <v>0</v>
      </c>
      <c r="P79">
        <v>10214</v>
      </c>
      <c r="R79" t="s">
        <v>57</v>
      </c>
      <c r="S79">
        <v>2021</v>
      </c>
      <c r="T79" s="40" t="str">
        <f>IF(R79="IRRIGATED",IF(F79&gt;=SCORES!I$6,1,0),"")</f>
        <v/>
      </c>
    </row>
    <row r="80" spans="1:20" x14ac:dyDescent="0.25">
      <c r="A80">
        <v>333.09788278751398</v>
      </c>
      <c r="B80">
        <v>2.5</v>
      </c>
      <c r="C80" t="s">
        <v>45</v>
      </c>
      <c r="D80">
        <v>5</v>
      </c>
      <c r="E80">
        <v>780</v>
      </c>
      <c r="F80">
        <v>947</v>
      </c>
      <c r="G80">
        <v>0</v>
      </c>
      <c r="J80">
        <v>642</v>
      </c>
      <c r="K80" t="s">
        <v>215</v>
      </c>
      <c r="L80">
        <v>1395</v>
      </c>
      <c r="O80">
        <v>0</v>
      </c>
      <c r="P80">
        <v>13826</v>
      </c>
      <c r="R80" t="s">
        <v>57</v>
      </c>
      <c r="S80">
        <v>2022</v>
      </c>
      <c r="T80" s="40" t="str">
        <f>IF(R80="IRRIGATED",IF(F80&gt;=SCORES!I$6,1,0),"")</f>
        <v/>
      </c>
    </row>
    <row r="81" spans="1:20" x14ac:dyDescent="0.25">
      <c r="A81">
        <v>49.024805529692401</v>
      </c>
      <c r="B81">
        <v>0.4</v>
      </c>
      <c r="C81" t="s">
        <v>46</v>
      </c>
      <c r="D81">
        <v>6</v>
      </c>
      <c r="E81">
        <v>601</v>
      </c>
      <c r="F81">
        <v>785</v>
      </c>
      <c r="G81">
        <v>138</v>
      </c>
      <c r="H81">
        <v>8.7340805097124496E-2</v>
      </c>
      <c r="I81">
        <v>0.664382019266052</v>
      </c>
      <c r="J81">
        <v>458</v>
      </c>
      <c r="K81" t="s">
        <v>215</v>
      </c>
      <c r="L81">
        <v>225</v>
      </c>
      <c r="O81">
        <v>0</v>
      </c>
      <c r="P81">
        <v>10544</v>
      </c>
      <c r="Q81">
        <v>14107</v>
      </c>
      <c r="R81" t="s">
        <v>41</v>
      </c>
      <c r="S81">
        <v>2019</v>
      </c>
      <c r="T81" s="40">
        <f>IF(R81="IRRIGATED",IF(F81&gt;=SCORES!I$6,1,0),"")</f>
        <v>1</v>
      </c>
    </row>
    <row r="82" spans="1:20" x14ac:dyDescent="0.25">
      <c r="A82">
        <v>15.666135669265399</v>
      </c>
      <c r="B82">
        <v>0.1</v>
      </c>
      <c r="C82" t="s">
        <v>46</v>
      </c>
      <c r="D82">
        <v>6</v>
      </c>
      <c r="E82">
        <v>660</v>
      </c>
      <c r="F82">
        <v>785</v>
      </c>
      <c r="G82">
        <v>208</v>
      </c>
      <c r="H82">
        <v>0.1208179445782</v>
      </c>
      <c r="I82">
        <v>0.79095224094397198</v>
      </c>
      <c r="J82">
        <v>448</v>
      </c>
      <c r="K82" t="s">
        <v>215</v>
      </c>
      <c r="L82">
        <v>269</v>
      </c>
      <c r="O82">
        <v>0</v>
      </c>
      <c r="P82">
        <v>8783</v>
      </c>
      <c r="Q82">
        <v>11692</v>
      </c>
      <c r="R82" t="s">
        <v>41</v>
      </c>
      <c r="S82">
        <v>2020</v>
      </c>
      <c r="T82" s="40">
        <f>IF(R82="IRRIGATED",IF(F82&gt;=SCORES!I$6,1,0),"")</f>
        <v>1</v>
      </c>
    </row>
    <row r="83" spans="1:20" x14ac:dyDescent="0.25">
      <c r="A83">
        <v>14.3835998596191</v>
      </c>
      <c r="B83">
        <v>0.2</v>
      </c>
      <c r="C83" t="s">
        <v>46</v>
      </c>
      <c r="D83">
        <v>6</v>
      </c>
      <c r="E83">
        <v>741</v>
      </c>
      <c r="F83">
        <v>870</v>
      </c>
      <c r="G83">
        <v>290</v>
      </c>
      <c r="H83">
        <v>0.124434266924854</v>
      </c>
      <c r="I83">
        <v>0.871143462405506</v>
      </c>
      <c r="J83">
        <v>446</v>
      </c>
      <c r="K83" t="s">
        <v>215</v>
      </c>
      <c r="L83">
        <v>275</v>
      </c>
      <c r="O83">
        <v>0</v>
      </c>
      <c r="P83">
        <v>9383</v>
      </c>
      <c r="Q83">
        <v>12174</v>
      </c>
      <c r="R83" t="s">
        <v>41</v>
      </c>
      <c r="S83">
        <v>2021</v>
      </c>
      <c r="T83" s="40">
        <f>IF(R83="IRRIGATED",IF(F83&gt;=SCORES!I$6,1,0),"")</f>
        <v>1</v>
      </c>
    </row>
    <row r="84" spans="1:20" x14ac:dyDescent="0.25">
      <c r="A84">
        <v>6429.0185732130503</v>
      </c>
      <c r="B84">
        <v>54.5</v>
      </c>
      <c r="C84" t="s">
        <v>40</v>
      </c>
      <c r="D84">
        <v>1</v>
      </c>
      <c r="E84">
        <v>496</v>
      </c>
      <c r="F84">
        <v>573</v>
      </c>
      <c r="G84">
        <v>81</v>
      </c>
      <c r="H84">
        <v>8.9735727844073895E-2</v>
      </c>
      <c r="I84">
        <v>0.75002358981967299</v>
      </c>
      <c r="J84">
        <v>406</v>
      </c>
      <c r="K84" t="s">
        <v>215</v>
      </c>
      <c r="L84">
        <v>1313</v>
      </c>
      <c r="O84">
        <v>0</v>
      </c>
      <c r="P84">
        <v>11892</v>
      </c>
      <c r="Q84">
        <v>14094</v>
      </c>
      <c r="R84" t="s">
        <v>41</v>
      </c>
      <c r="S84">
        <v>2018</v>
      </c>
      <c r="T84" s="40">
        <f>IF(R84="IRRIGATED",IF(F84&gt;=SCORES!I$6,1,0),"")</f>
        <v>1</v>
      </c>
    </row>
    <row r="85" spans="1:20" x14ac:dyDescent="0.25">
      <c r="A85">
        <v>2517.5208993528599</v>
      </c>
      <c r="B85">
        <v>18.5</v>
      </c>
      <c r="C85" t="s">
        <v>40</v>
      </c>
      <c r="D85">
        <v>1</v>
      </c>
      <c r="E85">
        <v>436</v>
      </c>
      <c r="F85">
        <v>545</v>
      </c>
      <c r="G85">
        <v>49</v>
      </c>
      <c r="H85">
        <v>8.7340805097124496E-2</v>
      </c>
      <c r="I85">
        <v>0.664382019266052</v>
      </c>
      <c r="J85">
        <v>375</v>
      </c>
      <c r="K85" t="s">
        <v>215</v>
      </c>
      <c r="L85">
        <v>1236</v>
      </c>
      <c r="O85">
        <v>0</v>
      </c>
      <c r="P85">
        <v>9937</v>
      </c>
      <c r="Q85">
        <v>12838</v>
      </c>
      <c r="R85" t="s">
        <v>41</v>
      </c>
      <c r="S85">
        <v>2019</v>
      </c>
      <c r="T85" s="40">
        <f>IF(R85="IRRIGATED",IF(F85&gt;=SCORES!I$6,1,0),"")</f>
        <v>1</v>
      </c>
    </row>
    <row r="86" spans="1:20" x14ac:dyDescent="0.25">
      <c r="A86">
        <v>3835.7190811328801</v>
      </c>
      <c r="B86">
        <v>36.299999999999997</v>
      </c>
      <c r="C86" t="s">
        <v>40</v>
      </c>
      <c r="D86">
        <v>1</v>
      </c>
      <c r="E86">
        <v>476</v>
      </c>
      <c r="F86">
        <v>585</v>
      </c>
      <c r="G86">
        <v>66</v>
      </c>
      <c r="H86">
        <v>0.1208179445782</v>
      </c>
      <c r="I86">
        <v>0.79095224094397198</v>
      </c>
      <c r="J86">
        <v>413</v>
      </c>
      <c r="K86" t="s">
        <v>215</v>
      </c>
      <c r="L86">
        <v>1414</v>
      </c>
      <c r="O86">
        <v>0</v>
      </c>
      <c r="P86">
        <v>8876</v>
      </c>
      <c r="Q86">
        <v>11601</v>
      </c>
      <c r="R86" t="s">
        <v>41</v>
      </c>
      <c r="S86">
        <v>2020</v>
      </c>
      <c r="T86" s="40">
        <f>IF(R86="IRRIGATED",IF(F86&gt;=SCORES!I$6,1,0),"")</f>
        <v>1</v>
      </c>
    </row>
    <row r="87" spans="1:20" x14ac:dyDescent="0.25">
      <c r="A87">
        <v>4053.7929421479998</v>
      </c>
      <c r="B87">
        <v>44.9</v>
      </c>
      <c r="C87" t="s">
        <v>40</v>
      </c>
      <c r="D87">
        <v>1</v>
      </c>
      <c r="E87">
        <v>420</v>
      </c>
      <c r="F87">
        <v>509</v>
      </c>
      <c r="G87">
        <v>60</v>
      </c>
      <c r="H87">
        <v>0.124434266924854</v>
      </c>
      <c r="I87">
        <v>0.871143462405506</v>
      </c>
      <c r="J87">
        <v>356</v>
      </c>
      <c r="K87" t="s">
        <v>215</v>
      </c>
      <c r="L87">
        <v>943</v>
      </c>
      <c r="O87">
        <v>0</v>
      </c>
      <c r="P87">
        <v>8714</v>
      </c>
      <c r="Q87">
        <v>12325</v>
      </c>
      <c r="R87" t="s">
        <v>41</v>
      </c>
      <c r="S87">
        <v>2021</v>
      </c>
      <c r="T87" s="40">
        <f>IF(R87="IRRIGATED",IF(F87&gt;=SCORES!I$6,1,0),"")</f>
        <v>1</v>
      </c>
    </row>
    <row r="88" spans="1:20" x14ac:dyDescent="0.25">
      <c r="A88">
        <v>4785.7117038593497</v>
      </c>
      <c r="B88">
        <v>35.9</v>
      </c>
      <c r="C88" t="s">
        <v>40</v>
      </c>
      <c r="D88">
        <v>1</v>
      </c>
      <c r="E88">
        <v>448</v>
      </c>
      <c r="F88">
        <v>513</v>
      </c>
      <c r="G88">
        <v>44</v>
      </c>
      <c r="H88">
        <v>9.5291979419570502E-2</v>
      </c>
      <c r="I88">
        <v>0.83633081049462099</v>
      </c>
      <c r="J88">
        <v>393</v>
      </c>
      <c r="K88" t="s">
        <v>215</v>
      </c>
      <c r="L88">
        <v>1207</v>
      </c>
      <c r="O88">
        <v>0</v>
      </c>
      <c r="P88">
        <v>10384</v>
      </c>
      <c r="Q88">
        <v>12905</v>
      </c>
      <c r="R88" t="s">
        <v>41</v>
      </c>
      <c r="S88">
        <v>2022</v>
      </c>
      <c r="T88" s="40">
        <f>IF(R88="IRRIGATED",IF(F88&gt;=SCORES!I$6,1,0),"")</f>
        <v>1</v>
      </c>
    </row>
    <row r="89" spans="1:20" x14ac:dyDescent="0.25">
      <c r="A89">
        <v>2248.5740852476201</v>
      </c>
      <c r="B89">
        <v>19.100000000000001</v>
      </c>
      <c r="C89" t="s">
        <v>40</v>
      </c>
      <c r="D89">
        <v>1</v>
      </c>
      <c r="E89">
        <v>388</v>
      </c>
      <c r="F89">
        <v>469</v>
      </c>
      <c r="G89">
        <v>0</v>
      </c>
      <c r="J89">
        <v>377</v>
      </c>
      <c r="K89" t="s">
        <v>215</v>
      </c>
      <c r="L89">
        <v>1301</v>
      </c>
      <c r="O89">
        <v>0</v>
      </c>
      <c r="P89">
        <v>8815</v>
      </c>
      <c r="R89" t="s">
        <v>57</v>
      </c>
      <c r="S89">
        <v>2018</v>
      </c>
      <c r="T89" s="40" t="str">
        <f>IF(R89="IRRIGATED",IF(F89&gt;=SCORES!I$6,1,0),"")</f>
        <v/>
      </c>
    </row>
    <row r="90" spans="1:20" x14ac:dyDescent="0.25">
      <c r="A90">
        <v>2020.15637318266</v>
      </c>
      <c r="B90">
        <v>14.8</v>
      </c>
      <c r="C90" t="s">
        <v>40</v>
      </c>
      <c r="D90">
        <v>1</v>
      </c>
      <c r="E90">
        <v>369</v>
      </c>
      <c r="F90">
        <v>469</v>
      </c>
      <c r="G90">
        <v>0</v>
      </c>
      <c r="J90">
        <v>357</v>
      </c>
      <c r="K90" t="s">
        <v>215</v>
      </c>
      <c r="L90">
        <v>1214</v>
      </c>
      <c r="O90">
        <v>0</v>
      </c>
      <c r="P90">
        <v>8102</v>
      </c>
      <c r="R90" t="s">
        <v>57</v>
      </c>
      <c r="S90">
        <v>2019</v>
      </c>
      <c r="T90" s="40" t="str">
        <f>IF(R90="IRRIGATED",IF(F90&gt;=SCORES!I$6,1,0),"")</f>
        <v/>
      </c>
    </row>
    <row r="91" spans="1:20" x14ac:dyDescent="0.25">
      <c r="A91">
        <v>4062.36004724544</v>
      </c>
      <c r="B91">
        <v>38.4</v>
      </c>
      <c r="C91" t="s">
        <v>40</v>
      </c>
      <c r="D91">
        <v>1</v>
      </c>
      <c r="E91">
        <v>373</v>
      </c>
      <c r="F91">
        <v>485</v>
      </c>
      <c r="G91">
        <v>0</v>
      </c>
      <c r="J91">
        <v>383</v>
      </c>
      <c r="K91" t="s">
        <v>215</v>
      </c>
      <c r="L91">
        <v>1263</v>
      </c>
      <c r="O91">
        <v>0</v>
      </c>
      <c r="P91">
        <v>6656</v>
      </c>
      <c r="R91" t="s">
        <v>57</v>
      </c>
      <c r="S91">
        <v>2020</v>
      </c>
      <c r="T91" s="40" t="str">
        <f>IF(R91="IRRIGATED",IF(F91&gt;=SCORES!I$6,1,0),"")</f>
        <v/>
      </c>
    </row>
    <row r="92" spans="1:20" x14ac:dyDescent="0.25">
      <c r="A92">
        <v>1975.2109936388099</v>
      </c>
      <c r="B92">
        <v>21.9</v>
      </c>
      <c r="C92" t="s">
        <v>40</v>
      </c>
      <c r="D92">
        <v>1</v>
      </c>
      <c r="E92">
        <v>331</v>
      </c>
      <c r="F92">
        <v>421</v>
      </c>
      <c r="G92">
        <v>0</v>
      </c>
      <c r="J92">
        <v>333</v>
      </c>
      <c r="K92" t="s">
        <v>215</v>
      </c>
      <c r="L92">
        <v>881</v>
      </c>
      <c r="O92">
        <v>0</v>
      </c>
      <c r="P92">
        <v>6621</v>
      </c>
      <c r="R92" t="s">
        <v>57</v>
      </c>
      <c r="S92">
        <v>2021</v>
      </c>
      <c r="T92" s="40" t="str">
        <f>IF(R92="IRRIGATED",IF(F92&gt;=SCORES!I$6,1,0),"")</f>
        <v/>
      </c>
    </row>
    <row r="93" spans="1:20" x14ac:dyDescent="0.25">
      <c r="A93">
        <v>3414.2579322286701</v>
      </c>
      <c r="B93">
        <v>25.6</v>
      </c>
      <c r="C93" t="s">
        <v>40</v>
      </c>
      <c r="D93">
        <v>1</v>
      </c>
      <c r="E93">
        <v>390</v>
      </c>
      <c r="F93">
        <v>465</v>
      </c>
      <c r="G93">
        <v>0</v>
      </c>
      <c r="J93">
        <v>382</v>
      </c>
      <c r="K93" t="s">
        <v>215</v>
      </c>
      <c r="L93">
        <v>1262</v>
      </c>
      <c r="O93">
        <v>0</v>
      </c>
      <c r="P93">
        <v>8612</v>
      </c>
      <c r="R93" t="s">
        <v>57</v>
      </c>
      <c r="S93">
        <v>2022</v>
      </c>
      <c r="T93" s="40" t="str">
        <f>IF(R93="IRRIGATED",IF(F93&gt;=SCORES!I$6,1,0),"")</f>
        <v/>
      </c>
    </row>
    <row r="94" spans="1:20" hidden="1" x14ac:dyDescent="0.25">
      <c r="A94">
        <v>1486.84613455358</v>
      </c>
      <c r="B94">
        <v>56.5</v>
      </c>
      <c r="C94" t="s">
        <v>55</v>
      </c>
      <c r="D94">
        <v>14</v>
      </c>
      <c r="E94">
        <v>493</v>
      </c>
      <c r="F94">
        <v>573</v>
      </c>
      <c r="G94">
        <v>181</v>
      </c>
      <c r="H94">
        <v>9.8095934790621203E-2</v>
      </c>
      <c r="I94">
        <v>0.33488716120267398</v>
      </c>
      <c r="J94">
        <v>310</v>
      </c>
      <c r="K94" t="s">
        <v>215</v>
      </c>
      <c r="L94">
        <v>99</v>
      </c>
      <c r="O94">
        <v>3</v>
      </c>
      <c r="P94">
        <v>3385</v>
      </c>
      <c r="Q94">
        <v>4074</v>
      </c>
      <c r="R94" t="s">
        <v>41</v>
      </c>
      <c r="S94">
        <v>2018</v>
      </c>
      <c r="T94" s="40">
        <f>IF(R94="IRRIGATED",IF(F94&gt;=SCORES!I$6,1,0),"")</f>
        <v>1</v>
      </c>
    </row>
    <row r="95" spans="1:20" hidden="1" x14ac:dyDescent="0.25">
      <c r="A95">
        <v>141.06024110038501</v>
      </c>
      <c r="B95">
        <v>1.2</v>
      </c>
      <c r="C95" t="s">
        <v>55</v>
      </c>
      <c r="D95">
        <v>14</v>
      </c>
      <c r="E95">
        <v>342</v>
      </c>
      <c r="F95">
        <v>378</v>
      </c>
      <c r="G95">
        <v>125</v>
      </c>
      <c r="H95">
        <v>0.126172476181793</v>
      </c>
      <c r="I95">
        <v>0.52725009227184905</v>
      </c>
      <c r="J95">
        <v>216</v>
      </c>
      <c r="K95" t="s">
        <v>215</v>
      </c>
      <c r="L95">
        <v>1345</v>
      </c>
      <c r="O95">
        <v>1</v>
      </c>
      <c r="P95">
        <v>6652</v>
      </c>
      <c r="Q95">
        <v>7128</v>
      </c>
      <c r="R95" t="s">
        <v>41</v>
      </c>
      <c r="S95">
        <v>2018</v>
      </c>
      <c r="T95" s="40">
        <f>IF(R95="IRRIGATED",IF(F95&gt;=SCORES!I$6,1,0),"")</f>
        <v>1</v>
      </c>
    </row>
    <row r="96" spans="1:20" hidden="1" x14ac:dyDescent="0.25">
      <c r="A96">
        <v>1924.6786916134799</v>
      </c>
      <c r="B96">
        <v>23.4</v>
      </c>
      <c r="C96" t="s">
        <v>55</v>
      </c>
      <c r="D96">
        <v>14</v>
      </c>
      <c r="E96">
        <v>477</v>
      </c>
      <c r="F96">
        <v>537</v>
      </c>
      <c r="G96">
        <v>168</v>
      </c>
      <c r="H96">
        <v>0.104348037828291</v>
      </c>
      <c r="I96">
        <v>0.41887680066525901</v>
      </c>
      <c r="J96">
        <v>307</v>
      </c>
      <c r="K96" t="s">
        <v>215</v>
      </c>
      <c r="L96">
        <v>150</v>
      </c>
      <c r="O96">
        <v>3</v>
      </c>
      <c r="P96">
        <v>5503</v>
      </c>
      <c r="Q96">
        <v>6110</v>
      </c>
      <c r="R96" t="s">
        <v>41</v>
      </c>
      <c r="S96">
        <v>2019</v>
      </c>
      <c r="T96" s="40">
        <f>IF(R96="IRRIGATED",IF(F96&gt;=SCORES!I$6,1,0),"")</f>
        <v>1</v>
      </c>
    </row>
    <row r="97" spans="1:20" hidden="1" x14ac:dyDescent="0.25">
      <c r="A97">
        <v>41.066688733625199</v>
      </c>
      <c r="B97">
        <v>0.3</v>
      </c>
      <c r="C97" t="s">
        <v>55</v>
      </c>
      <c r="D97">
        <v>14</v>
      </c>
      <c r="E97">
        <v>318</v>
      </c>
      <c r="F97">
        <v>386</v>
      </c>
      <c r="G97">
        <v>134</v>
      </c>
      <c r="H97">
        <v>0.193306122131854</v>
      </c>
      <c r="I97">
        <v>0.89136114588304005</v>
      </c>
      <c r="J97">
        <v>182</v>
      </c>
      <c r="K97" t="s">
        <v>215</v>
      </c>
      <c r="L97">
        <v>1209</v>
      </c>
      <c r="O97">
        <v>1</v>
      </c>
      <c r="P97">
        <v>4626</v>
      </c>
      <c r="Q97">
        <v>3297</v>
      </c>
      <c r="R97" t="s">
        <v>41</v>
      </c>
      <c r="S97">
        <v>2019</v>
      </c>
      <c r="T97" s="40">
        <f>IF(R97="IRRIGATED",IF(F97&gt;=SCORES!I$6,1,0),"")</f>
        <v>1</v>
      </c>
    </row>
    <row r="98" spans="1:20" hidden="1" x14ac:dyDescent="0.25">
      <c r="A98">
        <v>1619.26392212305</v>
      </c>
      <c r="B98">
        <v>70.099999999999994</v>
      </c>
      <c r="C98" t="s">
        <v>55</v>
      </c>
      <c r="D98">
        <v>14</v>
      </c>
      <c r="E98">
        <v>433</v>
      </c>
      <c r="F98">
        <v>529</v>
      </c>
      <c r="G98">
        <v>196</v>
      </c>
      <c r="H98">
        <v>0.12550526164343501</v>
      </c>
      <c r="I98">
        <v>0.33515564576896401</v>
      </c>
      <c r="J98">
        <v>236</v>
      </c>
      <c r="K98" t="s">
        <v>215</v>
      </c>
      <c r="L98">
        <v>175</v>
      </c>
      <c r="O98">
        <v>3</v>
      </c>
      <c r="P98">
        <v>3714</v>
      </c>
      <c r="Q98">
        <v>4632</v>
      </c>
      <c r="R98" t="s">
        <v>41</v>
      </c>
      <c r="S98">
        <v>2020</v>
      </c>
      <c r="T98" s="40">
        <f>IF(R98="IRRIGATED",IF(F98&gt;=SCORES!I$6,1,0),"")</f>
        <v>1</v>
      </c>
    </row>
    <row r="99" spans="1:20" hidden="1" x14ac:dyDescent="0.25">
      <c r="A99">
        <v>263.72243268315901</v>
      </c>
      <c r="B99">
        <v>2.5</v>
      </c>
      <c r="C99" t="s">
        <v>55</v>
      </c>
      <c r="D99">
        <v>14</v>
      </c>
      <c r="E99">
        <v>364</v>
      </c>
      <c r="F99">
        <v>390</v>
      </c>
      <c r="G99">
        <v>125</v>
      </c>
      <c r="H99">
        <v>0.142510961535599</v>
      </c>
      <c r="I99">
        <v>0.485414820537721</v>
      </c>
      <c r="J99">
        <v>236</v>
      </c>
      <c r="K99" t="s">
        <v>215</v>
      </c>
      <c r="L99">
        <v>1442</v>
      </c>
      <c r="O99">
        <v>1</v>
      </c>
      <c r="P99">
        <v>5696</v>
      </c>
      <c r="Q99">
        <v>6326</v>
      </c>
      <c r="R99" t="s">
        <v>41</v>
      </c>
      <c r="S99">
        <v>2020</v>
      </c>
      <c r="T99" s="40">
        <f>IF(R99="IRRIGATED",IF(F99&gt;=SCORES!I$6,1,0),"")</f>
        <v>1</v>
      </c>
    </row>
    <row r="100" spans="1:20" hidden="1" x14ac:dyDescent="0.25">
      <c r="A100">
        <v>1482.5523249263899</v>
      </c>
      <c r="B100">
        <v>58.7</v>
      </c>
      <c r="C100" t="s">
        <v>55</v>
      </c>
      <c r="D100">
        <v>14</v>
      </c>
      <c r="E100">
        <v>474</v>
      </c>
      <c r="F100">
        <v>569</v>
      </c>
      <c r="G100">
        <v>244</v>
      </c>
      <c r="H100">
        <v>0.130117303959601</v>
      </c>
      <c r="I100">
        <v>0.31382273155333901</v>
      </c>
      <c r="J100">
        <v>229</v>
      </c>
      <c r="K100" t="s">
        <v>215</v>
      </c>
      <c r="L100">
        <v>170</v>
      </c>
      <c r="O100">
        <v>3</v>
      </c>
      <c r="P100">
        <v>2889</v>
      </c>
      <c r="Q100">
        <v>3865</v>
      </c>
      <c r="R100" t="s">
        <v>41</v>
      </c>
      <c r="S100">
        <v>2021</v>
      </c>
      <c r="T100" s="40">
        <f>IF(R100="IRRIGATED",IF(F100&gt;=SCORES!I$6,1,0),"")</f>
        <v>1</v>
      </c>
    </row>
    <row r="101" spans="1:20" hidden="1" x14ac:dyDescent="0.25">
      <c r="A101">
        <v>38.392339450474097</v>
      </c>
      <c r="B101">
        <v>0.4</v>
      </c>
      <c r="C101" t="s">
        <v>55</v>
      </c>
      <c r="D101">
        <v>14</v>
      </c>
      <c r="E101">
        <v>293</v>
      </c>
      <c r="F101">
        <v>338</v>
      </c>
      <c r="G101">
        <v>122</v>
      </c>
      <c r="H101">
        <v>0.21250162366161299</v>
      </c>
      <c r="I101">
        <v>0.65831415253023995</v>
      </c>
      <c r="J101">
        <v>169</v>
      </c>
      <c r="K101" t="s">
        <v>215</v>
      </c>
      <c r="L101">
        <v>1040</v>
      </c>
      <c r="O101">
        <v>1</v>
      </c>
      <c r="P101">
        <v>4500</v>
      </c>
      <c r="Q101">
        <v>4695</v>
      </c>
      <c r="R101" t="s">
        <v>41</v>
      </c>
      <c r="S101">
        <v>2021</v>
      </c>
      <c r="T101" s="40">
        <f>IF(R101="IRRIGATED",IF(F101&gt;=SCORES!I$6,1,0),"")</f>
        <v>1</v>
      </c>
    </row>
    <row r="102" spans="1:20" hidden="1" x14ac:dyDescent="0.25">
      <c r="A102">
        <v>2492.1692321389401</v>
      </c>
      <c r="B102">
        <v>54.4</v>
      </c>
      <c r="C102" t="s">
        <v>55</v>
      </c>
      <c r="D102">
        <v>14</v>
      </c>
      <c r="E102">
        <v>450</v>
      </c>
      <c r="F102">
        <v>557</v>
      </c>
      <c r="G102">
        <v>203</v>
      </c>
      <c r="H102">
        <v>0.14274506206635401</v>
      </c>
      <c r="I102">
        <v>0.393241614609597</v>
      </c>
      <c r="J102">
        <v>246</v>
      </c>
      <c r="K102" t="s">
        <v>215</v>
      </c>
      <c r="L102">
        <v>74</v>
      </c>
      <c r="O102">
        <v>3</v>
      </c>
      <c r="P102">
        <v>3842</v>
      </c>
      <c r="Q102">
        <v>4903</v>
      </c>
      <c r="R102" t="s">
        <v>41</v>
      </c>
      <c r="S102">
        <v>2022</v>
      </c>
      <c r="T102" s="40">
        <f>IF(R102="IRRIGATED",IF(F102&gt;=SCORES!I$6,1,0),"")</f>
        <v>1</v>
      </c>
    </row>
    <row r="103" spans="1:20" hidden="1" x14ac:dyDescent="0.25">
      <c r="A103">
        <v>20.909661400376802</v>
      </c>
      <c r="B103">
        <v>0.2</v>
      </c>
      <c r="C103" t="s">
        <v>55</v>
      </c>
      <c r="D103">
        <v>14</v>
      </c>
      <c r="E103">
        <v>337</v>
      </c>
      <c r="F103">
        <v>366</v>
      </c>
      <c r="G103">
        <v>123</v>
      </c>
      <c r="H103">
        <v>0.131231891001617</v>
      </c>
      <c r="I103">
        <v>0.64136106540455595</v>
      </c>
      <c r="J103">
        <v>213</v>
      </c>
      <c r="K103" t="s">
        <v>215</v>
      </c>
      <c r="L103">
        <v>1243</v>
      </c>
      <c r="O103">
        <v>1</v>
      </c>
      <c r="P103">
        <v>4461</v>
      </c>
      <c r="Q103">
        <v>4598</v>
      </c>
      <c r="R103" t="s">
        <v>41</v>
      </c>
      <c r="S103">
        <v>2022</v>
      </c>
      <c r="T103" s="40">
        <f>IF(R103="IRRIGATED",IF(F103&gt;=SCORES!I$6,1,0),"")</f>
        <v>1</v>
      </c>
    </row>
    <row r="104" spans="1:20" hidden="1" x14ac:dyDescent="0.25">
      <c r="A104">
        <v>13.1352250055171</v>
      </c>
      <c r="B104">
        <v>0.1</v>
      </c>
      <c r="C104" t="s">
        <v>55</v>
      </c>
      <c r="D104">
        <v>14</v>
      </c>
      <c r="E104">
        <v>340</v>
      </c>
      <c r="F104">
        <v>388</v>
      </c>
      <c r="G104">
        <v>0</v>
      </c>
      <c r="J104">
        <v>210</v>
      </c>
      <c r="K104" t="s">
        <v>215</v>
      </c>
      <c r="L104">
        <v>1296</v>
      </c>
      <c r="O104">
        <v>1</v>
      </c>
      <c r="P104">
        <v>6662</v>
      </c>
      <c r="R104" t="s">
        <v>57</v>
      </c>
      <c r="S104">
        <v>2018</v>
      </c>
      <c r="T104" s="40" t="str">
        <f>IF(R104="IRRIGATED",IF(F104&gt;=SCORES!I$6,1,0),"")</f>
        <v/>
      </c>
    </row>
    <row r="105" spans="1:20" hidden="1" x14ac:dyDescent="0.25">
      <c r="A105">
        <v>23.214123270491001</v>
      </c>
      <c r="B105">
        <v>0.9</v>
      </c>
      <c r="C105" t="s">
        <v>55</v>
      </c>
      <c r="D105">
        <v>14</v>
      </c>
      <c r="E105">
        <v>290</v>
      </c>
      <c r="F105">
        <v>577</v>
      </c>
      <c r="G105">
        <v>0</v>
      </c>
      <c r="J105">
        <v>182</v>
      </c>
      <c r="K105" t="s">
        <v>215</v>
      </c>
      <c r="L105">
        <v>59</v>
      </c>
      <c r="O105">
        <v>3</v>
      </c>
      <c r="P105">
        <v>2281</v>
      </c>
      <c r="R105" t="s">
        <v>57</v>
      </c>
      <c r="S105">
        <v>2018</v>
      </c>
      <c r="T105" s="40" t="str">
        <f>IF(R105="IRRIGATED",IF(F105&gt;=SCORES!I$6,1,0),"")</f>
        <v/>
      </c>
    </row>
    <row r="106" spans="1:20" hidden="1" x14ac:dyDescent="0.25">
      <c r="A106">
        <v>17.898486158761401</v>
      </c>
      <c r="B106">
        <v>0.1</v>
      </c>
      <c r="C106" t="s">
        <v>55</v>
      </c>
      <c r="D106">
        <v>14</v>
      </c>
      <c r="E106">
        <v>329</v>
      </c>
      <c r="F106">
        <v>408</v>
      </c>
      <c r="G106">
        <v>0</v>
      </c>
      <c r="J106">
        <v>180</v>
      </c>
      <c r="K106" t="s">
        <v>215</v>
      </c>
      <c r="L106">
        <v>1201</v>
      </c>
      <c r="O106">
        <v>1</v>
      </c>
      <c r="P106">
        <v>4883</v>
      </c>
      <c r="R106" t="s">
        <v>57</v>
      </c>
      <c r="S106">
        <v>2019</v>
      </c>
      <c r="T106" s="40" t="str">
        <f>IF(R106="IRRIGATED",IF(F106&gt;=SCORES!I$6,1,0),"")</f>
        <v/>
      </c>
    </row>
    <row r="107" spans="1:20" hidden="1" x14ac:dyDescent="0.25">
      <c r="A107">
        <v>60.9508809673234</v>
      </c>
      <c r="B107">
        <v>0.7</v>
      </c>
      <c r="C107" t="s">
        <v>55</v>
      </c>
      <c r="D107">
        <v>14</v>
      </c>
      <c r="E107">
        <v>360</v>
      </c>
      <c r="F107">
        <v>525</v>
      </c>
      <c r="G107">
        <v>0</v>
      </c>
      <c r="J107">
        <v>238</v>
      </c>
      <c r="K107" t="s">
        <v>215</v>
      </c>
      <c r="L107">
        <v>117</v>
      </c>
      <c r="O107">
        <v>3</v>
      </c>
      <c r="P107">
        <v>5007</v>
      </c>
      <c r="R107" t="s">
        <v>57</v>
      </c>
      <c r="S107">
        <v>2019</v>
      </c>
      <c r="T107" s="40" t="str">
        <f>IF(R107="IRRIGATED",IF(F107&gt;=SCORES!I$6,1,0),"")</f>
        <v/>
      </c>
    </row>
    <row r="108" spans="1:20" hidden="1" x14ac:dyDescent="0.25">
      <c r="A108">
        <v>21.1342349227426</v>
      </c>
      <c r="B108">
        <v>0.2</v>
      </c>
      <c r="C108" t="s">
        <v>55</v>
      </c>
      <c r="D108">
        <v>14</v>
      </c>
      <c r="E108">
        <v>348</v>
      </c>
      <c r="F108">
        <v>396</v>
      </c>
      <c r="G108">
        <v>0</v>
      </c>
      <c r="J108">
        <v>226</v>
      </c>
      <c r="K108" t="s">
        <v>215</v>
      </c>
      <c r="L108">
        <v>1362</v>
      </c>
      <c r="O108">
        <v>1</v>
      </c>
      <c r="P108">
        <v>5401</v>
      </c>
      <c r="R108" t="s">
        <v>57</v>
      </c>
      <c r="S108">
        <v>2020</v>
      </c>
      <c r="T108" s="40" t="str">
        <f>IF(R108="IRRIGATED",IF(F108&gt;=SCORES!I$6,1,0),"")</f>
        <v/>
      </c>
    </row>
    <row r="109" spans="1:20" hidden="1" x14ac:dyDescent="0.25">
      <c r="A109">
        <v>22.176328235081598</v>
      </c>
      <c r="B109">
        <v>1</v>
      </c>
      <c r="C109" t="s">
        <v>55</v>
      </c>
      <c r="D109">
        <v>14</v>
      </c>
      <c r="E109">
        <v>225</v>
      </c>
      <c r="F109">
        <v>513</v>
      </c>
      <c r="G109">
        <v>0</v>
      </c>
      <c r="J109">
        <v>121</v>
      </c>
      <c r="K109" t="s">
        <v>215</v>
      </c>
      <c r="L109">
        <v>93</v>
      </c>
      <c r="O109">
        <v>3</v>
      </c>
      <c r="P109">
        <v>2021</v>
      </c>
      <c r="R109" t="s">
        <v>57</v>
      </c>
      <c r="S109">
        <v>2020</v>
      </c>
      <c r="T109" s="40" t="str">
        <f>IF(R109="IRRIGATED",IF(F109&gt;=SCORES!I$6,1,0),"")</f>
        <v/>
      </c>
    </row>
    <row r="110" spans="1:20" hidden="1" x14ac:dyDescent="0.25">
      <c r="A110">
        <v>33.2883609740163</v>
      </c>
      <c r="B110">
        <v>1.3</v>
      </c>
      <c r="C110" t="s">
        <v>55</v>
      </c>
      <c r="D110">
        <v>14</v>
      </c>
      <c r="E110">
        <v>238</v>
      </c>
      <c r="F110">
        <v>553</v>
      </c>
      <c r="G110">
        <v>0</v>
      </c>
      <c r="J110">
        <v>120</v>
      </c>
      <c r="K110" t="s">
        <v>215</v>
      </c>
      <c r="L110">
        <v>89</v>
      </c>
      <c r="O110">
        <v>3</v>
      </c>
      <c r="P110">
        <v>1729</v>
      </c>
      <c r="R110" t="s">
        <v>57</v>
      </c>
      <c r="S110">
        <v>2021</v>
      </c>
      <c r="T110" s="40" t="str">
        <f>IF(R110="IRRIGATED",IF(F110&gt;=SCORES!I$6,1,0),"")</f>
        <v/>
      </c>
    </row>
    <row r="111" spans="1:20" hidden="1" x14ac:dyDescent="0.25">
      <c r="A111">
        <v>69.661691858948302</v>
      </c>
      <c r="B111">
        <v>1.5</v>
      </c>
      <c r="C111" t="s">
        <v>55</v>
      </c>
      <c r="D111">
        <v>14</v>
      </c>
      <c r="E111">
        <v>230</v>
      </c>
      <c r="F111">
        <v>541</v>
      </c>
      <c r="G111">
        <v>0</v>
      </c>
      <c r="J111">
        <v>126</v>
      </c>
      <c r="K111" t="s">
        <v>215</v>
      </c>
      <c r="L111">
        <v>38</v>
      </c>
      <c r="O111">
        <v>3</v>
      </c>
      <c r="P111">
        <v>2121</v>
      </c>
      <c r="R111" t="s">
        <v>57</v>
      </c>
      <c r="S111">
        <v>2022</v>
      </c>
      <c r="T111" s="40" t="str">
        <f>IF(R111="IRRIGATED",IF(F111&gt;=SCORES!I$6,1,0),"")</f>
        <v/>
      </c>
    </row>
    <row r="112" spans="1:20" hidden="1" x14ac:dyDescent="0.25">
      <c r="A112">
        <v>180.69503764097601</v>
      </c>
      <c r="B112">
        <v>6.9</v>
      </c>
      <c r="C112" t="s">
        <v>51</v>
      </c>
      <c r="D112">
        <v>15</v>
      </c>
      <c r="E112">
        <v>336</v>
      </c>
      <c r="F112">
        <v>412</v>
      </c>
      <c r="G112">
        <v>76</v>
      </c>
      <c r="H112">
        <v>9.8095934790621203E-2</v>
      </c>
      <c r="I112">
        <v>0.33488716120267398</v>
      </c>
      <c r="J112">
        <v>258</v>
      </c>
      <c r="K112" t="s">
        <v>215</v>
      </c>
      <c r="L112">
        <v>68</v>
      </c>
      <c r="O112">
        <v>3</v>
      </c>
      <c r="P112">
        <v>2729</v>
      </c>
      <c r="Q112">
        <v>3429</v>
      </c>
      <c r="R112" t="s">
        <v>41</v>
      </c>
      <c r="S112">
        <v>2018</v>
      </c>
      <c r="T112" s="40">
        <f>IF(R112="IRRIGATED",IF(F112&gt;=SCORES!I$6,1,0),"")</f>
        <v>1</v>
      </c>
    </row>
    <row r="113" spans="1:20" hidden="1" x14ac:dyDescent="0.25">
      <c r="A113">
        <v>501.66725891546099</v>
      </c>
      <c r="B113">
        <v>4.3</v>
      </c>
      <c r="C113" t="s">
        <v>51</v>
      </c>
      <c r="D113">
        <v>15</v>
      </c>
      <c r="E113">
        <v>288</v>
      </c>
      <c r="F113">
        <v>314</v>
      </c>
      <c r="G113">
        <v>71</v>
      </c>
      <c r="H113">
        <v>0.126172476181793</v>
      </c>
      <c r="I113">
        <v>0.52725009227184905</v>
      </c>
      <c r="J113">
        <v>216</v>
      </c>
      <c r="K113" t="s">
        <v>215</v>
      </c>
      <c r="L113">
        <v>1300</v>
      </c>
      <c r="O113">
        <v>1</v>
      </c>
      <c r="P113">
        <v>6208</v>
      </c>
      <c r="Q113">
        <v>6619</v>
      </c>
      <c r="R113" t="s">
        <v>41</v>
      </c>
      <c r="S113">
        <v>2018</v>
      </c>
      <c r="T113" s="40">
        <f>IF(R113="IRRIGATED",IF(F113&gt;=SCORES!I$6,1,0),"")</f>
        <v>1</v>
      </c>
    </row>
    <row r="114" spans="1:20" hidden="1" x14ac:dyDescent="0.25">
      <c r="A114">
        <v>54.598896247247403</v>
      </c>
      <c r="B114">
        <v>0.5</v>
      </c>
      <c r="C114" t="s">
        <v>51</v>
      </c>
      <c r="D114">
        <v>15</v>
      </c>
      <c r="E114">
        <v>229</v>
      </c>
      <c r="F114">
        <v>288</v>
      </c>
      <c r="G114">
        <v>28</v>
      </c>
      <c r="H114">
        <v>4.0802421096639903E-2</v>
      </c>
      <c r="I114">
        <v>0.38562955986719799</v>
      </c>
      <c r="J114">
        <v>197</v>
      </c>
      <c r="K114" t="s">
        <v>215</v>
      </c>
      <c r="L114">
        <v>52</v>
      </c>
      <c r="O114">
        <v>2</v>
      </c>
      <c r="P114">
        <v>6293</v>
      </c>
      <c r="Q114">
        <v>9319</v>
      </c>
      <c r="R114" t="s">
        <v>41</v>
      </c>
      <c r="S114">
        <v>2018</v>
      </c>
      <c r="T114" s="40">
        <f>IF(R114="IRRIGATED",IF(F114&gt;=SCORES!I$6,1,0),"")</f>
        <v>0</v>
      </c>
    </row>
    <row r="115" spans="1:20" hidden="1" x14ac:dyDescent="0.25">
      <c r="A115">
        <v>557.28849852511803</v>
      </c>
      <c r="B115">
        <v>6.8</v>
      </c>
      <c r="C115" t="s">
        <v>51</v>
      </c>
      <c r="D115">
        <v>15</v>
      </c>
      <c r="E115">
        <v>331</v>
      </c>
      <c r="F115">
        <v>414</v>
      </c>
      <c r="G115">
        <v>72</v>
      </c>
      <c r="H115">
        <v>0.104348037828291</v>
      </c>
      <c r="I115">
        <v>0.41887680066525901</v>
      </c>
      <c r="J115">
        <v>256</v>
      </c>
      <c r="K115" t="s">
        <v>215</v>
      </c>
      <c r="L115">
        <v>118</v>
      </c>
      <c r="O115">
        <v>3</v>
      </c>
      <c r="P115">
        <v>4107</v>
      </c>
      <c r="Q115">
        <v>5462</v>
      </c>
      <c r="R115" t="s">
        <v>41</v>
      </c>
      <c r="S115">
        <v>2019</v>
      </c>
      <c r="T115" s="40">
        <f>IF(R115="IRRIGATED",IF(F115&gt;=SCORES!I$6,1,0),"")</f>
        <v>1</v>
      </c>
    </row>
    <row r="116" spans="1:20" hidden="1" x14ac:dyDescent="0.25">
      <c r="A116">
        <v>144.219474639716</v>
      </c>
      <c r="B116">
        <v>1.1000000000000001</v>
      </c>
      <c r="C116" t="s">
        <v>51</v>
      </c>
      <c r="D116">
        <v>15</v>
      </c>
      <c r="E116">
        <v>221</v>
      </c>
      <c r="F116">
        <v>324</v>
      </c>
      <c r="G116">
        <v>27</v>
      </c>
      <c r="H116">
        <v>4.2562362247116903E-2</v>
      </c>
      <c r="I116">
        <v>0.54302631415500702</v>
      </c>
      <c r="J116">
        <v>190</v>
      </c>
      <c r="K116" t="s">
        <v>215</v>
      </c>
      <c r="L116">
        <v>92</v>
      </c>
      <c r="O116">
        <v>2</v>
      </c>
      <c r="P116">
        <v>6490</v>
      </c>
      <c r="Q116">
        <v>9716</v>
      </c>
      <c r="R116" t="s">
        <v>41</v>
      </c>
      <c r="S116">
        <v>2019</v>
      </c>
      <c r="T116" s="40">
        <f>IF(R116="IRRIGATED",IF(F116&gt;=SCORES!I$6,1,0),"")</f>
        <v>1</v>
      </c>
    </row>
    <row r="117" spans="1:20" hidden="1" x14ac:dyDescent="0.25">
      <c r="A117">
        <v>149.36319359326799</v>
      </c>
      <c r="B117">
        <v>1.1000000000000001</v>
      </c>
      <c r="C117" t="s">
        <v>51</v>
      </c>
      <c r="D117">
        <v>15</v>
      </c>
      <c r="E117">
        <v>229</v>
      </c>
      <c r="F117">
        <v>284</v>
      </c>
      <c r="G117">
        <v>44</v>
      </c>
      <c r="H117">
        <v>0.193306122131854</v>
      </c>
      <c r="I117">
        <v>0.89136114588304005</v>
      </c>
      <c r="J117">
        <v>182</v>
      </c>
      <c r="K117" t="s">
        <v>215</v>
      </c>
      <c r="L117">
        <v>1152</v>
      </c>
      <c r="O117">
        <v>1</v>
      </c>
      <c r="P117">
        <v>4023</v>
      </c>
      <c r="Q117">
        <v>4678</v>
      </c>
      <c r="R117" t="s">
        <v>41</v>
      </c>
      <c r="S117">
        <v>2019</v>
      </c>
      <c r="T117" s="40">
        <f>IF(R117="IRRIGATED",IF(F117&gt;=SCORES!I$6,1,0),"")</f>
        <v>0</v>
      </c>
    </row>
    <row r="118" spans="1:20" hidden="1" x14ac:dyDescent="0.25">
      <c r="A118">
        <v>101.992670964208</v>
      </c>
      <c r="B118">
        <v>4.4000000000000004</v>
      </c>
      <c r="C118" t="s">
        <v>51</v>
      </c>
      <c r="D118">
        <v>15</v>
      </c>
      <c r="E118">
        <v>267</v>
      </c>
      <c r="F118">
        <v>334</v>
      </c>
      <c r="G118">
        <v>77</v>
      </c>
      <c r="H118">
        <v>0.12550526164343501</v>
      </c>
      <c r="I118">
        <v>0.33515564576896401</v>
      </c>
      <c r="J118">
        <v>190</v>
      </c>
      <c r="K118" t="s">
        <v>215</v>
      </c>
      <c r="L118">
        <v>133</v>
      </c>
      <c r="O118">
        <v>3</v>
      </c>
      <c r="P118">
        <v>2581</v>
      </c>
      <c r="Q118">
        <v>3443</v>
      </c>
      <c r="R118" t="s">
        <v>41</v>
      </c>
      <c r="S118">
        <v>2020</v>
      </c>
      <c r="T118" s="40">
        <f>IF(R118="IRRIGATED",IF(F118&gt;=SCORES!I$6,1,0),"")</f>
        <v>1</v>
      </c>
    </row>
    <row r="119" spans="1:20" hidden="1" x14ac:dyDescent="0.25">
      <c r="A119">
        <v>32.077952520377899</v>
      </c>
      <c r="B119">
        <v>0.3</v>
      </c>
      <c r="C119" t="s">
        <v>51</v>
      </c>
      <c r="D119">
        <v>15</v>
      </c>
      <c r="E119">
        <v>249</v>
      </c>
      <c r="F119">
        <v>344</v>
      </c>
      <c r="G119">
        <v>29</v>
      </c>
      <c r="H119">
        <v>4.2734244163670401E-2</v>
      </c>
      <c r="I119">
        <v>0.44241038492330598</v>
      </c>
      <c r="J119">
        <v>216</v>
      </c>
      <c r="K119" t="s">
        <v>215</v>
      </c>
      <c r="L119">
        <v>95</v>
      </c>
      <c r="O119">
        <v>2</v>
      </c>
      <c r="P119">
        <v>5794</v>
      </c>
      <c r="Q119">
        <v>8498</v>
      </c>
      <c r="R119" t="s">
        <v>41</v>
      </c>
      <c r="S119">
        <v>2020</v>
      </c>
      <c r="T119" s="40">
        <f>IF(R119="IRRIGATED",IF(F119&gt;=SCORES!I$6,1,0),"")</f>
        <v>1</v>
      </c>
    </row>
    <row r="120" spans="1:20" hidden="1" x14ac:dyDescent="0.25">
      <c r="A120">
        <v>468.78014767221401</v>
      </c>
      <c r="B120">
        <v>4.5</v>
      </c>
      <c r="C120" t="s">
        <v>51</v>
      </c>
      <c r="D120">
        <v>15</v>
      </c>
      <c r="E120">
        <v>316</v>
      </c>
      <c r="F120">
        <v>346</v>
      </c>
      <c r="G120">
        <v>84</v>
      </c>
      <c r="H120">
        <v>0.142510961535599</v>
      </c>
      <c r="I120">
        <v>0.485414820537721</v>
      </c>
      <c r="J120">
        <v>233</v>
      </c>
      <c r="K120" t="s">
        <v>215</v>
      </c>
      <c r="L120">
        <v>1429</v>
      </c>
      <c r="O120">
        <v>1</v>
      </c>
      <c r="P120">
        <v>4695</v>
      </c>
      <c r="Q120">
        <v>5500</v>
      </c>
      <c r="R120" t="s">
        <v>41</v>
      </c>
      <c r="S120">
        <v>2020</v>
      </c>
      <c r="T120" s="40">
        <f>IF(R120="IRRIGATED",IF(F120&gt;=SCORES!I$6,1,0),"")</f>
        <v>1</v>
      </c>
    </row>
    <row r="121" spans="1:20" hidden="1" x14ac:dyDescent="0.25">
      <c r="A121">
        <v>46.674837371984701</v>
      </c>
      <c r="B121">
        <v>1.8</v>
      </c>
      <c r="C121" t="s">
        <v>51</v>
      </c>
      <c r="D121">
        <v>15</v>
      </c>
      <c r="E121">
        <v>267</v>
      </c>
      <c r="F121">
        <v>349</v>
      </c>
      <c r="G121">
        <v>68</v>
      </c>
      <c r="H121">
        <v>0.130117303959601</v>
      </c>
      <c r="I121">
        <v>0.31382273155333901</v>
      </c>
      <c r="J121">
        <v>199</v>
      </c>
      <c r="K121" t="s">
        <v>215</v>
      </c>
      <c r="L121">
        <v>58</v>
      </c>
      <c r="O121">
        <v>3</v>
      </c>
      <c r="P121">
        <v>2949</v>
      </c>
      <c r="Q121">
        <v>3262</v>
      </c>
      <c r="R121" t="s">
        <v>41</v>
      </c>
      <c r="S121">
        <v>2021</v>
      </c>
      <c r="T121" s="40">
        <f>IF(R121="IRRIGATED",IF(F121&gt;=SCORES!I$6,1,0),"")</f>
        <v>1</v>
      </c>
    </row>
    <row r="122" spans="1:20" hidden="1" x14ac:dyDescent="0.25">
      <c r="A122">
        <v>151.80534748228101</v>
      </c>
      <c r="B122">
        <v>1.7</v>
      </c>
      <c r="C122" t="s">
        <v>51</v>
      </c>
      <c r="D122">
        <v>15</v>
      </c>
      <c r="E122">
        <v>243</v>
      </c>
      <c r="F122">
        <v>274</v>
      </c>
      <c r="G122">
        <v>73</v>
      </c>
      <c r="H122">
        <v>0.21250162366161299</v>
      </c>
      <c r="I122">
        <v>0.65831415253023995</v>
      </c>
      <c r="J122">
        <v>168</v>
      </c>
      <c r="K122" t="s">
        <v>215</v>
      </c>
      <c r="L122">
        <v>1016</v>
      </c>
      <c r="O122">
        <v>1</v>
      </c>
      <c r="P122">
        <v>4153</v>
      </c>
      <c r="Q122">
        <v>4750</v>
      </c>
      <c r="R122" t="s">
        <v>41</v>
      </c>
      <c r="S122">
        <v>2021</v>
      </c>
      <c r="T122" s="40">
        <f>IF(R122="IRRIGATED",IF(F122&gt;=SCORES!I$6,1,0),"")</f>
        <v>0</v>
      </c>
    </row>
    <row r="123" spans="1:20" hidden="1" x14ac:dyDescent="0.25">
      <c r="A123">
        <v>58.533568133706403</v>
      </c>
      <c r="B123">
        <v>0.7</v>
      </c>
      <c r="C123" t="s">
        <v>51</v>
      </c>
      <c r="D123">
        <v>15</v>
      </c>
      <c r="E123">
        <v>241</v>
      </c>
      <c r="F123">
        <v>328</v>
      </c>
      <c r="G123">
        <v>31</v>
      </c>
      <c r="H123">
        <v>4.39373584897031E-2</v>
      </c>
      <c r="I123">
        <v>0.424790395403013</v>
      </c>
      <c r="J123">
        <v>206</v>
      </c>
      <c r="K123" t="s">
        <v>215</v>
      </c>
      <c r="L123">
        <v>91</v>
      </c>
      <c r="O123">
        <v>2</v>
      </c>
      <c r="P123">
        <v>5959</v>
      </c>
      <c r="Q123">
        <v>9237</v>
      </c>
      <c r="R123" t="s">
        <v>41</v>
      </c>
      <c r="S123">
        <v>2021</v>
      </c>
      <c r="T123" s="40">
        <f>IF(R123="IRRIGATED",IF(F123&gt;=SCORES!I$6,1,0),"")</f>
        <v>1</v>
      </c>
    </row>
    <row r="124" spans="1:20" hidden="1" x14ac:dyDescent="0.25">
      <c r="A124">
        <v>271.34829949310802</v>
      </c>
      <c r="B124">
        <v>5.9</v>
      </c>
      <c r="C124" t="s">
        <v>51</v>
      </c>
      <c r="D124">
        <v>15</v>
      </c>
      <c r="E124">
        <v>284</v>
      </c>
      <c r="F124">
        <v>340</v>
      </c>
      <c r="G124">
        <v>79</v>
      </c>
      <c r="H124">
        <v>0.14274506206635401</v>
      </c>
      <c r="I124">
        <v>0.393241614609597</v>
      </c>
      <c r="J124">
        <v>205</v>
      </c>
      <c r="K124" t="s">
        <v>215</v>
      </c>
      <c r="L124">
        <v>55</v>
      </c>
      <c r="O124">
        <v>3</v>
      </c>
      <c r="P124">
        <v>2455</v>
      </c>
      <c r="Q124">
        <v>3540</v>
      </c>
      <c r="R124" t="s">
        <v>41</v>
      </c>
      <c r="S124">
        <v>2022</v>
      </c>
      <c r="T124" s="40">
        <f>IF(R124="IRRIGATED",IF(F124&gt;=SCORES!I$6,1,0),"")</f>
        <v>1</v>
      </c>
    </row>
    <row r="125" spans="1:20" hidden="1" x14ac:dyDescent="0.25">
      <c r="A125">
        <v>41.669883394939902</v>
      </c>
      <c r="B125">
        <v>0.3</v>
      </c>
      <c r="C125" t="s">
        <v>51</v>
      </c>
      <c r="D125">
        <v>15</v>
      </c>
      <c r="E125">
        <v>252</v>
      </c>
      <c r="F125">
        <v>352</v>
      </c>
      <c r="G125">
        <v>27</v>
      </c>
      <c r="H125">
        <v>4.2348140080079998E-2</v>
      </c>
      <c r="I125">
        <v>0.47410283662738101</v>
      </c>
      <c r="J125">
        <v>220</v>
      </c>
      <c r="K125" t="s">
        <v>215</v>
      </c>
      <c r="L125">
        <v>120</v>
      </c>
      <c r="O125">
        <v>2</v>
      </c>
      <c r="P125">
        <v>7042</v>
      </c>
      <c r="Q125">
        <v>9890</v>
      </c>
      <c r="R125" t="s">
        <v>41</v>
      </c>
      <c r="S125">
        <v>2022</v>
      </c>
      <c r="T125" s="40">
        <f>IF(R125="IRRIGATED",IF(F125&gt;=SCORES!I$6,1,0),"")</f>
        <v>1</v>
      </c>
    </row>
    <row r="126" spans="1:20" hidden="1" x14ac:dyDescent="0.25">
      <c r="A126">
        <v>224.788807397954</v>
      </c>
      <c r="B126">
        <v>1.7</v>
      </c>
      <c r="C126" t="s">
        <v>51</v>
      </c>
      <c r="D126">
        <v>15</v>
      </c>
      <c r="E126">
        <v>280</v>
      </c>
      <c r="F126">
        <v>304</v>
      </c>
      <c r="G126">
        <v>65</v>
      </c>
      <c r="H126">
        <v>0.131231891001617</v>
      </c>
      <c r="I126">
        <v>0.64136106540455595</v>
      </c>
      <c r="J126">
        <v>212</v>
      </c>
      <c r="K126" t="s">
        <v>215</v>
      </c>
      <c r="L126">
        <v>1216</v>
      </c>
      <c r="O126">
        <v>1</v>
      </c>
      <c r="P126">
        <v>5013</v>
      </c>
      <c r="Q126">
        <v>5306</v>
      </c>
      <c r="R126" t="s">
        <v>41</v>
      </c>
      <c r="S126">
        <v>2022</v>
      </c>
      <c r="T126" s="40">
        <f>IF(R126="IRRIGATED",IF(F126&gt;=SCORES!I$6,1,0),"")</f>
        <v>1</v>
      </c>
    </row>
    <row r="127" spans="1:20" hidden="1" x14ac:dyDescent="0.25">
      <c r="A127">
        <v>54.429868623097697</v>
      </c>
      <c r="B127">
        <v>0.5</v>
      </c>
      <c r="C127" t="s">
        <v>51</v>
      </c>
      <c r="D127">
        <v>15</v>
      </c>
      <c r="E127">
        <v>266</v>
      </c>
      <c r="F127">
        <v>308</v>
      </c>
      <c r="G127">
        <v>0</v>
      </c>
      <c r="J127">
        <v>209</v>
      </c>
      <c r="K127" t="s">
        <v>215</v>
      </c>
      <c r="L127">
        <v>1264</v>
      </c>
      <c r="O127">
        <v>1</v>
      </c>
      <c r="P127">
        <v>5810</v>
      </c>
      <c r="R127" t="s">
        <v>57</v>
      </c>
      <c r="S127">
        <v>2018</v>
      </c>
      <c r="T127" s="40" t="str">
        <f>IF(R127="IRRIGATED",IF(F127&gt;=SCORES!I$6,1,0),"")</f>
        <v/>
      </c>
    </row>
    <row r="128" spans="1:20" hidden="1" x14ac:dyDescent="0.25">
      <c r="A128">
        <v>33.8776154336338</v>
      </c>
      <c r="B128">
        <v>0.3</v>
      </c>
      <c r="C128" t="s">
        <v>51</v>
      </c>
      <c r="D128">
        <v>15</v>
      </c>
      <c r="E128">
        <v>260</v>
      </c>
      <c r="F128">
        <v>344</v>
      </c>
      <c r="G128">
        <v>0</v>
      </c>
      <c r="J128">
        <v>222</v>
      </c>
      <c r="K128" t="s">
        <v>215</v>
      </c>
      <c r="L128">
        <v>57</v>
      </c>
      <c r="O128">
        <v>2</v>
      </c>
      <c r="P128">
        <v>7359</v>
      </c>
      <c r="R128" t="s">
        <v>57</v>
      </c>
      <c r="S128">
        <v>2018</v>
      </c>
      <c r="T128" s="40" t="str">
        <f>IF(R128="IRRIGATED",IF(F128&gt;=SCORES!I$6,1,0),"")</f>
        <v/>
      </c>
    </row>
    <row r="129" spans="1:20" hidden="1" x14ac:dyDescent="0.25">
      <c r="A129">
        <v>7.8548074236043304</v>
      </c>
      <c r="B129">
        <v>0.3</v>
      </c>
      <c r="C129" t="s">
        <v>51</v>
      </c>
      <c r="D129">
        <v>15</v>
      </c>
      <c r="E129">
        <v>147</v>
      </c>
      <c r="F129">
        <v>370</v>
      </c>
      <c r="G129">
        <v>0</v>
      </c>
      <c r="J129">
        <v>118</v>
      </c>
      <c r="K129" t="s">
        <v>215</v>
      </c>
      <c r="L129">
        <v>32</v>
      </c>
      <c r="O129">
        <v>3</v>
      </c>
      <c r="P129">
        <v>1338</v>
      </c>
      <c r="R129" t="s">
        <v>57</v>
      </c>
      <c r="S129">
        <v>2018</v>
      </c>
      <c r="T129" s="40" t="str">
        <f>IF(R129="IRRIGATED",IF(F129&gt;=SCORES!I$6,1,0),"")</f>
        <v/>
      </c>
    </row>
    <row r="130" spans="1:20" hidden="1" x14ac:dyDescent="0.25">
      <c r="A130">
        <v>103.48927470282101</v>
      </c>
      <c r="B130">
        <v>0.8</v>
      </c>
      <c r="C130" t="s">
        <v>51</v>
      </c>
      <c r="D130">
        <v>15</v>
      </c>
      <c r="E130">
        <v>223</v>
      </c>
      <c r="F130">
        <v>272</v>
      </c>
      <c r="G130">
        <v>0</v>
      </c>
      <c r="J130">
        <v>183</v>
      </c>
      <c r="K130" t="s">
        <v>215</v>
      </c>
      <c r="L130">
        <v>1176</v>
      </c>
      <c r="O130">
        <v>1</v>
      </c>
      <c r="P130">
        <v>3932</v>
      </c>
      <c r="R130" t="s">
        <v>57</v>
      </c>
      <c r="S130">
        <v>2019</v>
      </c>
      <c r="T130" s="40" t="str">
        <f>IF(R130="IRRIGATED",IF(F130&gt;=SCORES!I$6,1,0),"")</f>
        <v/>
      </c>
    </row>
    <row r="131" spans="1:20" hidden="1" x14ac:dyDescent="0.25">
      <c r="A131">
        <v>115.70220411026</v>
      </c>
      <c r="B131">
        <v>0.9</v>
      </c>
      <c r="C131" t="s">
        <v>51</v>
      </c>
      <c r="D131">
        <v>15</v>
      </c>
      <c r="E131">
        <v>287</v>
      </c>
      <c r="F131">
        <v>346</v>
      </c>
      <c r="G131">
        <v>0</v>
      </c>
      <c r="J131">
        <v>240</v>
      </c>
      <c r="K131" t="s">
        <v>215</v>
      </c>
      <c r="L131">
        <v>99</v>
      </c>
      <c r="O131">
        <v>2</v>
      </c>
      <c r="P131">
        <v>8476</v>
      </c>
      <c r="R131" t="s">
        <v>57</v>
      </c>
      <c r="S131">
        <v>2019</v>
      </c>
      <c r="T131" s="40" t="str">
        <f>IF(R131="IRRIGATED",IF(F131&gt;=SCORES!I$6,1,0),"")</f>
        <v/>
      </c>
    </row>
    <row r="132" spans="1:20" hidden="1" x14ac:dyDescent="0.25">
      <c r="A132">
        <v>51.878162759704502</v>
      </c>
      <c r="B132">
        <v>0.6</v>
      </c>
      <c r="C132" t="s">
        <v>51</v>
      </c>
      <c r="D132">
        <v>15</v>
      </c>
      <c r="E132">
        <v>160</v>
      </c>
      <c r="F132">
        <v>404</v>
      </c>
      <c r="G132">
        <v>0</v>
      </c>
      <c r="J132">
        <v>130</v>
      </c>
      <c r="K132" t="s">
        <v>215</v>
      </c>
      <c r="L132">
        <v>61</v>
      </c>
      <c r="O132">
        <v>3</v>
      </c>
      <c r="P132">
        <v>2208</v>
      </c>
      <c r="R132" t="s">
        <v>57</v>
      </c>
      <c r="S132">
        <v>2019</v>
      </c>
      <c r="T132" s="40" t="str">
        <f>IF(R132="IRRIGATED",IF(F132&gt;=SCORES!I$6,1,0),"")</f>
        <v/>
      </c>
    </row>
    <row r="133" spans="1:20" hidden="1" x14ac:dyDescent="0.25">
      <c r="A133">
        <v>38.9010275597456</v>
      </c>
      <c r="B133">
        <v>0.4</v>
      </c>
      <c r="C133" t="s">
        <v>51</v>
      </c>
      <c r="D133">
        <v>15</v>
      </c>
      <c r="E133">
        <v>278</v>
      </c>
      <c r="F133">
        <v>340</v>
      </c>
      <c r="G133">
        <v>0</v>
      </c>
      <c r="J133">
        <v>218</v>
      </c>
      <c r="K133" t="s">
        <v>215</v>
      </c>
      <c r="L133">
        <v>1307</v>
      </c>
      <c r="O133">
        <v>1</v>
      </c>
      <c r="P133">
        <v>4125</v>
      </c>
      <c r="R133" t="s">
        <v>57</v>
      </c>
      <c r="S133">
        <v>2020</v>
      </c>
      <c r="T133" s="40" t="str">
        <f>IF(R133="IRRIGATED",IF(F133&gt;=SCORES!I$6,1,0),"")</f>
        <v/>
      </c>
    </row>
    <row r="134" spans="1:20" hidden="1" x14ac:dyDescent="0.25">
      <c r="A134">
        <v>18.052470426097202</v>
      </c>
      <c r="B134">
        <v>0.2</v>
      </c>
      <c r="C134" t="s">
        <v>51</v>
      </c>
      <c r="D134">
        <v>15</v>
      </c>
      <c r="E134">
        <v>262</v>
      </c>
      <c r="F134">
        <v>370</v>
      </c>
      <c r="G134">
        <v>0</v>
      </c>
      <c r="J134">
        <v>229</v>
      </c>
      <c r="K134" t="s">
        <v>215</v>
      </c>
      <c r="L134">
        <v>99</v>
      </c>
      <c r="O134">
        <v>2</v>
      </c>
      <c r="P134">
        <v>6127</v>
      </c>
      <c r="R134" t="s">
        <v>57</v>
      </c>
      <c r="S134">
        <v>2020</v>
      </c>
      <c r="T134" s="40" t="str">
        <f>IF(R134="IRRIGATED",IF(F134&gt;=SCORES!I$6,1,0),"")</f>
        <v/>
      </c>
    </row>
    <row r="135" spans="1:20" hidden="1" x14ac:dyDescent="0.25">
      <c r="A135">
        <v>5.0111631835339097</v>
      </c>
      <c r="B135">
        <v>0.2</v>
      </c>
      <c r="C135" t="s">
        <v>51</v>
      </c>
      <c r="D135">
        <v>15</v>
      </c>
      <c r="E135">
        <v>131</v>
      </c>
      <c r="F135">
        <v>307</v>
      </c>
      <c r="G135">
        <v>0</v>
      </c>
      <c r="J135">
        <v>105</v>
      </c>
      <c r="K135" t="s">
        <v>215</v>
      </c>
      <c r="L135">
        <v>81</v>
      </c>
      <c r="O135">
        <v>3</v>
      </c>
      <c r="P135">
        <v>1264</v>
      </c>
      <c r="R135" t="s">
        <v>57</v>
      </c>
      <c r="S135">
        <v>2020</v>
      </c>
      <c r="T135" s="40" t="str">
        <f>IF(R135="IRRIGATED",IF(F135&gt;=SCORES!I$6,1,0),"")</f>
        <v/>
      </c>
    </row>
    <row r="136" spans="1:20" hidden="1" x14ac:dyDescent="0.25">
      <c r="A136">
        <v>28.491664179842999</v>
      </c>
      <c r="B136">
        <v>0.3</v>
      </c>
      <c r="C136" t="s">
        <v>51</v>
      </c>
      <c r="D136">
        <v>15</v>
      </c>
      <c r="E136">
        <v>200</v>
      </c>
      <c r="F136">
        <v>264</v>
      </c>
      <c r="G136">
        <v>0</v>
      </c>
      <c r="J136">
        <v>156</v>
      </c>
      <c r="K136" t="s">
        <v>215</v>
      </c>
      <c r="L136">
        <v>898</v>
      </c>
      <c r="O136">
        <v>1</v>
      </c>
      <c r="P136">
        <v>3460</v>
      </c>
      <c r="R136" t="s">
        <v>57</v>
      </c>
      <c r="S136">
        <v>2021</v>
      </c>
      <c r="T136" s="40" t="str">
        <f>IF(R136="IRRIGATED",IF(F136&gt;=SCORES!I$6,1,0),"")</f>
        <v/>
      </c>
    </row>
    <row r="137" spans="1:20" hidden="1" x14ac:dyDescent="0.25">
      <c r="A137">
        <v>31.297163569976099</v>
      </c>
      <c r="B137">
        <v>0.4</v>
      </c>
      <c r="C137" t="s">
        <v>51</v>
      </c>
      <c r="D137">
        <v>15</v>
      </c>
      <c r="E137">
        <v>271</v>
      </c>
      <c r="F137">
        <v>346</v>
      </c>
      <c r="G137">
        <v>0</v>
      </c>
      <c r="J137">
        <v>231</v>
      </c>
      <c r="K137" t="s">
        <v>215</v>
      </c>
      <c r="L137">
        <v>97</v>
      </c>
      <c r="O137">
        <v>2</v>
      </c>
      <c r="P137">
        <v>7068</v>
      </c>
      <c r="R137" t="s">
        <v>57</v>
      </c>
      <c r="S137">
        <v>2021</v>
      </c>
      <c r="T137" s="40" t="str">
        <f>IF(R137="IRRIGATED",IF(F137&gt;=SCORES!I$6,1,0),"")</f>
        <v/>
      </c>
    </row>
    <row r="138" spans="1:20" hidden="1" x14ac:dyDescent="0.25">
      <c r="A138">
        <v>3.0546236278010301</v>
      </c>
      <c r="B138">
        <v>0.1</v>
      </c>
      <c r="C138" t="s">
        <v>51</v>
      </c>
      <c r="D138">
        <v>15</v>
      </c>
      <c r="E138">
        <v>170</v>
      </c>
      <c r="F138">
        <v>310</v>
      </c>
      <c r="G138">
        <v>0</v>
      </c>
      <c r="J138">
        <v>135</v>
      </c>
      <c r="K138" t="s">
        <v>215</v>
      </c>
      <c r="L138">
        <v>40</v>
      </c>
      <c r="O138">
        <v>3</v>
      </c>
      <c r="P138">
        <v>2209</v>
      </c>
      <c r="R138" t="s">
        <v>57</v>
      </c>
      <c r="S138">
        <v>2021</v>
      </c>
      <c r="T138" s="40" t="str">
        <f>IF(R138="IRRIGATED",IF(F138&gt;=SCORES!I$6,1,0),"")</f>
        <v/>
      </c>
    </row>
    <row r="139" spans="1:20" hidden="1" x14ac:dyDescent="0.25">
      <c r="A139">
        <v>45.918259230313701</v>
      </c>
      <c r="B139">
        <v>0.3</v>
      </c>
      <c r="C139" t="s">
        <v>51</v>
      </c>
      <c r="D139">
        <v>15</v>
      </c>
      <c r="E139">
        <v>253</v>
      </c>
      <c r="F139">
        <v>300</v>
      </c>
      <c r="G139">
        <v>0</v>
      </c>
      <c r="J139">
        <v>205</v>
      </c>
      <c r="K139" t="s">
        <v>215</v>
      </c>
      <c r="L139">
        <v>1159</v>
      </c>
      <c r="O139">
        <v>1</v>
      </c>
      <c r="P139">
        <v>4578</v>
      </c>
      <c r="R139" t="s">
        <v>57</v>
      </c>
      <c r="S139">
        <v>2022</v>
      </c>
      <c r="T139" s="40" t="str">
        <f>IF(R139="IRRIGATED",IF(F139&gt;=SCORES!I$6,1,0),"")</f>
        <v/>
      </c>
    </row>
    <row r="140" spans="1:20" hidden="1" x14ac:dyDescent="0.25">
      <c r="A140">
        <v>31.317262127607702</v>
      </c>
      <c r="B140">
        <v>0.3</v>
      </c>
      <c r="C140" t="s">
        <v>51</v>
      </c>
      <c r="D140">
        <v>15</v>
      </c>
      <c r="E140">
        <v>283</v>
      </c>
      <c r="F140">
        <v>376</v>
      </c>
      <c r="G140">
        <v>0</v>
      </c>
      <c r="J140">
        <v>245</v>
      </c>
      <c r="K140" t="s">
        <v>215</v>
      </c>
      <c r="L140">
        <v>131</v>
      </c>
      <c r="O140">
        <v>2</v>
      </c>
      <c r="P140">
        <v>7999</v>
      </c>
      <c r="R140" t="s">
        <v>57</v>
      </c>
      <c r="S140">
        <v>2022</v>
      </c>
      <c r="T140" s="40" t="str">
        <f>IF(R140="IRRIGATED",IF(F140&gt;=SCORES!I$6,1,0),"")</f>
        <v/>
      </c>
    </row>
    <row r="141" spans="1:20" hidden="1" x14ac:dyDescent="0.25">
      <c r="A141">
        <v>14.419729761888</v>
      </c>
      <c r="B141">
        <v>0.3</v>
      </c>
      <c r="C141" t="s">
        <v>51</v>
      </c>
      <c r="D141">
        <v>15</v>
      </c>
      <c r="E141">
        <v>136</v>
      </c>
      <c r="F141">
        <v>312</v>
      </c>
      <c r="G141">
        <v>0</v>
      </c>
      <c r="J141">
        <v>102</v>
      </c>
      <c r="K141" t="s">
        <v>215</v>
      </c>
      <c r="L141">
        <v>28</v>
      </c>
      <c r="O141">
        <v>3</v>
      </c>
      <c r="P141">
        <v>1180</v>
      </c>
      <c r="R141" t="s">
        <v>57</v>
      </c>
      <c r="S141">
        <v>2022</v>
      </c>
      <c r="T141" s="40" t="str">
        <f>IF(R141="IRRIGATED",IF(F141&gt;=SCORES!I$6,1,0),"")</f>
        <v/>
      </c>
    </row>
    <row r="142" spans="1:20" hidden="1" x14ac:dyDescent="0.25">
      <c r="A142">
        <v>1586.74937230308</v>
      </c>
      <c r="B142">
        <v>13.5</v>
      </c>
      <c r="C142" t="s">
        <v>121</v>
      </c>
      <c r="D142">
        <v>17</v>
      </c>
      <c r="E142">
        <v>221</v>
      </c>
      <c r="F142">
        <v>264</v>
      </c>
      <c r="G142">
        <v>0</v>
      </c>
      <c r="J142">
        <v>213</v>
      </c>
      <c r="K142" t="s">
        <v>215</v>
      </c>
      <c r="L142">
        <v>1247</v>
      </c>
      <c r="O142">
        <v>1</v>
      </c>
      <c r="P142">
        <v>4919</v>
      </c>
      <c r="R142" t="s">
        <v>57</v>
      </c>
      <c r="S142">
        <v>2018</v>
      </c>
      <c r="T142" s="40" t="str">
        <f>IF(R142="IRRIGATED",IF(F142&gt;=SCORES!I$6,1,0),"")</f>
        <v/>
      </c>
    </row>
    <row r="143" spans="1:20" hidden="1" x14ac:dyDescent="0.25">
      <c r="A143">
        <v>1321.15504789788</v>
      </c>
      <c r="B143">
        <v>12.7</v>
      </c>
      <c r="C143" t="s">
        <v>121</v>
      </c>
      <c r="D143">
        <v>17</v>
      </c>
      <c r="E143">
        <v>193</v>
      </c>
      <c r="F143">
        <v>212</v>
      </c>
      <c r="G143">
        <v>0</v>
      </c>
      <c r="J143">
        <v>186</v>
      </c>
      <c r="K143" t="s">
        <v>215</v>
      </c>
      <c r="L143">
        <v>50</v>
      </c>
      <c r="O143">
        <v>2</v>
      </c>
      <c r="P143">
        <v>4657</v>
      </c>
      <c r="R143" t="s">
        <v>57</v>
      </c>
      <c r="S143">
        <v>2018</v>
      </c>
      <c r="T143" s="40" t="str">
        <f>IF(R143="IRRIGATED",IF(F143&gt;=SCORES!I$6,1,0),"")</f>
        <v/>
      </c>
    </row>
    <row r="144" spans="1:20" hidden="1" x14ac:dyDescent="0.25">
      <c r="A144">
        <v>53.557747630621201</v>
      </c>
      <c r="B144">
        <v>2</v>
      </c>
      <c r="C144" t="s">
        <v>121</v>
      </c>
      <c r="D144">
        <v>17</v>
      </c>
      <c r="E144">
        <v>258</v>
      </c>
      <c r="F144">
        <v>329</v>
      </c>
      <c r="G144">
        <v>0</v>
      </c>
      <c r="J144">
        <v>219</v>
      </c>
      <c r="K144" t="s">
        <v>215</v>
      </c>
      <c r="L144">
        <v>50</v>
      </c>
      <c r="O144">
        <v>3</v>
      </c>
      <c r="P144">
        <v>2748</v>
      </c>
      <c r="R144" t="s">
        <v>57</v>
      </c>
      <c r="S144">
        <v>2018</v>
      </c>
      <c r="T144" s="40" t="str">
        <f>IF(R144="IRRIGATED",IF(F144&gt;=SCORES!I$6,1,0),"")</f>
        <v/>
      </c>
    </row>
    <row r="145" spans="1:20" hidden="1" x14ac:dyDescent="0.25">
      <c r="A145">
        <v>851.12172927893403</v>
      </c>
      <c r="B145">
        <v>6.4</v>
      </c>
      <c r="C145" t="s">
        <v>121</v>
      </c>
      <c r="D145">
        <v>17</v>
      </c>
      <c r="E145">
        <v>182</v>
      </c>
      <c r="F145">
        <v>226</v>
      </c>
      <c r="G145">
        <v>0</v>
      </c>
      <c r="J145">
        <v>181</v>
      </c>
      <c r="K145" t="s">
        <v>215</v>
      </c>
      <c r="L145">
        <v>1098</v>
      </c>
      <c r="O145">
        <v>1</v>
      </c>
      <c r="P145">
        <v>3267</v>
      </c>
      <c r="R145" t="s">
        <v>57</v>
      </c>
      <c r="S145">
        <v>2019</v>
      </c>
      <c r="T145" s="40" t="str">
        <f>IF(R145="IRRIGATED",IF(F145&gt;=SCORES!I$6,1,0),"")</f>
        <v/>
      </c>
    </row>
    <row r="146" spans="1:20" hidden="1" x14ac:dyDescent="0.25">
      <c r="A146">
        <v>634.22274024361298</v>
      </c>
      <c r="B146">
        <v>4.9000000000000004</v>
      </c>
      <c r="C146" t="s">
        <v>121</v>
      </c>
      <c r="D146">
        <v>17</v>
      </c>
      <c r="E146">
        <v>175</v>
      </c>
      <c r="F146">
        <v>216</v>
      </c>
      <c r="G146">
        <v>0</v>
      </c>
      <c r="J146">
        <v>173</v>
      </c>
      <c r="K146" t="s">
        <v>215</v>
      </c>
      <c r="L146">
        <v>92</v>
      </c>
      <c r="O146">
        <v>2</v>
      </c>
      <c r="P146">
        <v>4632</v>
      </c>
      <c r="R146" t="s">
        <v>57</v>
      </c>
      <c r="S146">
        <v>2019</v>
      </c>
      <c r="T146" s="40" t="str">
        <f>IF(R146="IRRIGATED",IF(F146&gt;=SCORES!I$6,1,0),"")</f>
        <v/>
      </c>
    </row>
    <row r="147" spans="1:20" hidden="1" x14ac:dyDescent="0.25">
      <c r="A147">
        <v>130.89135847991599</v>
      </c>
      <c r="B147">
        <v>1.6</v>
      </c>
      <c r="C147" t="s">
        <v>121</v>
      </c>
      <c r="D147">
        <v>17</v>
      </c>
      <c r="E147">
        <v>281</v>
      </c>
      <c r="F147">
        <v>368</v>
      </c>
      <c r="G147">
        <v>0</v>
      </c>
      <c r="J147">
        <v>246</v>
      </c>
      <c r="K147" t="s">
        <v>215</v>
      </c>
      <c r="L147">
        <v>101</v>
      </c>
      <c r="O147">
        <v>3</v>
      </c>
      <c r="P147">
        <v>3643</v>
      </c>
      <c r="R147" t="s">
        <v>57</v>
      </c>
      <c r="S147">
        <v>2019</v>
      </c>
      <c r="T147" s="40" t="str">
        <f>IF(R147="IRRIGATED",IF(F147&gt;=SCORES!I$6,1,0),"")</f>
        <v/>
      </c>
    </row>
    <row r="148" spans="1:20" hidden="1" x14ac:dyDescent="0.25">
      <c r="A148">
        <v>3058.3054209322499</v>
      </c>
      <c r="B148">
        <v>29.2</v>
      </c>
      <c r="C148" t="s">
        <v>121</v>
      </c>
      <c r="D148">
        <v>17</v>
      </c>
      <c r="E148">
        <v>186</v>
      </c>
      <c r="F148">
        <v>272</v>
      </c>
      <c r="G148">
        <v>0</v>
      </c>
      <c r="J148">
        <v>202</v>
      </c>
      <c r="K148" t="s">
        <v>215</v>
      </c>
      <c r="L148">
        <v>1141</v>
      </c>
      <c r="O148">
        <v>1</v>
      </c>
      <c r="P148">
        <v>2702</v>
      </c>
      <c r="R148" t="s">
        <v>57</v>
      </c>
      <c r="S148">
        <v>2020</v>
      </c>
      <c r="T148" s="40" t="str">
        <f>IF(R148="IRRIGATED",IF(F148&gt;=SCORES!I$6,1,0),"")</f>
        <v/>
      </c>
    </row>
    <row r="149" spans="1:20" hidden="1" x14ac:dyDescent="0.25">
      <c r="A149">
        <v>3098.16321037026</v>
      </c>
      <c r="B149">
        <v>32.200000000000003</v>
      </c>
      <c r="C149" t="s">
        <v>121</v>
      </c>
      <c r="D149">
        <v>17</v>
      </c>
      <c r="E149">
        <v>189</v>
      </c>
      <c r="F149">
        <v>212</v>
      </c>
      <c r="G149">
        <v>0</v>
      </c>
      <c r="J149">
        <v>182</v>
      </c>
      <c r="K149" t="s">
        <v>215</v>
      </c>
      <c r="L149">
        <v>91</v>
      </c>
      <c r="O149">
        <v>2</v>
      </c>
      <c r="P149">
        <v>4052</v>
      </c>
      <c r="R149" t="s">
        <v>57</v>
      </c>
      <c r="S149">
        <v>2020</v>
      </c>
      <c r="T149" s="40" t="str">
        <f>IF(R149="IRRIGATED",IF(F149&gt;=SCORES!I$6,1,0),"")</f>
        <v/>
      </c>
    </row>
    <row r="150" spans="1:20" hidden="1" x14ac:dyDescent="0.25">
      <c r="A150">
        <v>21.677386609380299</v>
      </c>
      <c r="B150">
        <v>0.9</v>
      </c>
      <c r="C150" t="s">
        <v>121</v>
      </c>
      <c r="D150">
        <v>17</v>
      </c>
      <c r="E150">
        <v>184</v>
      </c>
      <c r="F150">
        <v>269</v>
      </c>
      <c r="G150">
        <v>0</v>
      </c>
      <c r="J150">
        <v>148</v>
      </c>
      <c r="K150" t="s">
        <v>215</v>
      </c>
      <c r="L150">
        <v>111</v>
      </c>
      <c r="O150">
        <v>3</v>
      </c>
      <c r="P150">
        <v>1915</v>
      </c>
      <c r="R150" t="s">
        <v>57</v>
      </c>
      <c r="S150">
        <v>2020</v>
      </c>
      <c r="T150" s="40" t="str">
        <f>IF(R150="IRRIGATED",IF(F150&gt;=SCORES!I$6,1,0),"")</f>
        <v/>
      </c>
    </row>
    <row r="151" spans="1:20" hidden="1" x14ac:dyDescent="0.25">
      <c r="A151">
        <v>1210.1905492695901</v>
      </c>
      <c r="B151">
        <v>13.6</v>
      </c>
      <c r="C151" t="s">
        <v>121</v>
      </c>
      <c r="D151">
        <v>17</v>
      </c>
      <c r="E151">
        <v>142</v>
      </c>
      <c r="F151">
        <v>214</v>
      </c>
      <c r="G151">
        <v>0</v>
      </c>
      <c r="J151">
        <v>153</v>
      </c>
      <c r="K151" t="s">
        <v>215</v>
      </c>
      <c r="L151">
        <v>801</v>
      </c>
      <c r="O151">
        <v>1</v>
      </c>
      <c r="P151">
        <v>2450</v>
      </c>
      <c r="R151" t="s">
        <v>57</v>
      </c>
      <c r="S151">
        <v>2021</v>
      </c>
      <c r="T151" s="40" t="str">
        <f>IF(R151="IRRIGATED",IF(F151&gt;=SCORES!I$6,1,0),"")</f>
        <v/>
      </c>
    </row>
    <row r="152" spans="1:20" hidden="1" x14ac:dyDescent="0.25">
      <c r="A152">
        <v>1122.0597397971301</v>
      </c>
      <c r="B152">
        <v>13.1</v>
      </c>
      <c r="C152" t="s">
        <v>121</v>
      </c>
      <c r="D152">
        <v>17</v>
      </c>
      <c r="E152">
        <v>188</v>
      </c>
      <c r="F152">
        <v>210</v>
      </c>
      <c r="G152">
        <v>0</v>
      </c>
      <c r="J152">
        <v>182</v>
      </c>
      <c r="K152" t="s">
        <v>215</v>
      </c>
      <c r="L152">
        <v>83</v>
      </c>
      <c r="O152">
        <v>2</v>
      </c>
      <c r="P152">
        <v>4153</v>
      </c>
      <c r="R152" t="s">
        <v>57</v>
      </c>
      <c r="S152">
        <v>2021</v>
      </c>
      <c r="T152" s="40" t="str">
        <f>IF(R152="IRRIGATED",IF(F152&gt;=SCORES!I$6,1,0),"")</f>
        <v/>
      </c>
    </row>
    <row r="153" spans="1:20" hidden="1" x14ac:dyDescent="0.25">
      <c r="A153">
        <v>111.099052471295</v>
      </c>
      <c r="B153">
        <v>4.4000000000000004</v>
      </c>
      <c r="C153" t="s">
        <v>121</v>
      </c>
      <c r="D153">
        <v>17</v>
      </c>
      <c r="E153">
        <v>212</v>
      </c>
      <c r="F153">
        <v>225</v>
      </c>
      <c r="G153">
        <v>0</v>
      </c>
      <c r="J153">
        <v>174</v>
      </c>
      <c r="K153" t="s">
        <v>215</v>
      </c>
      <c r="L153">
        <v>34</v>
      </c>
      <c r="O153">
        <v>3</v>
      </c>
      <c r="P153">
        <v>3004</v>
      </c>
      <c r="R153" t="s">
        <v>57</v>
      </c>
      <c r="S153">
        <v>2021</v>
      </c>
      <c r="T153" s="40" t="str">
        <f>IF(R153="IRRIGATED",IF(F153&gt;=SCORES!I$6,1,0),"")</f>
        <v/>
      </c>
    </row>
    <row r="154" spans="1:20" hidden="1" x14ac:dyDescent="0.25">
      <c r="A154">
        <v>2118.2302448585501</v>
      </c>
      <c r="B154">
        <v>16</v>
      </c>
      <c r="C154" t="s">
        <v>121</v>
      </c>
      <c r="D154">
        <v>17</v>
      </c>
      <c r="E154">
        <v>213</v>
      </c>
      <c r="F154">
        <v>260</v>
      </c>
      <c r="G154">
        <v>0</v>
      </c>
      <c r="J154">
        <v>206</v>
      </c>
      <c r="K154" t="s">
        <v>215</v>
      </c>
      <c r="L154">
        <v>1149</v>
      </c>
      <c r="O154">
        <v>1</v>
      </c>
      <c r="P154">
        <v>3951</v>
      </c>
      <c r="R154" t="s">
        <v>57</v>
      </c>
      <c r="S154">
        <v>2022</v>
      </c>
      <c r="T154" s="40" t="str">
        <f>IF(R154="IRRIGATED",IF(F154&gt;=SCORES!I$6,1,0),"")</f>
        <v/>
      </c>
    </row>
    <row r="155" spans="1:20" hidden="1" x14ac:dyDescent="0.25">
      <c r="A155">
        <v>1727.2668330108099</v>
      </c>
      <c r="B155">
        <v>13.9</v>
      </c>
      <c r="C155" t="s">
        <v>121</v>
      </c>
      <c r="D155">
        <v>17</v>
      </c>
      <c r="E155">
        <v>189</v>
      </c>
      <c r="F155">
        <v>208</v>
      </c>
      <c r="G155">
        <v>0</v>
      </c>
      <c r="J155">
        <v>184</v>
      </c>
      <c r="K155" t="s">
        <v>215</v>
      </c>
      <c r="L155">
        <v>114</v>
      </c>
      <c r="O155">
        <v>2</v>
      </c>
      <c r="P155">
        <v>4842</v>
      </c>
      <c r="R155" t="s">
        <v>57</v>
      </c>
      <c r="S155">
        <v>2022</v>
      </c>
      <c r="T155" s="40" t="str">
        <f>IF(R155="IRRIGATED",IF(F155&gt;=SCORES!I$6,1,0),"")</f>
        <v/>
      </c>
    </row>
    <row r="156" spans="1:20" hidden="1" x14ac:dyDescent="0.25">
      <c r="A156">
        <v>37.672583327223798</v>
      </c>
      <c r="B156">
        <v>0.8</v>
      </c>
      <c r="C156" t="s">
        <v>121</v>
      </c>
      <c r="D156">
        <v>17</v>
      </c>
      <c r="E156">
        <v>246</v>
      </c>
      <c r="F156">
        <v>329</v>
      </c>
      <c r="G156">
        <v>0</v>
      </c>
      <c r="J156">
        <v>194</v>
      </c>
      <c r="K156" t="s">
        <v>215</v>
      </c>
      <c r="L156">
        <v>52</v>
      </c>
      <c r="O156">
        <v>3</v>
      </c>
      <c r="P156">
        <v>2058</v>
      </c>
      <c r="R156" t="s">
        <v>57</v>
      </c>
      <c r="S156">
        <v>2022</v>
      </c>
      <c r="T156" s="40" t="str">
        <f>IF(R156="IRRIGATED",IF(F156&gt;=SCORES!I$6,1,0),"")</f>
        <v/>
      </c>
    </row>
    <row r="157" spans="1:20" hidden="1" x14ac:dyDescent="0.25">
      <c r="A157">
        <v>5050.8789496593199</v>
      </c>
      <c r="B157">
        <v>43</v>
      </c>
      <c r="C157" t="s">
        <v>59</v>
      </c>
      <c r="D157">
        <v>2</v>
      </c>
      <c r="E157">
        <v>289</v>
      </c>
      <c r="F157">
        <v>346</v>
      </c>
      <c r="G157">
        <v>71</v>
      </c>
      <c r="H157">
        <v>0.126172476181793</v>
      </c>
      <c r="I157">
        <v>0.52725009227184905</v>
      </c>
      <c r="J157">
        <v>216</v>
      </c>
      <c r="K157" t="s">
        <v>215</v>
      </c>
      <c r="L157">
        <v>1265</v>
      </c>
      <c r="M157">
        <v>0.95435267619954101</v>
      </c>
      <c r="N157">
        <v>0.41419999383122402</v>
      </c>
      <c r="O157">
        <v>1</v>
      </c>
      <c r="P157">
        <v>6299</v>
      </c>
      <c r="Q157">
        <v>7355</v>
      </c>
      <c r="R157" t="s">
        <v>41</v>
      </c>
      <c r="S157">
        <v>2018</v>
      </c>
      <c r="T157" s="40">
        <f>IF(R157="IRRIGATED",IF(F157&gt;=SCORES!I$6,1,0),"")</f>
        <v>1</v>
      </c>
    </row>
    <row r="158" spans="1:20" hidden="1" x14ac:dyDescent="0.25">
      <c r="A158">
        <v>5992.4791311799099</v>
      </c>
      <c r="B158">
        <v>57.5</v>
      </c>
      <c r="C158" t="s">
        <v>59</v>
      </c>
      <c r="D158">
        <v>2</v>
      </c>
      <c r="E158">
        <v>228</v>
      </c>
      <c r="F158">
        <v>272</v>
      </c>
      <c r="G158">
        <v>32</v>
      </c>
      <c r="H158">
        <v>4.0802421096639903E-2</v>
      </c>
      <c r="I158">
        <v>0.38562955986719799</v>
      </c>
      <c r="J158">
        <v>194</v>
      </c>
      <c r="K158" t="s">
        <v>215</v>
      </c>
      <c r="L158">
        <v>51</v>
      </c>
      <c r="M158">
        <v>0.95441365352000995</v>
      </c>
      <c r="N158">
        <v>0.91788744358061303</v>
      </c>
      <c r="O158">
        <v>2</v>
      </c>
      <c r="P158">
        <v>6299</v>
      </c>
      <c r="Q158">
        <v>8955</v>
      </c>
      <c r="R158" t="s">
        <v>41</v>
      </c>
      <c r="S158">
        <v>2018</v>
      </c>
      <c r="T158" s="40">
        <f>IF(R158="IRRIGATED",IF(F158&gt;=SCORES!I$6,1,0),"")</f>
        <v>0</v>
      </c>
    </row>
    <row r="159" spans="1:20" hidden="1" x14ac:dyDescent="0.25">
      <c r="A159">
        <v>3005.3927551380302</v>
      </c>
      <c r="B159">
        <v>23.2</v>
      </c>
      <c r="C159" t="s">
        <v>59</v>
      </c>
      <c r="D159">
        <v>2</v>
      </c>
      <c r="E159">
        <v>210</v>
      </c>
      <c r="F159">
        <v>264</v>
      </c>
      <c r="G159">
        <v>25</v>
      </c>
      <c r="H159">
        <v>4.2562362247116903E-2</v>
      </c>
      <c r="I159">
        <v>0.54302631415500702</v>
      </c>
      <c r="J159">
        <v>181</v>
      </c>
      <c r="K159" t="s">
        <v>215</v>
      </c>
      <c r="L159">
        <v>93</v>
      </c>
      <c r="M159">
        <v>0.93664637163638997</v>
      </c>
      <c r="N159">
        <v>0.93307420831978105</v>
      </c>
      <c r="O159">
        <v>2</v>
      </c>
      <c r="P159">
        <v>6266</v>
      </c>
      <c r="Q159">
        <v>9047</v>
      </c>
      <c r="R159" t="s">
        <v>41</v>
      </c>
      <c r="S159">
        <v>2019</v>
      </c>
      <c r="T159" s="40">
        <f>IF(R159="IRRIGATED",IF(F159&gt;=SCORES!I$6,1,0),"")</f>
        <v>0</v>
      </c>
    </row>
    <row r="160" spans="1:20" hidden="1" x14ac:dyDescent="0.25">
      <c r="A160">
        <v>2055.4886627748301</v>
      </c>
      <c r="B160">
        <v>15.4</v>
      </c>
      <c r="C160" t="s">
        <v>59</v>
      </c>
      <c r="D160">
        <v>2</v>
      </c>
      <c r="E160">
        <v>238</v>
      </c>
      <c r="F160">
        <v>318</v>
      </c>
      <c r="G160">
        <v>47</v>
      </c>
      <c r="H160">
        <v>0.193306122131854</v>
      </c>
      <c r="I160">
        <v>0.89136114588304005</v>
      </c>
      <c r="J160">
        <v>188</v>
      </c>
      <c r="K160" t="s">
        <v>215</v>
      </c>
      <c r="L160">
        <v>1140</v>
      </c>
      <c r="M160">
        <v>0.93493883519485199</v>
      </c>
      <c r="N160">
        <v>0.325835692449092</v>
      </c>
      <c r="O160">
        <v>1</v>
      </c>
      <c r="P160">
        <v>4178</v>
      </c>
      <c r="Q160">
        <v>5505</v>
      </c>
      <c r="R160" t="s">
        <v>41</v>
      </c>
      <c r="S160">
        <v>2019</v>
      </c>
      <c r="T160" s="40">
        <f>IF(R160="IRRIGATED",IF(F160&gt;=SCORES!I$6,1,0),"")</f>
        <v>1</v>
      </c>
    </row>
    <row r="161" spans="1:20" hidden="1" x14ac:dyDescent="0.25">
      <c r="A161">
        <v>3757.6026251460098</v>
      </c>
      <c r="B161">
        <v>39.1</v>
      </c>
      <c r="C161" t="s">
        <v>59</v>
      </c>
      <c r="D161">
        <v>2</v>
      </c>
      <c r="E161">
        <v>221</v>
      </c>
      <c r="F161">
        <v>276</v>
      </c>
      <c r="G161">
        <v>25</v>
      </c>
      <c r="H161">
        <v>4.2734244163670401E-2</v>
      </c>
      <c r="I161">
        <v>0.44241038492330598</v>
      </c>
      <c r="J161">
        <v>192</v>
      </c>
      <c r="K161" t="s">
        <v>215</v>
      </c>
      <c r="L161">
        <v>94</v>
      </c>
      <c r="M161">
        <v>0.94869738213521604</v>
      </c>
      <c r="N161">
        <v>0.92253436103433295</v>
      </c>
      <c r="O161">
        <v>2</v>
      </c>
      <c r="P161">
        <v>5201</v>
      </c>
      <c r="Q161">
        <v>7166</v>
      </c>
      <c r="R161" t="s">
        <v>41</v>
      </c>
      <c r="S161">
        <v>2020</v>
      </c>
      <c r="T161" s="40">
        <f>IF(R161="IRRIGATED",IF(F161&gt;=SCORES!I$6,1,0),"")</f>
        <v>0</v>
      </c>
    </row>
    <row r="162" spans="1:20" hidden="1" x14ac:dyDescent="0.25">
      <c r="A162">
        <v>2233.22710793429</v>
      </c>
      <c r="B162">
        <v>21.3</v>
      </c>
      <c r="C162" t="s">
        <v>59</v>
      </c>
      <c r="D162">
        <v>2</v>
      </c>
      <c r="E162">
        <v>288</v>
      </c>
      <c r="F162">
        <v>368</v>
      </c>
      <c r="G162">
        <v>70</v>
      </c>
      <c r="H162">
        <v>0.142510961535599</v>
      </c>
      <c r="I162">
        <v>0.485414820537721</v>
      </c>
      <c r="J162">
        <v>221</v>
      </c>
      <c r="K162" t="s">
        <v>215</v>
      </c>
      <c r="L162">
        <v>1312</v>
      </c>
      <c r="M162">
        <v>0.94858677542160097</v>
      </c>
      <c r="N162">
        <v>0.53566960815738496</v>
      </c>
      <c r="O162">
        <v>1</v>
      </c>
      <c r="P162">
        <v>4441</v>
      </c>
      <c r="Q162">
        <v>6090</v>
      </c>
      <c r="R162" t="s">
        <v>41</v>
      </c>
      <c r="S162">
        <v>2020</v>
      </c>
      <c r="T162" s="40">
        <f>IF(R162="IRRIGATED",IF(F162&gt;=SCORES!I$6,1,0),"")</f>
        <v>1</v>
      </c>
    </row>
    <row r="163" spans="1:20" hidden="1" x14ac:dyDescent="0.25">
      <c r="A163">
        <v>2884.3026910335002</v>
      </c>
      <c r="B163">
        <v>32.5</v>
      </c>
      <c r="C163" t="s">
        <v>59</v>
      </c>
      <c r="D163">
        <v>2</v>
      </c>
      <c r="E163">
        <v>216</v>
      </c>
      <c r="F163">
        <v>284</v>
      </c>
      <c r="G163">
        <v>55</v>
      </c>
      <c r="H163">
        <v>0.21250162366161299</v>
      </c>
      <c r="I163">
        <v>0.65831415253023995</v>
      </c>
      <c r="J163">
        <v>164</v>
      </c>
      <c r="K163" t="s">
        <v>215</v>
      </c>
      <c r="L163">
        <v>900</v>
      </c>
      <c r="M163">
        <v>0.94430196089373397</v>
      </c>
      <c r="N163">
        <v>0.391625437636973</v>
      </c>
      <c r="O163">
        <v>1</v>
      </c>
      <c r="P163">
        <v>3727</v>
      </c>
      <c r="Q163">
        <v>5011</v>
      </c>
      <c r="R163" t="s">
        <v>41</v>
      </c>
      <c r="S163">
        <v>2021</v>
      </c>
      <c r="T163" s="40">
        <f>IF(R163="IRRIGATED",IF(F163&gt;=SCORES!I$6,1,0),"")</f>
        <v>0</v>
      </c>
    </row>
    <row r="164" spans="1:20" hidden="1" x14ac:dyDescent="0.25">
      <c r="A164">
        <v>4563.98623122765</v>
      </c>
      <c r="B164">
        <v>53.2</v>
      </c>
      <c r="C164" t="s">
        <v>59</v>
      </c>
      <c r="D164">
        <v>2</v>
      </c>
      <c r="E164">
        <v>230</v>
      </c>
      <c r="F164">
        <v>286</v>
      </c>
      <c r="G164">
        <v>31</v>
      </c>
      <c r="H164">
        <v>4.39373584897031E-2</v>
      </c>
      <c r="I164">
        <v>0.424790395403013</v>
      </c>
      <c r="J164">
        <v>195</v>
      </c>
      <c r="K164" t="s">
        <v>215</v>
      </c>
      <c r="L164">
        <v>87</v>
      </c>
      <c r="M164">
        <v>0.94408918393393304</v>
      </c>
      <c r="N164">
        <v>0.92125726920973305</v>
      </c>
      <c r="O164">
        <v>2</v>
      </c>
      <c r="P164">
        <v>5581</v>
      </c>
      <c r="Q164">
        <v>8698</v>
      </c>
      <c r="R164" t="s">
        <v>41</v>
      </c>
      <c r="S164">
        <v>2021</v>
      </c>
      <c r="T164" s="40">
        <f>IF(R164="IRRIGATED",IF(F164&gt;=SCORES!I$6,1,0),"")</f>
        <v>0</v>
      </c>
    </row>
    <row r="165" spans="1:20" hidden="1" x14ac:dyDescent="0.25">
      <c r="A165">
        <v>5823.9955089442101</v>
      </c>
      <c r="B165">
        <v>46.8</v>
      </c>
      <c r="C165" t="s">
        <v>59</v>
      </c>
      <c r="D165">
        <v>2</v>
      </c>
      <c r="E165">
        <v>222</v>
      </c>
      <c r="F165">
        <v>280</v>
      </c>
      <c r="G165">
        <v>24</v>
      </c>
      <c r="H165">
        <v>4.2348140080079998E-2</v>
      </c>
      <c r="I165">
        <v>0.47410283662738101</v>
      </c>
      <c r="J165">
        <v>194</v>
      </c>
      <c r="K165" t="s">
        <v>215</v>
      </c>
      <c r="L165">
        <v>118</v>
      </c>
      <c r="M165">
        <v>0.94432407772198301</v>
      </c>
      <c r="N165">
        <v>0.93157690455994702</v>
      </c>
      <c r="O165">
        <v>2</v>
      </c>
      <c r="P165">
        <v>6356</v>
      </c>
      <c r="Q165">
        <v>8853</v>
      </c>
      <c r="R165" t="s">
        <v>41</v>
      </c>
      <c r="S165">
        <v>2022</v>
      </c>
      <c r="T165" s="40">
        <f>IF(R165="IRRIGATED",IF(F165&gt;=SCORES!I$6,1,0),"")</f>
        <v>0</v>
      </c>
    </row>
    <row r="166" spans="1:20" hidden="1" x14ac:dyDescent="0.25">
      <c r="A166">
        <v>4004.6214826463402</v>
      </c>
      <c r="B166">
        <v>30.2</v>
      </c>
      <c r="C166" t="s">
        <v>59</v>
      </c>
      <c r="D166">
        <v>2</v>
      </c>
      <c r="E166">
        <v>249</v>
      </c>
      <c r="F166">
        <v>296</v>
      </c>
      <c r="G166">
        <v>42</v>
      </c>
      <c r="H166">
        <v>0.131231891001617</v>
      </c>
      <c r="I166">
        <v>0.64136106540455595</v>
      </c>
      <c r="J166">
        <v>205</v>
      </c>
      <c r="K166" t="s">
        <v>215</v>
      </c>
      <c r="L166">
        <v>1106</v>
      </c>
      <c r="M166">
        <v>0.94405255326648296</v>
      </c>
      <c r="N166">
        <v>0.426387602981812</v>
      </c>
      <c r="O166">
        <v>1</v>
      </c>
      <c r="P166">
        <v>4615</v>
      </c>
      <c r="Q166">
        <v>5289</v>
      </c>
      <c r="R166" t="s">
        <v>41</v>
      </c>
      <c r="S166">
        <v>2022</v>
      </c>
      <c r="T166" s="40">
        <f>IF(R166="IRRIGATED",IF(F166&gt;=SCORES!I$6,1,0),"")</f>
        <v>0</v>
      </c>
    </row>
    <row r="167" spans="1:20" hidden="1" x14ac:dyDescent="0.25">
      <c r="A167">
        <v>1596.0865662609799</v>
      </c>
      <c r="B167">
        <v>13.6</v>
      </c>
      <c r="C167" t="s">
        <v>59</v>
      </c>
      <c r="D167">
        <v>2</v>
      </c>
      <c r="E167">
        <v>212</v>
      </c>
      <c r="F167">
        <v>244</v>
      </c>
      <c r="G167">
        <v>0</v>
      </c>
      <c r="J167">
        <v>211</v>
      </c>
      <c r="K167" t="s">
        <v>215</v>
      </c>
      <c r="L167">
        <v>1158</v>
      </c>
      <c r="M167">
        <v>0.95435267619954101</v>
      </c>
      <c r="N167">
        <v>0.41419999383122402</v>
      </c>
      <c r="O167">
        <v>1</v>
      </c>
      <c r="P167">
        <v>4793</v>
      </c>
      <c r="R167" t="s">
        <v>57</v>
      </c>
      <c r="S167">
        <v>2018</v>
      </c>
      <c r="T167" s="40" t="str">
        <f>IF(R167="IRRIGATED",IF(F167&gt;=SCORES!I$6,1,0),"")</f>
        <v/>
      </c>
    </row>
    <row r="168" spans="1:20" hidden="1" x14ac:dyDescent="0.25">
      <c r="A168">
        <v>611.32788979757197</v>
      </c>
      <c r="B168">
        <v>5.9</v>
      </c>
      <c r="C168" t="s">
        <v>59</v>
      </c>
      <c r="D168">
        <v>2</v>
      </c>
      <c r="E168">
        <v>202</v>
      </c>
      <c r="F168">
        <v>220</v>
      </c>
      <c r="G168">
        <v>0</v>
      </c>
      <c r="J168">
        <v>192</v>
      </c>
      <c r="K168" t="s">
        <v>215</v>
      </c>
      <c r="L168">
        <v>51</v>
      </c>
      <c r="M168">
        <v>0.95441365352000995</v>
      </c>
      <c r="N168">
        <v>0.91788744358061303</v>
      </c>
      <c r="O168">
        <v>2</v>
      </c>
      <c r="P168">
        <v>5126</v>
      </c>
      <c r="R168" t="s">
        <v>57</v>
      </c>
      <c r="S168">
        <v>2018</v>
      </c>
      <c r="T168" s="40" t="str">
        <f>IF(R168="IRRIGATED",IF(F168&gt;=SCORES!I$6,1,0),"")</f>
        <v/>
      </c>
    </row>
    <row r="169" spans="1:20" hidden="1" x14ac:dyDescent="0.25">
      <c r="A169">
        <v>1871.1957558742299</v>
      </c>
      <c r="B169">
        <v>14</v>
      </c>
      <c r="C169" t="s">
        <v>59</v>
      </c>
      <c r="D169">
        <v>2</v>
      </c>
      <c r="E169">
        <v>180</v>
      </c>
      <c r="F169">
        <v>210</v>
      </c>
      <c r="G169">
        <v>0</v>
      </c>
      <c r="J169">
        <v>182</v>
      </c>
      <c r="K169" t="s">
        <v>215</v>
      </c>
      <c r="L169">
        <v>1038</v>
      </c>
      <c r="M169">
        <v>0.93493883519485199</v>
      </c>
      <c r="N169">
        <v>0.325835692449092</v>
      </c>
      <c r="O169">
        <v>1</v>
      </c>
      <c r="P169">
        <v>3281</v>
      </c>
      <c r="R169" t="s">
        <v>57</v>
      </c>
      <c r="S169">
        <v>2019</v>
      </c>
      <c r="T169" s="40" t="str">
        <f>IF(R169="IRRIGATED",IF(F169&gt;=SCORES!I$6,1,0),"")</f>
        <v/>
      </c>
    </row>
    <row r="170" spans="1:20" hidden="1" x14ac:dyDescent="0.25">
      <c r="A170">
        <v>978.73345579923796</v>
      </c>
      <c r="B170">
        <v>7.6</v>
      </c>
      <c r="C170" t="s">
        <v>59</v>
      </c>
      <c r="D170">
        <v>2</v>
      </c>
      <c r="E170">
        <v>184</v>
      </c>
      <c r="F170">
        <v>212</v>
      </c>
      <c r="G170">
        <v>0</v>
      </c>
      <c r="J170">
        <v>175</v>
      </c>
      <c r="K170" t="s">
        <v>215</v>
      </c>
      <c r="L170">
        <v>94</v>
      </c>
      <c r="M170">
        <v>0.93664637163638997</v>
      </c>
      <c r="N170">
        <v>0.93307420831978105</v>
      </c>
      <c r="O170">
        <v>2</v>
      </c>
      <c r="P170">
        <v>5081</v>
      </c>
      <c r="R170" t="s">
        <v>57</v>
      </c>
      <c r="S170">
        <v>2019</v>
      </c>
      <c r="T170" s="40" t="str">
        <f>IF(R170="IRRIGATED",IF(F170&gt;=SCORES!I$6,1,0),"")</f>
        <v/>
      </c>
    </row>
    <row r="171" spans="1:20" hidden="1" x14ac:dyDescent="0.25">
      <c r="A171">
        <v>2373.1180318533902</v>
      </c>
      <c r="B171">
        <v>22.6</v>
      </c>
      <c r="C171" t="s">
        <v>59</v>
      </c>
      <c r="D171">
        <v>2</v>
      </c>
      <c r="E171">
        <v>173</v>
      </c>
      <c r="F171">
        <v>244</v>
      </c>
      <c r="G171">
        <v>0</v>
      </c>
      <c r="J171">
        <v>202</v>
      </c>
      <c r="K171" t="s">
        <v>215</v>
      </c>
      <c r="L171">
        <v>1146</v>
      </c>
      <c r="M171">
        <v>0.94858677542160097</v>
      </c>
      <c r="N171">
        <v>0.53566960815738496</v>
      </c>
      <c r="O171">
        <v>1</v>
      </c>
      <c r="P171">
        <v>2659</v>
      </c>
      <c r="R171" t="s">
        <v>57</v>
      </c>
      <c r="S171">
        <v>2020</v>
      </c>
      <c r="T171" s="40" t="str">
        <f>IF(R171="IRRIGATED",IF(F171&gt;=SCORES!I$6,1,0),"")</f>
        <v/>
      </c>
    </row>
    <row r="172" spans="1:20" hidden="1" x14ac:dyDescent="0.25">
      <c r="A172">
        <v>847.05382950554895</v>
      </c>
      <c r="B172">
        <v>8.8000000000000007</v>
      </c>
      <c r="C172" t="s">
        <v>59</v>
      </c>
      <c r="D172">
        <v>2</v>
      </c>
      <c r="E172">
        <v>199</v>
      </c>
      <c r="F172">
        <v>248</v>
      </c>
      <c r="G172">
        <v>0</v>
      </c>
      <c r="J172">
        <v>190</v>
      </c>
      <c r="K172" t="s">
        <v>215</v>
      </c>
      <c r="L172">
        <v>94</v>
      </c>
      <c r="M172">
        <v>0.94869738213521604</v>
      </c>
      <c r="N172">
        <v>0.92253436103433295</v>
      </c>
      <c r="O172">
        <v>2</v>
      </c>
      <c r="P172">
        <v>4286</v>
      </c>
      <c r="R172" t="s">
        <v>57</v>
      </c>
      <c r="S172">
        <v>2020</v>
      </c>
      <c r="T172" s="40" t="str">
        <f>IF(R172="IRRIGATED",IF(F172&gt;=SCORES!I$6,1,0),"")</f>
        <v/>
      </c>
    </row>
    <row r="173" spans="1:20" hidden="1" x14ac:dyDescent="0.25">
      <c r="A173">
        <v>2209.5633261469302</v>
      </c>
      <c r="B173">
        <v>24.9</v>
      </c>
      <c r="C173" t="s">
        <v>59</v>
      </c>
      <c r="D173">
        <v>2</v>
      </c>
      <c r="E173">
        <v>143</v>
      </c>
      <c r="F173">
        <v>194</v>
      </c>
      <c r="G173">
        <v>0</v>
      </c>
      <c r="J173">
        <v>152</v>
      </c>
      <c r="K173" t="s">
        <v>215</v>
      </c>
      <c r="L173">
        <v>756</v>
      </c>
      <c r="M173">
        <v>0.94430196089373397</v>
      </c>
      <c r="N173">
        <v>0.391625437636973</v>
      </c>
      <c r="O173">
        <v>1</v>
      </c>
      <c r="P173">
        <v>2449</v>
      </c>
      <c r="R173" t="s">
        <v>57</v>
      </c>
      <c r="S173">
        <v>2021</v>
      </c>
      <c r="T173" s="40" t="str">
        <f>IF(R173="IRRIGATED",IF(F173&gt;=SCORES!I$6,1,0),"")</f>
        <v/>
      </c>
    </row>
    <row r="174" spans="1:20" hidden="1" x14ac:dyDescent="0.25">
      <c r="A174">
        <v>540.83614711940902</v>
      </c>
      <c r="B174">
        <v>6.3</v>
      </c>
      <c r="C174" t="s">
        <v>59</v>
      </c>
      <c r="D174">
        <v>2</v>
      </c>
      <c r="E174">
        <v>205</v>
      </c>
      <c r="F174">
        <v>262</v>
      </c>
      <c r="G174">
        <v>0</v>
      </c>
      <c r="J174">
        <v>194</v>
      </c>
      <c r="K174" t="s">
        <v>215</v>
      </c>
      <c r="L174">
        <v>87</v>
      </c>
      <c r="M174">
        <v>0.94408918393393304</v>
      </c>
      <c r="N174">
        <v>0.92125726920973305</v>
      </c>
      <c r="O174">
        <v>2</v>
      </c>
      <c r="P174">
        <v>4665</v>
      </c>
      <c r="R174" t="s">
        <v>57</v>
      </c>
      <c r="S174">
        <v>2021</v>
      </c>
      <c r="T174" s="40" t="str">
        <f>IF(R174="IRRIGATED",IF(F174&gt;=SCORES!I$6,1,0),"")</f>
        <v/>
      </c>
    </row>
    <row r="175" spans="1:20" hidden="1" x14ac:dyDescent="0.25">
      <c r="A175">
        <v>3518.24309031649</v>
      </c>
      <c r="B175">
        <v>26.5</v>
      </c>
      <c r="C175" t="s">
        <v>59</v>
      </c>
      <c r="D175">
        <v>2</v>
      </c>
      <c r="E175">
        <v>193</v>
      </c>
      <c r="F175">
        <v>238</v>
      </c>
      <c r="G175">
        <v>0</v>
      </c>
      <c r="J175">
        <v>195</v>
      </c>
      <c r="K175" t="s">
        <v>215</v>
      </c>
      <c r="L175">
        <v>990</v>
      </c>
      <c r="M175">
        <v>0.94405255326648296</v>
      </c>
      <c r="N175">
        <v>0.426387602981812</v>
      </c>
      <c r="O175">
        <v>1</v>
      </c>
      <c r="P175">
        <v>3581</v>
      </c>
      <c r="R175" t="s">
        <v>57</v>
      </c>
      <c r="S175">
        <v>2022</v>
      </c>
      <c r="T175" s="40" t="str">
        <f>IF(R175="IRRIGATED",IF(F175&gt;=SCORES!I$6,1,0),"")</f>
        <v/>
      </c>
    </row>
    <row r="176" spans="1:20" hidden="1" x14ac:dyDescent="0.25">
      <c r="A176">
        <v>1669.0939142786899</v>
      </c>
      <c r="B176">
        <v>13.4</v>
      </c>
      <c r="C176" t="s">
        <v>59</v>
      </c>
      <c r="D176">
        <v>2</v>
      </c>
      <c r="E176">
        <v>200</v>
      </c>
      <c r="F176">
        <v>250</v>
      </c>
      <c r="G176">
        <v>0</v>
      </c>
      <c r="J176">
        <v>192</v>
      </c>
      <c r="K176" t="s">
        <v>215</v>
      </c>
      <c r="L176">
        <v>120</v>
      </c>
      <c r="M176">
        <v>0.94432407772198301</v>
      </c>
      <c r="N176">
        <v>0.93157690455994702</v>
      </c>
      <c r="O176">
        <v>2</v>
      </c>
      <c r="P176">
        <v>5419</v>
      </c>
      <c r="R176" t="s">
        <v>57</v>
      </c>
      <c r="S176">
        <v>2022</v>
      </c>
      <c r="T176" s="40" t="str">
        <f>IF(R176="IRRIGATED",IF(F176&gt;=SCORES!I$6,1,0),"")</f>
        <v/>
      </c>
    </row>
    <row r="177" spans="1:20" x14ac:dyDescent="0.25">
      <c r="A177">
        <v>674.82990028568304</v>
      </c>
      <c r="B177">
        <v>5.7</v>
      </c>
      <c r="C177" t="s">
        <v>48</v>
      </c>
      <c r="D177">
        <v>8</v>
      </c>
      <c r="E177">
        <v>1041</v>
      </c>
      <c r="F177">
        <v>1197</v>
      </c>
      <c r="G177">
        <v>224</v>
      </c>
      <c r="H177">
        <v>8.9735727844073895E-2</v>
      </c>
      <c r="I177">
        <v>0.75002358981967299</v>
      </c>
      <c r="J177">
        <v>800</v>
      </c>
      <c r="K177" t="s">
        <v>215</v>
      </c>
      <c r="L177">
        <v>1503</v>
      </c>
      <c r="O177">
        <v>0</v>
      </c>
      <c r="P177">
        <v>19377</v>
      </c>
      <c r="Q177">
        <v>21259</v>
      </c>
      <c r="R177" t="s">
        <v>41</v>
      </c>
      <c r="S177">
        <v>2018</v>
      </c>
      <c r="T177" s="40">
        <f>IF(R177="IRRIGATED",IF(F177&gt;=SCORES!I$6,1,0),"")</f>
        <v>1</v>
      </c>
    </row>
    <row r="178" spans="1:20" x14ac:dyDescent="0.25">
      <c r="A178">
        <v>3035.4939721681199</v>
      </c>
      <c r="B178">
        <v>22.3</v>
      </c>
      <c r="C178" t="s">
        <v>48</v>
      </c>
      <c r="D178">
        <v>8</v>
      </c>
      <c r="E178">
        <v>974</v>
      </c>
      <c r="F178">
        <v>1097</v>
      </c>
      <c r="G178">
        <v>185</v>
      </c>
      <c r="H178">
        <v>8.7340805097124496E-2</v>
      </c>
      <c r="I178">
        <v>0.664382019266052</v>
      </c>
      <c r="J178">
        <v>776</v>
      </c>
      <c r="K178" t="s">
        <v>215</v>
      </c>
      <c r="L178">
        <v>1488</v>
      </c>
      <c r="O178">
        <v>0</v>
      </c>
      <c r="P178">
        <v>18931</v>
      </c>
      <c r="Q178">
        <v>21199</v>
      </c>
      <c r="R178" t="s">
        <v>41</v>
      </c>
      <c r="S178">
        <v>2019</v>
      </c>
      <c r="T178" s="40">
        <f>IF(R178="IRRIGATED",IF(F178&gt;=SCORES!I$6,1,0),"")</f>
        <v>1</v>
      </c>
    </row>
    <row r="179" spans="1:20" x14ac:dyDescent="0.25">
      <c r="A179">
        <v>251.174209022013</v>
      </c>
      <c r="B179">
        <v>2.4</v>
      </c>
      <c r="C179" t="s">
        <v>48</v>
      </c>
      <c r="D179">
        <v>8</v>
      </c>
      <c r="E179">
        <v>1011</v>
      </c>
      <c r="F179">
        <v>1197</v>
      </c>
      <c r="G179">
        <v>231</v>
      </c>
      <c r="H179">
        <v>0.1208179445782</v>
      </c>
      <c r="I179">
        <v>0.79095224094397198</v>
      </c>
      <c r="J179">
        <v>777</v>
      </c>
      <c r="K179" t="s">
        <v>215</v>
      </c>
      <c r="L179">
        <v>1740</v>
      </c>
      <c r="O179">
        <v>0</v>
      </c>
      <c r="P179">
        <v>16052</v>
      </c>
      <c r="Q179">
        <v>19027</v>
      </c>
      <c r="R179" t="s">
        <v>41</v>
      </c>
      <c r="S179">
        <v>2020</v>
      </c>
      <c r="T179" s="40">
        <f>IF(R179="IRRIGATED",IF(F179&gt;=SCORES!I$6,1,0),"")</f>
        <v>1</v>
      </c>
    </row>
    <row r="180" spans="1:20" x14ac:dyDescent="0.25">
      <c r="A180">
        <v>561.88326694162299</v>
      </c>
      <c r="B180">
        <v>6.2</v>
      </c>
      <c r="C180" t="s">
        <v>48</v>
      </c>
      <c r="D180">
        <v>8</v>
      </c>
      <c r="E180">
        <v>891</v>
      </c>
      <c r="F180">
        <v>1113</v>
      </c>
      <c r="G180">
        <v>209</v>
      </c>
      <c r="H180">
        <v>0.124434266924854</v>
      </c>
      <c r="I180">
        <v>0.871143462405506</v>
      </c>
      <c r="J180">
        <v>666</v>
      </c>
      <c r="K180" t="s">
        <v>215</v>
      </c>
      <c r="L180">
        <v>1281</v>
      </c>
      <c r="O180">
        <v>0</v>
      </c>
      <c r="P180">
        <v>15762</v>
      </c>
      <c r="Q180">
        <v>17790</v>
      </c>
      <c r="R180" t="s">
        <v>41</v>
      </c>
      <c r="S180">
        <v>2021</v>
      </c>
      <c r="T180" s="40">
        <f>IF(R180="IRRIGATED",IF(F180&gt;=SCORES!I$6,1,0),"")</f>
        <v>1</v>
      </c>
    </row>
    <row r="181" spans="1:20" x14ac:dyDescent="0.25">
      <c r="A181">
        <v>597.415349417936</v>
      </c>
      <c r="B181">
        <v>4.5</v>
      </c>
      <c r="C181" t="s">
        <v>48</v>
      </c>
      <c r="D181">
        <v>8</v>
      </c>
      <c r="E181">
        <v>1036</v>
      </c>
      <c r="F181">
        <v>1189</v>
      </c>
      <c r="G181">
        <v>241</v>
      </c>
      <c r="H181">
        <v>9.5291979419570502E-2</v>
      </c>
      <c r="I181">
        <v>0.83633081049462099</v>
      </c>
      <c r="J181">
        <v>783</v>
      </c>
      <c r="K181" t="s">
        <v>215</v>
      </c>
      <c r="L181">
        <v>1460</v>
      </c>
      <c r="O181">
        <v>0</v>
      </c>
      <c r="P181">
        <v>18323</v>
      </c>
      <c r="Q181">
        <v>20254</v>
      </c>
      <c r="R181" t="s">
        <v>41</v>
      </c>
      <c r="S181">
        <v>2022</v>
      </c>
      <c r="T181" s="40">
        <f>IF(R181="IRRIGATED",IF(F181&gt;=SCORES!I$6,1,0),"")</f>
        <v>1</v>
      </c>
    </row>
    <row r="182" spans="1:20" x14ac:dyDescent="0.25">
      <c r="A182">
        <v>122.039328824983</v>
      </c>
      <c r="B182">
        <v>1</v>
      </c>
      <c r="C182" t="s">
        <v>48</v>
      </c>
      <c r="D182">
        <v>8</v>
      </c>
      <c r="E182">
        <v>1012</v>
      </c>
      <c r="F182">
        <v>1185</v>
      </c>
      <c r="G182">
        <v>0</v>
      </c>
      <c r="J182">
        <v>806</v>
      </c>
      <c r="K182" t="s">
        <v>215</v>
      </c>
      <c r="L182">
        <v>1513</v>
      </c>
      <c r="O182">
        <v>0</v>
      </c>
      <c r="P182">
        <v>19070</v>
      </c>
      <c r="R182" t="s">
        <v>57</v>
      </c>
      <c r="S182">
        <v>2018</v>
      </c>
      <c r="T182" s="40" t="str">
        <f>IF(R182="IRRIGATED",IF(F182&gt;=SCORES!I$6,1,0),"")</f>
        <v/>
      </c>
    </row>
    <row r="183" spans="1:20" x14ac:dyDescent="0.25">
      <c r="A183">
        <v>738.90942443782103</v>
      </c>
      <c r="B183">
        <v>5.4</v>
      </c>
      <c r="C183" t="s">
        <v>48</v>
      </c>
      <c r="D183">
        <v>8</v>
      </c>
      <c r="E183">
        <v>934</v>
      </c>
      <c r="F183">
        <v>1057</v>
      </c>
      <c r="G183">
        <v>0</v>
      </c>
      <c r="J183">
        <v>778</v>
      </c>
      <c r="K183" t="s">
        <v>215</v>
      </c>
      <c r="L183">
        <v>1519</v>
      </c>
      <c r="O183">
        <v>0</v>
      </c>
      <c r="P183">
        <v>18414</v>
      </c>
      <c r="R183" t="s">
        <v>57</v>
      </c>
      <c r="S183">
        <v>2019</v>
      </c>
      <c r="T183" s="40" t="str">
        <f>IF(R183="IRRIGATED",IF(F183&gt;=SCORES!I$6,1,0),"")</f>
        <v/>
      </c>
    </row>
    <row r="184" spans="1:20" x14ac:dyDescent="0.25">
      <c r="A184">
        <v>55.763782093179699</v>
      </c>
      <c r="B184">
        <v>0.5</v>
      </c>
      <c r="C184" t="s">
        <v>48</v>
      </c>
      <c r="D184">
        <v>8</v>
      </c>
      <c r="E184">
        <v>954</v>
      </c>
      <c r="F184">
        <v>1173</v>
      </c>
      <c r="G184">
        <v>0</v>
      </c>
      <c r="J184">
        <v>780</v>
      </c>
      <c r="K184" t="s">
        <v>215</v>
      </c>
      <c r="L184">
        <v>1742</v>
      </c>
      <c r="O184">
        <v>0</v>
      </c>
      <c r="P184">
        <v>15452</v>
      </c>
      <c r="R184" t="s">
        <v>57</v>
      </c>
      <c r="S184">
        <v>2020</v>
      </c>
      <c r="T184" s="40" t="str">
        <f>IF(R184="IRRIGATED",IF(F184&gt;=SCORES!I$6,1,0),"")</f>
        <v/>
      </c>
    </row>
    <row r="185" spans="1:20" x14ac:dyDescent="0.25">
      <c r="A185">
        <v>87.113644428076597</v>
      </c>
      <c r="B185">
        <v>1</v>
      </c>
      <c r="C185" t="s">
        <v>48</v>
      </c>
      <c r="D185">
        <v>8</v>
      </c>
      <c r="E185">
        <v>762</v>
      </c>
      <c r="F185">
        <v>1037</v>
      </c>
      <c r="G185">
        <v>0</v>
      </c>
      <c r="J185">
        <v>634</v>
      </c>
      <c r="K185" t="s">
        <v>215</v>
      </c>
      <c r="L185">
        <v>1289</v>
      </c>
      <c r="O185">
        <v>0</v>
      </c>
      <c r="P185">
        <v>14556</v>
      </c>
      <c r="R185" t="s">
        <v>57</v>
      </c>
      <c r="S185">
        <v>2021</v>
      </c>
      <c r="T185" s="40" t="str">
        <f>IF(R185="IRRIGATED",IF(F185&gt;=SCORES!I$6,1,0),"")</f>
        <v/>
      </c>
    </row>
    <row r="186" spans="1:20" x14ac:dyDescent="0.25">
      <c r="A186">
        <v>111.561626040685</v>
      </c>
      <c r="B186">
        <v>0.8</v>
      </c>
      <c r="C186" t="s">
        <v>48</v>
      </c>
      <c r="D186">
        <v>8</v>
      </c>
      <c r="E186">
        <v>1010</v>
      </c>
      <c r="F186">
        <v>1161</v>
      </c>
      <c r="G186">
        <v>0</v>
      </c>
      <c r="J186">
        <v>785</v>
      </c>
      <c r="K186" t="s">
        <v>215</v>
      </c>
      <c r="L186">
        <v>1483</v>
      </c>
      <c r="O186">
        <v>0</v>
      </c>
      <c r="P186">
        <v>18518</v>
      </c>
      <c r="R186" t="s">
        <v>57</v>
      </c>
      <c r="S186">
        <v>2022</v>
      </c>
      <c r="T186" s="40" t="str">
        <f>IF(R186="IRRIGATED",IF(F186&gt;=SCORES!I$6,1,0),"")</f>
        <v/>
      </c>
    </row>
    <row r="187" spans="1:20" x14ac:dyDescent="0.25">
      <c r="A187">
        <v>80.534693239644398</v>
      </c>
      <c r="B187">
        <v>0.6</v>
      </c>
      <c r="C187" t="s">
        <v>42</v>
      </c>
      <c r="D187">
        <v>2</v>
      </c>
      <c r="E187">
        <v>443</v>
      </c>
      <c r="F187">
        <v>773</v>
      </c>
      <c r="G187">
        <v>80</v>
      </c>
      <c r="H187">
        <v>8.7340805097124496E-2</v>
      </c>
      <c r="I187">
        <v>0.664382019266052</v>
      </c>
      <c r="J187">
        <v>356</v>
      </c>
      <c r="K187" t="s">
        <v>215</v>
      </c>
      <c r="L187">
        <v>161</v>
      </c>
      <c r="O187">
        <v>0</v>
      </c>
      <c r="P187">
        <v>10100</v>
      </c>
      <c r="Q187">
        <v>16316</v>
      </c>
      <c r="R187" t="s">
        <v>41</v>
      </c>
      <c r="S187">
        <v>2019</v>
      </c>
      <c r="T187" s="40">
        <f>IF(R187="IRRIGATED",IF(F187&gt;=SCORES!I$6,1,0),"")</f>
        <v>1</v>
      </c>
    </row>
    <row r="188" spans="1:20" x14ac:dyDescent="0.25">
      <c r="A188">
        <v>33.569077611655402</v>
      </c>
      <c r="B188">
        <v>0.4</v>
      </c>
      <c r="C188" t="s">
        <v>42</v>
      </c>
      <c r="D188">
        <v>2</v>
      </c>
      <c r="E188">
        <v>311</v>
      </c>
      <c r="F188">
        <v>549</v>
      </c>
      <c r="G188">
        <v>48</v>
      </c>
      <c r="H188">
        <v>0.124434266924854</v>
      </c>
      <c r="I188">
        <v>0.871143462405506</v>
      </c>
      <c r="J188">
        <v>257</v>
      </c>
      <c r="K188" t="s">
        <v>215</v>
      </c>
      <c r="L188">
        <v>111</v>
      </c>
      <c r="O188">
        <v>0</v>
      </c>
      <c r="P188">
        <v>7441</v>
      </c>
      <c r="Q188">
        <v>12364</v>
      </c>
      <c r="R188" t="s">
        <v>41</v>
      </c>
      <c r="S188">
        <v>2021</v>
      </c>
      <c r="T188" s="40">
        <f>IF(R188="IRRIGATED",IF(F188&gt;=SCORES!I$6,1,0),"")</f>
        <v>1</v>
      </c>
    </row>
    <row r="189" spans="1:20" x14ac:dyDescent="0.25">
      <c r="A189">
        <v>39.735976500746702</v>
      </c>
      <c r="B189">
        <v>0.3</v>
      </c>
      <c r="C189" t="s">
        <v>42</v>
      </c>
      <c r="D189">
        <v>2</v>
      </c>
      <c r="E189">
        <v>246</v>
      </c>
      <c r="F189">
        <v>606</v>
      </c>
      <c r="G189">
        <v>0</v>
      </c>
      <c r="J189">
        <v>227</v>
      </c>
      <c r="K189" t="s">
        <v>215</v>
      </c>
      <c r="L189">
        <v>115</v>
      </c>
      <c r="O189">
        <v>0</v>
      </c>
      <c r="P189">
        <v>5780</v>
      </c>
      <c r="R189" t="s">
        <v>57</v>
      </c>
      <c r="S189">
        <v>2019</v>
      </c>
      <c r="T189" s="40" t="str">
        <f>IF(R189="IRRIGATED",IF(F189&gt;=SCORES!I$6,1,0),"")</f>
        <v/>
      </c>
    </row>
    <row r="190" spans="1:20" x14ac:dyDescent="0.25">
      <c r="A190">
        <v>13.2184320975599</v>
      </c>
      <c r="B190">
        <v>0.1</v>
      </c>
      <c r="C190" t="s">
        <v>42</v>
      </c>
      <c r="D190">
        <v>2</v>
      </c>
      <c r="E190">
        <v>179</v>
      </c>
      <c r="F190">
        <v>277</v>
      </c>
      <c r="G190">
        <v>0</v>
      </c>
      <c r="J190">
        <v>177</v>
      </c>
      <c r="K190" t="s">
        <v>215</v>
      </c>
      <c r="L190">
        <v>88</v>
      </c>
      <c r="O190">
        <v>0</v>
      </c>
      <c r="P190">
        <v>3666</v>
      </c>
      <c r="R190" t="s">
        <v>57</v>
      </c>
      <c r="S190">
        <v>2020</v>
      </c>
      <c r="T190" s="40" t="str">
        <f>IF(R190="IRRIGATED",IF(F190&gt;=SCORES!I$6,1,0),"")</f>
        <v/>
      </c>
    </row>
    <row r="191" spans="1:20" x14ac:dyDescent="0.25">
      <c r="A191">
        <v>48.515824106585903</v>
      </c>
      <c r="B191">
        <v>0.5</v>
      </c>
      <c r="C191" t="s">
        <v>42</v>
      </c>
      <c r="D191">
        <v>2</v>
      </c>
      <c r="E191">
        <v>204</v>
      </c>
      <c r="F191">
        <v>269</v>
      </c>
      <c r="G191">
        <v>0</v>
      </c>
      <c r="J191">
        <v>195</v>
      </c>
      <c r="K191" t="s">
        <v>215</v>
      </c>
      <c r="L191">
        <v>90</v>
      </c>
      <c r="O191">
        <v>0</v>
      </c>
      <c r="P191">
        <v>4645</v>
      </c>
      <c r="R191" t="s">
        <v>57</v>
      </c>
      <c r="S191">
        <v>2021</v>
      </c>
      <c r="T191" s="40" t="str">
        <f>IF(R191="IRRIGATED",IF(F191&gt;=SCORES!I$6,1,0),"")</f>
        <v/>
      </c>
    </row>
    <row r="192" spans="1:20" x14ac:dyDescent="0.25">
      <c r="A192">
        <v>107.797327464159</v>
      </c>
      <c r="B192">
        <v>0.8</v>
      </c>
      <c r="C192" t="s">
        <v>47</v>
      </c>
      <c r="D192">
        <v>7</v>
      </c>
      <c r="E192">
        <v>674</v>
      </c>
      <c r="F192">
        <v>829</v>
      </c>
      <c r="G192">
        <v>165</v>
      </c>
      <c r="H192">
        <v>8.7340805097124496E-2</v>
      </c>
      <c r="I192">
        <v>0.664382019266052</v>
      </c>
      <c r="J192">
        <v>503</v>
      </c>
      <c r="K192" t="s">
        <v>215</v>
      </c>
      <c r="L192">
        <v>840</v>
      </c>
      <c r="O192">
        <v>0</v>
      </c>
      <c r="P192">
        <v>11293</v>
      </c>
      <c r="Q192">
        <v>14816</v>
      </c>
      <c r="R192" t="s">
        <v>41</v>
      </c>
      <c r="S192">
        <v>2019</v>
      </c>
      <c r="T192" s="40">
        <f>IF(R192="IRRIGATED",IF(F192&gt;=SCORES!I$6,1,0),"")</f>
        <v>1</v>
      </c>
    </row>
    <row r="193" spans="1:20" x14ac:dyDescent="0.25">
      <c r="A193">
        <v>6.7832797368995701</v>
      </c>
      <c r="B193">
        <v>0.1</v>
      </c>
      <c r="C193" t="s">
        <v>47</v>
      </c>
      <c r="D193">
        <v>7</v>
      </c>
      <c r="E193">
        <v>762</v>
      </c>
      <c r="F193">
        <v>973</v>
      </c>
      <c r="G193">
        <v>241</v>
      </c>
      <c r="H193">
        <v>0.1208179445782</v>
      </c>
      <c r="I193">
        <v>0.79095224094397198</v>
      </c>
      <c r="J193">
        <v>520</v>
      </c>
      <c r="K193" t="s">
        <v>215</v>
      </c>
      <c r="L193">
        <v>1163</v>
      </c>
      <c r="O193">
        <v>0</v>
      </c>
      <c r="P193">
        <v>9935</v>
      </c>
      <c r="Q193">
        <v>14435</v>
      </c>
      <c r="R193" t="s">
        <v>41</v>
      </c>
      <c r="S193">
        <v>2020</v>
      </c>
      <c r="T193" s="40">
        <f>IF(R193="IRRIGATED",IF(F193&gt;=SCORES!I$6,1,0),"")</f>
        <v>1</v>
      </c>
    </row>
    <row r="194" spans="1:20" x14ac:dyDescent="0.25">
      <c r="A194">
        <v>11.209214118742</v>
      </c>
      <c r="B194">
        <v>0.1</v>
      </c>
      <c r="C194" t="s">
        <v>47</v>
      </c>
      <c r="D194">
        <v>7</v>
      </c>
      <c r="E194">
        <v>786</v>
      </c>
      <c r="F194">
        <v>953</v>
      </c>
      <c r="G194">
        <v>288</v>
      </c>
      <c r="H194">
        <v>0.124434266924854</v>
      </c>
      <c r="I194">
        <v>0.871143462405506</v>
      </c>
      <c r="J194">
        <v>484</v>
      </c>
      <c r="K194" t="s">
        <v>215</v>
      </c>
      <c r="L194">
        <v>947</v>
      </c>
      <c r="O194">
        <v>0</v>
      </c>
      <c r="P194">
        <v>10118</v>
      </c>
      <c r="Q194">
        <v>12563</v>
      </c>
      <c r="R194" t="s">
        <v>41</v>
      </c>
      <c r="S194">
        <v>2021</v>
      </c>
      <c r="T194" s="40">
        <f>IF(R194="IRRIGATED",IF(F194&gt;=SCORES!I$6,1,0),"")</f>
        <v>1</v>
      </c>
    </row>
    <row r="195" spans="1:20" x14ac:dyDescent="0.25">
      <c r="A195">
        <v>7.8892189413811202</v>
      </c>
      <c r="B195">
        <v>0.1</v>
      </c>
      <c r="C195" t="s">
        <v>43</v>
      </c>
      <c r="D195">
        <v>3</v>
      </c>
      <c r="E195">
        <v>375</v>
      </c>
      <c r="F195">
        <v>513</v>
      </c>
      <c r="G195">
        <v>101</v>
      </c>
      <c r="H195">
        <v>8.7340805097124496E-2</v>
      </c>
      <c r="I195">
        <v>0.664382019266052</v>
      </c>
      <c r="J195">
        <v>270</v>
      </c>
      <c r="K195" t="s">
        <v>215</v>
      </c>
      <c r="L195">
        <v>128</v>
      </c>
      <c r="O195">
        <v>0</v>
      </c>
      <c r="P195">
        <v>4467</v>
      </c>
      <c r="Q195">
        <v>8213</v>
      </c>
      <c r="R195" t="s">
        <v>41</v>
      </c>
      <c r="S195">
        <v>2019</v>
      </c>
      <c r="T195" s="40">
        <f>IF(R195="IRRIGATED",IF(F195&gt;=SCORES!I$6,1,0),"")</f>
        <v>1</v>
      </c>
    </row>
    <row r="196" spans="1:20" hidden="1" x14ac:dyDescent="0.25">
      <c r="T196" s="40" t="str">
        <f>IF(R196="IRRIGATED",IF(F196&gt;=SCORES!I$6,1,0),"")</f>
        <v/>
      </c>
    </row>
    <row r="197" spans="1:20" hidden="1" x14ac:dyDescent="0.25">
      <c r="T197" s="40" t="str">
        <f>IF(R197="IRRIGATED",IF(F197&gt;=SCORES!I$6,1,0),"")</f>
        <v/>
      </c>
    </row>
    <row r="198" spans="1:20" hidden="1" x14ac:dyDescent="0.25">
      <c r="T198" s="40" t="str">
        <f>IF(R198="IRRIGATED",IF(F198&gt;=SCORES!I$6,1,0),"")</f>
        <v/>
      </c>
    </row>
    <row r="199" spans="1:20" hidden="1" x14ac:dyDescent="0.25">
      <c r="T199" s="40" t="str">
        <f>IF(R199="IRRIGATED",IF(F199&gt;=SCORES!I$6,1,0),"")</f>
        <v/>
      </c>
    </row>
    <row r="200" spans="1:20" hidden="1" x14ac:dyDescent="0.25">
      <c r="T200" s="40" t="str">
        <f>IF(R200="IRRIGATED",IF(F200&gt;=SCORES!I$6,1,0),"")</f>
        <v/>
      </c>
    </row>
    <row r="201" spans="1:20" hidden="1" x14ac:dyDescent="0.25">
      <c r="T201" s="40" t="str">
        <f>IF(R201="IRRIGATED",IF(F201&gt;=SCORES!I$6,1,0),"")</f>
        <v/>
      </c>
    </row>
    <row r="202" spans="1:20" hidden="1" x14ac:dyDescent="0.25">
      <c r="T202" s="40" t="str">
        <f>IF(R202="IRRIGATED",IF(F202&gt;=SCORES!I$6,1,0),"")</f>
        <v/>
      </c>
    </row>
    <row r="203" spans="1:20" hidden="1" x14ac:dyDescent="0.25">
      <c r="T203" s="40" t="str">
        <f>IF(R203="IRRIGATED",IF(F203&gt;=SCORES!I$6,1,0),"")</f>
        <v/>
      </c>
    </row>
    <row r="204" spans="1:20" hidden="1" x14ac:dyDescent="0.25">
      <c r="T204" s="40" t="str">
        <f>IF(R204="IRRIGATED",IF(F204&gt;=SCORES!I$6,1,0),"")</f>
        <v/>
      </c>
    </row>
    <row r="205" spans="1:20" hidden="1" x14ac:dyDescent="0.25">
      <c r="T205" s="40" t="str">
        <f>IF(R205="IRRIGATED",IF(F205&gt;=SCORES!I$6,1,0),"")</f>
        <v/>
      </c>
    </row>
    <row r="206" spans="1:20" hidden="1" x14ac:dyDescent="0.25">
      <c r="T206" s="40" t="str">
        <f>IF(R206="IRRIGATED",IF(F206&gt;=SCORES!I$6,1,0),"")</f>
        <v/>
      </c>
    </row>
    <row r="207" spans="1:20" hidden="1" x14ac:dyDescent="0.25">
      <c r="T207" s="40" t="str">
        <f>IF(R207="IRRIGATED",IF(F207&gt;=SCORES!I$6,1,0),"")</f>
        <v/>
      </c>
    </row>
    <row r="208" spans="1:20" hidden="1" x14ac:dyDescent="0.25">
      <c r="T208" s="40" t="str">
        <f>IF(R208="IRRIGATED",IF(F208&gt;=SCORES!I$6,1,0),"")</f>
        <v/>
      </c>
    </row>
    <row r="209" spans="20:20" hidden="1" x14ac:dyDescent="0.25">
      <c r="T209" s="40" t="str">
        <f>IF(R209="IRRIGATED",IF(F209&gt;=SCORES!I$6,1,0),"")</f>
        <v/>
      </c>
    </row>
    <row r="210" spans="20:20" hidden="1" x14ac:dyDescent="0.25">
      <c r="T210" s="40" t="str">
        <f>IF(R210="IRRIGATED",IF(F210&gt;=SCORES!I$6,1,0),"")</f>
        <v/>
      </c>
    </row>
    <row r="211" spans="20:20" hidden="1" x14ac:dyDescent="0.25">
      <c r="T211" s="40" t="str">
        <f>IF(R211="IRRIGATED",IF(F211&gt;=SCORES!I$6,1,0),"")</f>
        <v/>
      </c>
    </row>
    <row r="212" spans="20:20" hidden="1" x14ac:dyDescent="0.25">
      <c r="T212" s="40" t="str">
        <f>IF(R212="IRRIGATED",IF(F212&gt;=SCORES!I$6,1,0),"")</f>
        <v/>
      </c>
    </row>
    <row r="213" spans="20:20" hidden="1" x14ac:dyDescent="0.25">
      <c r="T213" s="40" t="str">
        <f>IF(R213="IRRIGATED",IF(F213&gt;=SCORES!I$6,1,0),"")</f>
        <v/>
      </c>
    </row>
    <row r="214" spans="20:20" hidden="1" x14ac:dyDescent="0.25">
      <c r="T214" s="40" t="str">
        <f>IF(R214="IRRIGATED",IF(F214&gt;=SCORES!I$6,1,0),"")</f>
        <v/>
      </c>
    </row>
    <row r="215" spans="20:20" hidden="1" x14ac:dyDescent="0.25">
      <c r="T215" s="40" t="str">
        <f>IF(R215="IRRIGATED",IF(F215&gt;=SCORES!I$6,1,0),"")</f>
        <v/>
      </c>
    </row>
    <row r="216" spans="20:20" hidden="1" x14ac:dyDescent="0.25">
      <c r="T216" s="40" t="str">
        <f>IF(R216="IRRIGATED",IF(F216&gt;=SCORES!I$6,1,0),"")</f>
        <v/>
      </c>
    </row>
    <row r="217" spans="20:20" hidden="1" x14ac:dyDescent="0.25">
      <c r="T217" s="40" t="str">
        <f>IF(R217="IRRIGATED",IF(F217&gt;=SCORES!I$6,1,0),"")</f>
        <v/>
      </c>
    </row>
    <row r="218" spans="20:20" hidden="1" x14ac:dyDescent="0.25">
      <c r="T218" s="40" t="str">
        <f>IF(R218="IRRIGATED",IF(F218&gt;=SCORES!I$6,1,0),"")</f>
        <v/>
      </c>
    </row>
    <row r="219" spans="20:20" hidden="1" x14ac:dyDescent="0.25">
      <c r="T219" s="40" t="str">
        <f>IF(R219="IRRIGATED",IF(F219&gt;=SCORES!I$6,1,0),"")</f>
        <v/>
      </c>
    </row>
    <row r="220" spans="20:20" hidden="1" x14ac:dyDescent="0.25">
      <c r="T220" s="40" t="str">
        <f>IF(R220="IRRIGATED",IF(F220&gt;=SCORES!I$6,1,0),"")</f>
        <v/>
      </c>
    </row>
    <row r="221" spans="20:20" hidden="1" x14ac:dyDescent="0.25">
      <c r="T221" s="40" t="str">
        <f>IF(R221="IRRIGATED",IF(F221&gt;=SCORES!I$6,1,0),"")</f>
        <v/>
      </c>
    </row>
    <row r="222" spans="20:20" hidden="1" x14ac:dyDescent="0.25">
      <c r="T222" s="40" t="str">
        <f>IF(R222="IRRIGATED",IF(F222&gt;=SCORES!I$6,1,0),"")</f>
        <v/>
      </c>
    </row>
    <row r="223" spans="20:20" hidden="1" x14ac:dyDescent="0.25">
      <c r="T223" s="40" t="str">
        <f>IF(R223="IRRIGATED",IF(F223&gt;=SCORES!I$6,1,0),"")</f>
        <v/>
      </c>
    </row>
    <row r="224" spans="20:20" hidden="1" x14ac:dyDescent="0.25">
      <c r="T224" s="40" t="str">
        <f>IF(R224="IRRIGATED",IF(F224&gt;=SCORES!I$6,1,0),"")</f>
        <v/>
      </c>
    </row>
    <row r="225" spans="20:20" hidden="1" x14ac:dyDescent="0.25">
      <c r="T225" s="40" t="str">
        <f>IF(R225="IRRIGATED",IF(F225&gt;=SCORES!I$6,1,0),"")</f>
        <v/>
      </c>
    </row>
    <row r="226" spans="20:20" hidden="1" x14ac:dyDescent="0.25">
      <c r="T226" s="40" t="str">
        <f>IF(R226="IRRIGATED",IF(F226&gt;=SCORES!I$6,1,0),"")</f>
        <v/>
      </c>
    </row>
    <row r="227" spans="20:20" hidden="1" x14ac:dyDescent="0.25">
      <c r="T227" s="40" t="str">
        <f>IF(R227="IRRIGATED",IF(F227&gt;=SCORES!I$6,1,0),"")</f>
        <v/>
      </c>
    </row>
    <row r="228" spans="20:20" hidden="1" x14ac:dyDescent="0.25">
      <c r="T228" s="40" t="str">
        <f>IF(R228="IRRIGATED",IF(F228&gt;=SCORES!I$6,1,0),"")</f>
        <v/>
      </c>
    </row>
    <row r="229" spans="20:20" hidden="1" x14ac:dyDescent="0.25">
      <c r="T229" s="40" t="str">
        <f>IF(R229="IRRIGATED",IF(F229&gt;=SCORES!I$6,1,0),"")</f>
        <v/>
      </c>
    </row>
    <row r="230" spans="20:20" hidden="1" x14ac:dyDescent="0.25">
      <c r="T230" s="40" t="str">
        <f>IF(R230="IRRIGATED",IF(F230&gt;=SCORES!I$6,1,0),"")</f>
        <v/>
      </c>
    </row>
    <row r="231" spans="20:20" hidden="1" x14ac:dyDescent="0.25">
      <c r="T231" s="40" t="str">
        <f>IF(R231="IRRIGATED",IF(F231&gt;=SCORES!I$6,1,0),"")</f>
        <v/>
      </c>
    </row>
    <row r="232" spans="20:20" hidden="1" x14ac:dyDescent="0.25">
      <c r="T232" s="40" t="str">
        <f>IF(R232="IRRIGATED",IF(F232&gt;=SCORES!I$6,1,0),"")</f>
        <v/>
      </c>
    </row>
    <row r="233" spans="20:20" hidden="1" x14ac:dyDescent="0.25">
      <c r="T233" s="40" t="str">
        <f>IF(R233="IRRIGATED",IF(F233&gt;=SCORES!I$6,1,0),"")</f>
        <v/>
      </c>
    </row>
    <row r="234" spans="20:20" hidden="1" x14ac:dyDescent="0.25">
      <c r="T234" s="40" t="str">
        <f>IF(R234="IRRIGATED",IF(F234&gt;=SCORES!I$6,1,0),"")</f>
        <v/>
      </c>
    </row>
    <row r="235" spans="20:20" hidden="1" x14ac:dyDescent="0.25">
      <c r="T235" s="40" t="str">
        <f>IF(R235="IRRIGATED",IF(F235&gt;=SCORES!I$6,1,0),"")</f>
        <v/>
      </c>
    </row>
    <row r="236" spans="20:20" hidden="1" x14ac:dyDescent="0.25">
      <c r="T236" s="40" t="str">
        <f>IF(R236="IRRIGATED",IF(F236&gt;=SCORES!I$6,1,0),"")</f>
        <v/>
      </c>
    </row>
    <row r="237" spans="20:20" hidden="1" x14ac:dyDescent="0.25">
      <c r="T237" s="40" t="str">
        <f>IF(R237="IRRIGATED",IF(F237&gt;=SCORES!I$6,1,0),"")</f>
        <v/>
      </c>
    </row>
    <row r="238" spans="20:20" hidden="1" x14ac:dyDescent="0.25">
      <c r="T238" s="40" t="str">
        <f>IF(R238="IRRIGATED",IF(F238&gt;=SCORES!I$6,1,0),"")</f>
        <v/>
      </c>
    </row>
    <row r="239" spans="20:20" hidden="1" x14ac:dyDescent="0.25">
      <c r="T239" s="40" t="str">
        <f>IF(R239="IRRIGATED",IF(F239&gt;=SCORES!I$6,1,0),"")</f>
        <v/>
      </c>
    </row>
    <row r="240" spans="20:20" hidden="1" x14ac:dyDescent="0.25">
      <c r="T240" s="40" t="str">
        <f>IF(R240="IRRIGATED",IF(F240&gt;=SCORES!I$6,1,0),"")</f>
        <v/>
      </c>
    </row>
    <row r="241" spans="20:20" hidden="1" x14ac:dyDescent="0.25">
      <c r="T241" s="40" t="str">
        <f>IF(R241="IRRIGATED",IF(F241&gt;=SCORES!I$6,1,0),"")</f>
        <v/>
      </c>
    </row>
    <row r="242" spans="20:20" hidden="1" x14ac:dyDescent="0.25">
      <c r="T242" s="40" t="str">
        <f>IF(R242="IRRIGATED",IF(F242&gt;=SCORES!I$6,1,0),"")</f>
        <v/>
      </c>
    </row>
    <row r="243" spans="20:20" hidden="1" x14ac:dyDescent="0.25">
      <c r="T243" s="40" t="str">
        <f>IF(R243="IRRIGATED",IF(F243&gt;=SCORES!I$6,1,0),"")</f>
        <v/>
      </c>
    </row>
    <row r="244" spans="20:20" hidden="1" x14ac:dyDescent="0.25">
      <c r="T244" s="40" t="str">
        <f>IF(R244="IRRIGATED",IF(F244&gt;=SCORES!I$6,1,0),"")</f>
        <v/>
      </c>
    </row>
    <row r="245" spans="20:20" hidden="1" x14ac:dyDescent="0.25">
      <c r="T245" s="40" t="str">
        <f>IF(R245="IRRIGATED",IF(F245&gt;=SCORES!I$6,1,0),"")</f>
        <v/>
      </c>
    </row>
    <row r="246" spans="20:20" hidden="1" x14ac:dyDescent="0.25">
      <c r="T246" s="40" t="str">
        <f>IF(R246="IRRIGATED",IF(F246&gt;=SCORES!I$6,1,0),"")</f>
        <v/>
      </c>
    </row>
    <row r="247" spans="20:20" hidden="1" x14ac:dyDescent="0.25">
      <c r="T247" s="40" t="str">
        <f>IF(R247="IRRIGATED",IF(F247&gt;=SCORES!I$6,1,0),"")</f>
        <v/>
      </c>
    </row>
    <row r="248" spans="20:20" hidden="1" x14ac:dyDescent="0.25">
      <c r="T248" s="40" t="str">
        <f>IF(R248="IRRIGATED",IF(F248&gt;=SCORES!I$6,1,0),"")</f>
        <v/>
      </c>
    </row>
    <row r="249" spans="20:20" hidden="1" x14ac:dyDescent="0.25">
      <c r="T249" s="40" t="str">
        <f>IF(R249="IRRIGATED",IF(F249&gt;=SCORES!I$6,1,0),"")</f>
        <v/>
      </c>
    </row>
    <row r="250" spans="20:20" hidden="1" x14ac:dyDescent="0.25">
      <c r="T250" s="40" t="str">
        <f>IF(R250="IRRIGATED",IF(F250&gt;=SCORES!I$6,1,0),"")</f>
        <v/>
      </c>
    </row>
    <row r="251" spans="20:20" hidden="1" x14ac:dyDescent="0.25">
      <c r="T251" s="40" t="str">
        <f>IF(R251="IRRIGATED",IF(F251&gt;=SCORES!I$6,1,0),"")</f>
        <v/>
      </c>
    </row>
    <row r="252" spans="20:20" hidden="1" x14ac:dyDescent="0.25">
      <c r="T252" s="40" t="str">
        <f>IF(R252="IRRIGATED",IF(F252&gt;=SCORES!I$6,1,0),"")</f>
        <v/>
      </c>
    </row>
    <row r="253" spans="20:20" hidden="1" x14ac:dyDescent="0.25">
      <c r="T253" s="40" t="str">
        <f>IF(R253="IRRIGATED",IF(F253&gt;=SCORES!I$6,1,0),"")</f>
        <v/>
      </c>
    </row>
    <row r="254" spans="20:20" hidden="1" x14ac:dyDescent="0.25">
      <c r="T254" s="40" t="str">
        <f>IF(R254="IRRIGATED",IF(F254&gt;=SCORES!I$6,1,0),"")</f>
        <v/>
      </c>
    </row>
    <row r="255" spans="20:20" hidden="1" x14ac:dyDescent="0.25">
      <c r="T255" s="40" t="str">
        <f>IF(R255="IRRIGATED",IF(F255&gt;=SCORES!I$6,1,0),"")</f>
        <v/>
      </c>
    </row>
    <row r="256" spans="20:20" hidden="1" x14ac:dyDescent="0.25">
      <c r="T256" s="40" t="str">
        <f>IF(R256="IRRIGATED",IF(F256&gt;=SCORES!I$6,1,0),"")</f>
        <v/>
      </c>
    </row>
    <row r="257" spans="20:20" hidden="1" x14ac:dyDescent="0.25">
      <c r="T257" s="40" t="str">
        <f>IF(R257="IRRIGATED",IF(F257&gt;=SCORES!I$6,1,0),"")</f>
        <v/>
      </c>
    </row>
    <row r="258" spans="20:20" hidden="1" x14ac:dyDescent="0.25">
      <c r="T258" s="40" t="str">
        <f>IF(R258="IRRIGATED",IF(F258&gt;=SCORES!I$6,1,0),"")</f>
        <v/>
      </c>
    </row>
    <row r="259" spans="20:20" hidden="1" x14ac:dyDescent="0.25">
      <c r="T259" s="40" t="str">
        <f>IF(R259="IRRIGATED",IF(F259&gt;=SCORES!I$6,1,0),"")</f>
        <v/>
      </c>
    </row>
    <row r="260" spans="20:20" hidden="1" x14ac:dyDescent="0.25">
      <c r="T260" s="40" t="str">
        <f>IF(R260="IRRIGATED",IF(F260&gt;=SCORES!I$6,1,0),"")</f>
        <v/>
      </c>
    </row>
    <row r="261" spans="20:20" hidden="1" x14ac:dyDescent="0.25">
      <c r="T261" s="40" t="str">
        <f>IF(R261="IRRIGATED",IF(F261&gt;=SCORES!I$6,1,0),"")</f>
        <v/>
      </c>
    </row>
    <row r="262" spans="20:20" hidden="1" x14ac:dyDescent="0.25">
      <c r="T262" s="40" t="str">
        <f>IF(R262="IRRIGATED",IF(F262&gt;=SCORES!I$6,1,0),"")</f>
        <v/>
      </c>
    </row>
    <row r="263" spans="20:20" hidden="1" x14ac:dyDescent="0.25">
      <c r="T263" s="40" t="str">
        <f>IF(R263="IRRIGATED",IF(F263&gt;=SCORES!I$6,1,0),"")</f>
        <v/>
      </c>
    </row>
    <row r="264" spans="20:20" hidden="1" x14ac:dyDescent="0.25">
      <c r="T264" s="40" t="str">
        <f>IF(R264="IRRIGATED",IF(F264&gt;=SCORES!I$6,1,0),"")</f>
        <v/>
      </c>
    </row>
    <row r="265" spans="20:20" hidden="1" x14ac:dyDescent="0.25">
      <c r="T265" s="40" t="str">
        <f>IF(R265="IRRIGATED",IF(F265&gt;=SCORES!I$6,1,0),"")</f>
        <v/>
      </c>
    </row>
    <row r="266" spans="20:20" hidden="1" x14ac:dyDescent="0.25">
      <c r="T266" s="40" t="str">
        <f>IF(R266="IRRIGATED",IF(F266&gt;=SCORES!I$6,1,0),"")</f>
        <v/>
      </c>
    </row>
    <row r="267" spans="20:20" hidden="1" x14ac:dyDescent="0.25">
      <c r="T267" s="40" t="str">
        <f>IF(R267="IRRIGATED",IF(F267&gt;=SCORES!I$6,1,0),"")</f>
        <v/>
      </c>
    </row>
    <row r="268" spans="20:20" hidden="1" x14ac:dyDescent="0.25">
      <c r="T268" s="40" t="str">
        <f>IF(R268="IRRIGATED",IF(F268&gt;=SCORES!I$6,1,0),"")</f>
        <v/>
      </c>
    </row>
    <row r="269" spans="20:20" hidden="1" x14ac:dyDescent="0.25">
      <c r="T269" s="40" t="str">
        <f>IF(R269="IRRIGATED",IF(F269&gt;=SCORES!I$6,1,0),"")</f>
        <v/>
      </c>
    </row>
    <row r="270" spans="20:20" hidden="1" x14ac:dyDescent="0.25">
      <c r="T270" s="40" t="str">
        <f>IF(R270="IRRIGATED",IF(F270&gt;=SCORES!I$6,1,0),"")</f>
        <v/>
      </c>
    </row>
    <row r="271" spans="20:20" hidden="1" x14ac:dyDescent="0.25">
      <c r="T271" s="40" t="str">
        <f>IF(R271="IRRIGATED",IF(F271&gt;=SCORES!I$6,1,0),"")</f>
        <v/>
      </c>
    </row>
    <row r="272" spans="20:20" hidden="1" x14ac:dyDescent="0.25">
      <c r="T272" s="40" t="str">
        <f>IF(R272="IRRIGATED",IF(F272&gt;=SCORES!I$6,1,0),"")</f>
        <v/>
      </c>
    </row>
    <row r="273" spans="20:20" hidden="1" x14ac:dyDescent="0.25">
      <c r="T273" s="40" t="str">
        <f>IF(R273="IRRIGATED",IF(F273&gt;=SCORES!I$6,1,0),"")</f>
        <v/>
      </c>
    </row>
    <row r="274" spans="20:20" hidden="1" x14ac:dyDescent="0.25">
      <c r="T274" s="40" t="str">
        <f>IF(R274="IRRIGATED",IF(F274&gt;=SCORES!I$6,1,0),"")</f>
        <v/>
      </c>
    </row>
    <row r="275" spans="20:20" hidden="1" x14ac:dyDescent="0.25">
      <c r="T275" s="40" t="str">
        <f>IF(R275="IRRIGATED",IF(F275&gt;=SCORES!I$6,1,0),"")</f>
        <v/>
      </c>
    </row>
    <row r="276" spans="20:20" hidden="1" x14ac:dyDescent="0.25">
      <c r="T276" s="40" t="str">
        <f>IF(R276="IRRIGATED",IF(F276&gt;=SCORES!I$6,1,0),"")</f>
        <v/>
      </c>
    </row>
    <row r="277" spans="20:20" hidden="1" x14ac:dyDescent="0.25">
      <c r="T277" s="40" t="str">
        <f>IF(R277="IRRIGATED",IF(F277&gt;=SCORES!I$6,1,0),"")</f>
        <v/>
      </c>
    </row>
    <row r="278" spans="20:20" hidden="1" x14ac:dyDescent="0.25">
      <c r="T278" s="40" t="str">
        <f>IF(R278="IRRIGATED",IF(F278&gt;=SCORES!I$6,1,0),"")</f>
        <v/>
      </c>
    </row>
    <row r="279" spans="20:20" hidden="1" x14ac:dyDescent="0.25">
      <c r="T279" s="40" t="str">
        <f>IF(R279="IRRIGATED",IF(F279&gt;=SCORES!I$6,1,0),"")</f>
        <v/>
      </c>
    </row>
    <row r="280" spans="20:20" hidden="1" x14ac:dyDescent="0.25">
      <c r="T280" s="40" t="str">
        <f>IF(R280="IRRIGATED",IF(F280&gt;=SCORES!I$6,1,0),"")</f>
        <v/>
      </c>
    </row>
    <row r="281" spans="20:20" hidden="1" x14ac:dyDescent="0.25">
      <c r="T281" s="40" t="str">
        <f>IF(R281="IRRIGATED",IF(F281&gt;=SCORES!I$6,1,0),"")</f>
        <v/>
      </c>
    </row>
    <row r="282" spans="20:20" hidden="1" x14ac:dyDescent="0.25">
      <c r="T282" s="40" t="str">
        <f>IF(R282="IRRIGATED",IF(F282&gt;=SCORES!I$6,1,0),"")</f>
        <v/>
      </c>
    </row>
    <row r="283" spans="20:20" hidden="1" x14ac:dyDescent="0.25">
      <c r="T283" s="40" t="str">
        <f>IF(R283="IRRIGATED",IF(F283&gt;=SCORES!I$6,1,0),"")</f>
        <v/>
      </c>
    </row>
    <row r="284" spans="20:20" hidden="1" x14ac:dyDescent="0.25">
      <c r="T284" s="40" t="str">
        <f>IF(R284="IRRIGATED",IF(F284&gt;=SCORES!I$6,1,0),"")</f>
        <v/>
      </c>
    </row>
    <row r="285" spans="20:20" hidden="1" x14ac:dyDescent="0.25">
      <c r="T285" s="40" t="str">
        <f>IF(R285="IRRIGATED",IF(F285&gt;=SCORES!I$6,1,0),"")</f>
        <v/>
      </c>
    </row>
    <row r="286" spans="20:20" hidden="1" x14ac:dyDescent="0.25">
      <c r="T286" s="40" t="str">
        <f>IF(R286="IRRIGATED",IF(F286&gt;=SCORES!I$6,1,0),"")</f>
        <v/>
      </c>
    </row>
    <row r="287" spans="20:20" hidden="1" x14ac:dyDescent="0.25">
      <c r="T287" s="40" t="str">
        <f>IF(R287="IRRIGATED",IF(F287&gt;=SCORES!I$6,1,0),"")</f>
        <v/>
      </c>
    </row>
    <row r="288" spans="20:20" hidden="1" x14ac:dyDescent="0.25">
      <c r="T288" s="40" t="str">
        <f>IF(R288="IRRIGATED",IF(F288&gt;=SCORES!I$6,1,0),"")</f>
        <v/>
      </c>
    </row>
    <row r="289" spans="20:20" hidden="1" x14ac:dyDescent="0.25">
      <c r="T289" s="40" t="str">
        <f>IF(R289="IRRIGATED",IF(F289&gt;=SCORES!I$6,1,0),"")</f>
        <v/>
      </c>
    </row>
    <row r="290" spans="20:20" hidden="1" x14ac:dyDescent="0.25">
      <c r="T290" s="40" t="str">
        <f>IF(R290="IRRIGATED",IF(F290&gt;=SCORES!I$6,1,0),"")</f>
        <v/>
      </c>
    </row>
    <row r="291" spans="20:20" hidden="1" x14ac:dyDescent="0.25">
      <c r="T291" s="40" t="str">
        <f>IF(R291="IRRIGATED",IF(F291&gt;=SCORES!I$6,1,0),"")</f>
        <v/>
      </c>
    </row>
    <row r="292" spans="20:20" hidden="1" x14ac:dyDescent="0.25">
      <c r="T292" s="40" t="str">
        <f>IF(R292="IRRIGATED",IF(F292&gt;=SCORES!I$6,1,0),"")</f>
        <v/>
      </c>
    </row>
    <row r="293" spans="20:20" hidden="1" x14ac:dyDescent="0.25">
      <c r="T293" s="40" t="str">
        <f>IF(R293="IRRIGATED",IF(F293&gt;=SCORES!I$6,1,0),"")</f>
        <v/>
      </c>
    </row>
    <row r="294" spans="20:20" hidden="1" x14ac:dyDescent="0.25">
      <c r="T294" s="40" t="str">
        <f>IF(R294="IRRIGATED",IF(F294&gt;=SCORES!I$6,1,0),"")</f>
        <v/>
      </c>
    </row>
    <row r="295" spans="20:20" hidden="1" x14ac:dyDescent="0.25">
      <c r="T295" s="40" t="str">
        <f>IF(R295="IRRIGATED",IF(F295&gt;=SCORES!I$6,1,0),"")</f>
        <v/>
      </c>
    </row>
    <row r="296" spans="20:20" hidden="1" x14ac:dyDescent="0.25">
      <c r="T296" s="40" t="str">
        <f>IF(R296="IRRIGATED",IF(F296&gt;=SCORES!I$6,1,0),"")</f>
        <v/>
      </c>
    </row>
    <row r="297" spans="20:20" hidden="1" x14ac:dyDescent="0.25">
      <c r="T297" s="40" t="str">
        <f>IF(R297="IRRIGATED",IF(F297&gt;=SCORES!I$6,1,0),"")</f>
        <v/>
      </c>
    </row>
    <row r="298" spans="20:20" hidden="1" x14ac:dyDescent="0.25">
      <c r="T298" s="40" t="str">
        <f>IF(R298="IRRIGATED",IF(F298&gt;=SCORES!I$6,1,0),"")</f>
        <v/>
      </c>
    </row>
    <row r="299" spans="20:20" hidden="1" x14ac:dyDescent="0.25">
      <c r="T299" s="40" t="str">
        <f>IF(R299="IRRIGATED",IF(F299&gt;=SCORES!I$6,1,0),"")</f>
        <v/>
      </c>
    </row>
    <row r="300" spans="20:20" hidden="1" x14ac:dyDescent="0.25">
      <c r="T300" s="40" t="str">
        <f>IF(R300="IRRIGATED",IF(F300&gt;=SCORES!I$6,1,0),"")</f>
        <v/>
      </c>
    </row>
    <row r="301" spans="20:20" hidden="1" x14ac:dyDescent="0.25">
      <c r="T301" s="40" t="str">
        <f>IF(R301="IRRIGATED",IF(F301&gt;=SCORES!I$6,1,0),"")</f>
        <v/>
      </c>
    </row>
    <row r="302" spans="20:20" hidden="1" x14ac:dyDescent="0.25">
      <c r="T302" s="40" t="str">
        <f>IF(R302="IRRIGATED",IF(F302&gt;=SCORES!I$6,1,0),"")</f>
        <v/>
      </c>
    </row>
    <row r="303" spans="20:20" hidden="1" x14ac:dyDescent="0.25">
      <c r="T303" s="40" t="str">
        <f>IF(R303="IRRIGATED",IF(F303&gt;=SCORES!I$6,1,0),"")</f>
        <v/>
      </c>
    </row>
    <row r="304" spans="20:20" hidden="1" x14ac:dyDescent="0.25">
      <c r="T304" s="40" t="str">
        <f>IF(R304="IRRIGATED",IF(F304&gt;=SCORES!I$6,1,0),"")</f>
        <v/>
      </c>
    </row>
    <row r="305" spans="20:20" hidden="1" x14ac:dyDescent="0.25">
      <c r="T305" s="40" t="str">
        <f>IF(R305="IRRIGATED",IF(F305&gt;=SCORES!I$6,1,0),"")</f>
        <v/>
      </c>
    </row>
    <row r="306" spans="20:20" hidden="1" x14ac:dyDescent="0.25">
      <c r="T306" s="40" t="str">
        <f>IF(R306="IRRIGATED",IF(F306&gt;=SCORES!I$6,1,0),"")</f>
        <v/>
      </c>
    </row>
    <row r="307" spans="20:20" hidden="1" x14ac:dyDescent="0.25">
      <c r="T307" s="40" t="str">
        <f>IF(R307="IRRIGATED",IF(F307&gt;=SCORES!I$6,1,0),"")</f>
        <v/>
      </c>
    </row>
    <row r="308" spans="20:20" hidden="1" x14ac:dyDescent="0.25">
      <c r="T308" s="40" t="str">
        <f>IF(R308="IRRIGATED",IF(F308&gt;=SCORES!I$6,1,0),"")</f>
        <v/>
      </c>
    </row>
    <row r="309" spans="20:20" hidden="1" x14ac:dyDescent="0.25">
      <c r="T309" s="40" t="str">
        <f>IF(R309="IRRIGATED",IF(F309&gt;=SCORES!I$6,1,0),"")</f>
        <v/>
      </c>
    </row>
    <row r="310" spans="20:20" hidden="1" x14ac:dyDescent="0.25">
      <c r="T310" s="40" t="str">
        <f>IF(R310="IRRIGATED",IF(F310&gt;=SCORES!I$6,1,0),"")</f>
        <v/>
      </c>
    </row>
    <row r="311" spans="20:20" hidden="1" x14ac:dyDescent="0.25">
      <c r="T311" s="40" t="str">
        <f>IF(R311="IRRIGATED",IF(F311&gt;=SCORES!I$6,1,0),"")</f>
        <v/>
      </c>
    </row>
    <row r="312" spans="20:20" hidden="1" x14ac:dyDescent="0.25">
      <c r="T312" s="40" t="str">
        <f>IF(R312="IRRIGATED",IF(F312&gt;=SCORES!I$6,1,0),"")</f>
        <v/>
      </c>
    </row>
    <row r="313" spans="20:20" hidden="1" x14ac:dyDescent="0.25">
      <c r="T313" s="40" t="str">
        <f>IF(R313="IRRIGATED",IF(F313&gt;=SCORES!I$6,1,0),"")</f>
        <v/>
      </c>
    </row>
    <row r="314" spans="20:20" hidden="1" x14ac:dyDescent="0.25">
      <c r="T314" s="40" t="str">
        <f>IF(R314="IRRIGATED",IF(F314&gt;=SCORES!I$6,1,0),"")</f>
        <v/>
      </c>
    </row>
    <row r="315" spans="20:20" hidden="1" x14ac:dyDescent="0.25">
      <c r="T315" s="40" t="str">
        <f>IF(R315="IRRIGATED",IF(F315&gt;=SCORES!I$6,1,0),"")</f>
        <v/>
      </c>
    </row>
    <row r="316" spans="20:20" hidden="1" x14ac:dyDescent="0.25">
      <c r="T316" s="40" t="str">
        <f>IF(R316="IRRIGATED",IF(F316&gt;=SCORES!I$6,1,0),"")</f>
        <v/>
      </c>
    </row>
    <row r="317" spans="20:20" hidden="1" x14ac:dyDescent="0.25">
      <c r="T317" s="40" t="str">
        <f>IF(R317="IRRIGATED",IF(F317&gt;=SCORES!I$6,1,0),"")</f>
        <v/>
      </c>
    </row>
    <row r="318" spans="20:20" hidden="1" x14ac:dyDescent="0.25">
      <c r="T318" s="40" t="str">
        <f>IF(R318="IRRIGATED",IF(F318&gt;=SCORES!I$6,1,0),"")</f>
        <v/>
      </c>
    </row>
    <row r="319" spans="20:20" hidden="1" x14ac:dyDescent="0.25">
      <c r="T319" s="40" t="str">
        <f>IF(R319="IRRIGATED",IF(F319&gt;=SCORES!I$6,1,0),"")</f>
        <v/>
      </c>
    </row>
    <row r="320" spans="20:20" hidden="1" x14ac:dyDescent="0.25">
      <c r="T320" s="40" t="str">
        <f>IF(R320="IRRIGATED",IF(F320&gt;=SCORES!I$6,1,0),"")</f>
        <v/>
      </c>
    </row>
    <row r="321" spans="20:20" hidden="1" x14ac:dyDescent="0.25">
      <c r="T321" s="40" t="str">
        <f>IF(R321="IRRIGATED",IF(F321&gt;=SCORES!I$6,1,0),"")</f>
        <v/>
      </c>
    </row>
    <row r="322" spans="20:20" hidden="1" x14ac:dyDescent="0.25">
      <c r="T322" s="40" t="str">
        <f>IF(R322="IRRIGATED",IF(F322&gt;=SCORES!I$6,1,0),"")</f>
        <v/>
      </c>
    </row>
    <row r="323" spans="20:20" hidden="1" x14ac:dyDescent="0.25">
      <c r="T323" s="40" t="str">
        <f>IF(R323="IRRIGATED",IF(F323&gt;=SCORES!I$6,1,0),"")</f>
        <v/>
      </c>
    </row>
    <row r="324" spans="20:20" hidden="1" x14ac:dyDescent="0.25">
      <c r="T324" s="40" t="str">
        <f>IF(R324="IRRIGATED",IF(F324&gt;=SCORES!I$6,1,0),"")</f>
        <v/>
      </c>
    </row>
    <row r="325" spans="20:20" hidden="1" x14ac:dyDescent="0.25">
      <c r="T325" s="40" t="str">
        <f>IF(R325="IRRIGATED",IF(F325&gt;=SCORES!I$6,1,0),"")</f>
        <v/>
      </c>
    </row>
    <row r="326" spans="20:20" hidden="1" x14ac:dyDescent="0.25">
      <c r="T326" s="40" t="str">
        <f>IF(R326="IRRIGATED",IF(F326&gt;=SCORES!I$6,1,0),"")</f>
        <v/>
      </c>
    </row>
    <row r="327" spans="20:20" hidden="1" x14ac:dyDescent="0.25">
      <c r="T327" s="40" t="str">
        <f>IF(R327="IRRIGATED",IF(F327&gt;=SCORES!I$6,1,0),"")</f>
        <v/>
      </c>
    </row>
    <row r="328" spans="20:20" hidden="1" x14ac:dyDescent="0.25">
      <c r="T328" s="40" t="str">
        <f>IF(R328="IRRIGATED",IF(F328&gt;=SCORES!I$6,1,0),"")</f>
        <v/>
      </c>
    </row>
    <row r="329" spans="20:20" hidden="1" x14ac:dyDescent="0.25">
      <c r="T329" s="40" t="str">
        <f>IF(R329="IRRIGATED",IF(F329&gt;=SCORES!I$6,1,0),"")</f>
        <v/>
      </c>
    </row>
    <row r="330" spans="20:20" hidden="1" x14ac:dyDescent="0.25">
      <c r="T330" s="40" t="str">
        <f>IF(R330="IRRIGATED",IF(F330&gt;=SCORES!I$6,1,0),"")</f>
        <v/>
      </c>
    </row>
    <row r="331" spans="20:20" hidden="1" x14ac:dyDescent="0.25">
      <c r="T331" s="40" t="str">
        <f>IF(R331="IRRIGATED",IF(F331&gt;=SCORES!I$6,1,0),"")</f>
        <v/>
      </c>
    </row>
    <row r="332" spans="20:20" hidden="1" x14ac:dyDescent="0.25">
      <c r="T332" s="40" t="str">
        <f>IF(R332="IRRIGATED",IF(F332&gt;=SCORES!I$6,1,0),"")</f>
        <v/>
      </c>
    </row>
    <row r="333" spans="20:20" hidden="1" x14ac:dyDescent="0.25">
      <c r="T333" s="40" t="str">
        <f>IF(R333="IRRIGATED",IF(F333&gt;=SCORES!I$6,1,0),"")</f>
        <v/>
      </c>
    </row>
    <row r="334" spans="20:20" hidden="1" x14ac:dyDescent="0.25">
      <c r="T334" s="40" t="str">
        <f>IF(R334="IRRIGATED",IF(F334&gt;=SCORES!I$6,1,0),"")</f>
        <v/>
      </c>
    </row>
    <row r="335" spans="20:20" hidden="1" x14ac:dyDescent="0.25">
      <c r="T335" s="40" t="str">
        <f>IF(R335="IRRIGATED",IF(F335&gt;=SCORES!I$6,1,0),"")</f>
        <v/>
      </c>
    </row>
    <row r="336" spans="20:20" hidden="1" x14ac:dyDescent="0.25">
      <c r="T336" s="40" t="str">
        <f>IF(R336="IRRIGATED",IF(F336&gt;=SCORES!I$6,1,0),"")</f>
        <v/>
      </c>
    </row>
    <row r="337" spans="20:20" hidden="1" x14ac:dyDescent="0.25">
      <c r="T337" s="40" t="str">
        <f>IF(R337="IRRIGATED",IF(F337&gt;=SCORES!I$6,1,0),"")</f>
        <v/>
      </c>
    </row>
    <row r="338" spans="20:20" hidden="1" x14ac:dyDescent="0.25">
      <c r="T338" s="40" t="str">
        <f>IF(R338="IRRIGATED",IF(F338&gt;=SCORES!I$6,1,0),"")</f>
        <v/>
      </c>
    </row>
    <row r="339" spans="20:20" hidden="1" x14ac:dyDescent="0.25">
      <c r="T339" s="40" t="str">
        <f>IF(R339="IRRIGATED",IF(F339&gt;=SCORES!I$6,1,0),"")</f>
        <v/>
      </c>
    </row>
    <row r="340" spans="20:20" hidden="1" x14ac:dyDescent="0.25">
      <c r="T340" s="40" t="str">
        <f>IF(R340="IRRIGATED",IF(F340&gt;=SCORES!I$6,1,0),"")</f>
        <v/>
      </c>
    </row>
    <row r="341" spans="20:20" hidden="1" x14ac:dyDescent="0.25">
      <c r="T341" s="40" t="str">
        <f>IF(R341="IRRIGATED",IF(F341&gt;=SCORES!I$6,1,0),"")</f>
        <v/>
      </c>
    </row>
    <row r="342" spans="20:20" hidden="1" x14ac:dyDescent="0.25">
      <c r="T342" s="40" t="str">
        <f>IF(R342="IRRIGATED",IF(F342&gt;=SCORES!I$6,1,0),"")</f>
        <v/>
      </c>
    </row>
    <row r="343" spans="20:20" hidden="1" x14ac:dyDescent="0.25">
      <c r="T343" s="40" t="str">
        <f>IF(R343="IRRIGATED",IF(F343&gt;=SCORES!I$6,1,0),"")</f>
        <v/>
      </c>
    </row>
    <row r="344" spans="20:20" hidden="1" x14ac:dyDescent="0.25">
      <c r="T344" s="40" t="str">
        <f>IF(R344="IRRIGATED",IF(F344&gt;=SCORES!I$6,1,0),"")</f>
        <v/>
      </c>
    </row>
    <row r="345" spans="20:20" hidden="1" x14ac:dyDescent="0.25">
      <c r="T345" s="40" t="str">
        <f>IF(R345="IRRIGATED",IF(F345&gt;=SCORES!I$6,1,0),"")</f>
        <v/>
      </c>
    </row>
    <row r="346" spans="20:20" hidden="1" x14ac:dyDescent="0.25">
      <c r="T346" s="40" t="str">
        <f>IF(R346="IRRIGATED",IF(F346&gt;=SCORES!I$6,1,0),"")</f>
        <v/>
      </c>
    </row>
    <row r="347" spans="20:20" hidden="1" x14ac:dyDescent="0.25">
      <c r="T347" s="40" t="str">
        <f>IF(R347="IRRIGATED",IF(F347&gt;=SCORES!I$6,1,0),"")</f>
        <v/>
      </c>
    </row>
    <row r="348" spans="20:20" hidden="1" x14ac:dyDescent="0.25">
      <c r="T348" s="40" t="str">
        <f>IF(R348="IRRIGATED",IF(F348&gt;=SCORES!I$6,1,0),"")</f>
        <v/>
      </c>
    </row>
    <row r="349" spans="20:20" hidden="1" x14ac:dyDescent="0.25">
      <c r="T349" s="40" t="str">
        <f>IF(R349="IRRIGATED",IF(F349&gt;=SCORES!I$6,1,0),"")</f>
        <v/>
      </c>
    </row>
    <row r="350" spans="20:20" hidden="1" x14ac:dyDescent="0.25">
      <c r="T350" s="40" t="str">
        <f>IF(R350="IRRIGATED",IF(F350&gt;=SCORES!I$6,1,0),"")</f>
        <v/>
      </c>
    </row>
    <row r="351" spans="20:20" hidden="1" x14ac:dyDescent="0.25">
      <c r="T351" s="40" t="str">
        <f>IF(R351="IRRIGATED",IF(F351&gt;=SCORES!I$6,1,0),"")</f>
        <v/>
      </c>
    </row>
    <row r="352" spans="20:20" hidden="1" x14ac:dyDescent="0.25">
      <c r="T352" s="40" t="str">
        <f>IF(R352="IRRIGATED",IF(F352&gt;=SCORES!I$6,1,0),"")</f>
        <v/>
      </c>
    </row>
    <row r="353" spans="20:20" hidden="1" x14ac:dyDescent="0.25">
      <c r="T353" s="40" t="str">
        <f>IF(R353="IRRIGATED",IF(F353&gt;=SCORES!I$6,1,0),"")</f>
        <v/>
      </c>
    </row>
    <row r="354" spans="20:20" hidden="1" x14ac:dyDescent="0.25">
      <c r="T354" s="40" t="str">
        <f>IF(R354="IRRIGATED",IF(F354&gt;=SCORES!I$6,1,0),"")</f>
        <v/>
      </c>
    </row>
    <row r="355" spans="20:20" hidden="1" x14ac:dyDescent="0.25">
      <c r="T355" s="40" t="str">
        <f>IF(R355="IRRIGATED",IF(F355&gt;=SCORES!I$6,1,0),"")</f>
        <v/>
      </c>
    </row>
    <row r="356" spans="20:20" hidden="1" x14ac:dyDescent="0.25">
      <c r="T356" s="40" t="str">
        <f>IF(R356="IRRIGATED",IF(F356&gt;=SCORES!I$6,1,0),"")</f>
        <v/>
      </c>
    </row>
    <row r="357" spans="20:20" hidden="1" x14ac:dyDescent="0.25">
      <c r="T357" s="40" t="str">
        <f>IF(R357="IRRIGATED",IF(F357&gt;=SCORES!I$6,1,0),"")</f>
        <v/>
      </c>
    </row>
    <row r="358" spans="20:20" hidden="1" x14ac:dyDescent="0.25">
      <c r="T358" s="40" t="str">
        <f>IF(R358="IRRIGATED",IF(F358&gt;=SCORES!I$6,1,0),"")</f>
        <v/>
      </c>
    </row>
    <row r="359" spans="20:20" hidden="1" x14ac:dyDescent="0.25">
      <c r="T359" s="40" t="str">
        <f>IF(R359="IRRIGATED",IF(F359&gt;=SCORES!I$6,1,0),"")</f>
        <v/>
      </c>
    </row>
    <row r="360" spans="20:20" hidden="1" x14ac:dyDescent="0.25">
      <c r="T360" s="40" t="str">
        <f>IF(R360="IRRIGATED",IF(F360&gt;=SCORES!I$6,1,0),"")</f>
        <v/>
      </c>
    </row>
    <row r="361" spans="20:20" hidden="1" x14ac:dyDescent="0.25">
      <c r="T361" s="40" t="str">
        <f>IF(R361="IRRIGATED",IF(F361&gt;=SCORES!I$6,1,0),"")</f>
        <v/>
      </c>
    </row>
    <row r="362" spans="20:20" hidden="1" x14ac:dyDescent="0.25">
      <c r="T362" s="40" t="str">
        <f>IF(R362="IRRIGATED",IF(F362&gt;=SCORES!I$6,1,0),"")</f>
        <v/>
      </c>
    </row>
    <row r="363" spans="20:20" hidden="1" x14ac:dyDescent="0.25">
      <c r="T363" s="40" t="str">
        <f>IF(R363="IRRIGATED",IF(F363&gt;=SCORES!I$6,1,0),"")</f>
        <v/>
      </c>
    </row>
    <row r="364" spans="20:20" hidden="1" x14ac:dyDescent="0.25">
      <c r="T364" s="40" t="str">
        <f>IF(R364="IRRIGATED",IF(F364&gt;=SCORES!I$6,1,0),"")</f>
        <v/>
      </c>
    </row>
    <row r="365" spans="20:20" hidden="1" x14ac:dyDescent="0.25">
      <c r="T365" s="40" t="str">
        <f>IF(R365="IRRIGATED",IF(F365&gt;=SCORES!I$6,1,0),"")</f>
        <v/>
      </c>
    </row>
    <row r="366" spans="20:20" hidden="1" x14ac:dyDescent="0.25">
      <c r="T366" s="40" t="str">
        <f>IF(R366="IRRIGATED",IF(F366&gt;=SCORES!I$6,1,0),"")</f>
        <v/>
      </c>
    </row>
    <row r="367" spans="20:20" hidden="1" x14ac:dyDescent="0.25">
      <c r="T367" s="40" t="str">
        <f>IF(R367="IRRIGATED",IF(F367&gt;=SCORES!I$6,1,0),"")</f>
        <v/>
      </c>
    </row>
    <row r="368" spans="20:20" hidden="1" x14ac:dyDescent="0.25">
      <c r="T368" s="40" t="str">
        <f>IF(R368="IRRIGATED",IF(F368&gt;=SCORES!I$6,1,0),"")</f>
        <v/>
      </c>
    </row>
    <row r="369" spans="20:20" hidden="1" x14ac:dyDescent="0.25">
      <c r="T369" s="40" t="str">
        <f>IF(R369="IRRIGATED",IF(F369&gt;=SCORES!I$6,1,0),"")</f>
        <v/>
      </c>
    </row>
    <row r="370" spans="20:20" hidden="1" x14ac:dyDescent="0.25">
      <c r="T370" s="40" t="str">
        <f>IF(R370="IRRIGATED",IF(F370&gt;=SCORES!I$6,1,0),"")</f>
        <v/>
      </c>
    </row>
    <row r="371" spans="20:20" hidden="1" x14ac:dyDescent="0.25">
      <c r="T371" s="40" t="str">
        <f>IF(R371="IRRIGATED",IF(F371&gt;=SCORES!I$6,1,0),"")</f>
        <v/>
      </c>
    </row>
    <row r="372" spans="20:20" hidden="1" x14ac:dyDescent="0.25">
      <c r="T372" s="40" t="str">
        <f>IF(R372="IRRIGATED",IF(F372&gt;=SCORES!I$6,1,0),"")</f>
        <v/>
      </c>
    </row>
    <row r="373" spans="20:20" hidden="1" x14ac:dyDescent="0.25">
      <c r="T373" s="40" t="str">
        <f>IF(R373="IRRIGATED",IF(F373&gt;=SCORES!I$6,1,0),"")</f>
        <v/>
      </c>
    </row>
    <row r="374" spans="20:20" hidden="1" x14ac:dyDescent="0.25">
      <c r="T374" s="40" t="str">
        <f>IF(R374="IRRIGATED",IF(F374&gt;=SCORES!I$6,1,0),"")</f>
        <v/>
      </c>
    </row>
    <row r="375" spans="20:20" hidden="1" x14ac:dyDescent="0.25">
      <c r="T375" s="40" t="str">
        <f>IF(R375="IRRIGATED",IF(F375&gt;=SCORES!I$6,1,0),"")</f>
        <v/>
      </c>
    </row>
    <row r="376" spans="20:20" hidden="1" x14ac:dyDescent="0.25">
      <c r="T376" s="40" t="str">
        <f>IF(R376="IRRIGATED",IF(F376&gt;=SCORES!I$6,1,0),"")</f>
        <v/>
      </c>
    </row>
    <row r="377" spans="20:20" hidden="1" x14ac:dyDescent="0.25">
      <c r="T377" s="40" t="str">
        <f>IF(R377="IRRIGATED",IF(F377&gt;=SCORES!I$6,1,0),"")</f>
        <v/>
      </c>
    </row>
    <row r="378" spans="20:20" hidden="1" x14ac:dyDescent="0.25">
      <c r="T378" s="40" t="str">
        <f>IF(R378="IRRIGATED",IF(F378&gt;=SCORES!I$6,1,0),"")</f>
        <v/>
      </c>
    </row>
    <row r="379" spans="20:20" hidden="1" x14ac:dyDescent="0.25">
      <c r="T379" s="40" t="str">
        <f>IF(R379="IRRIGATED",IF(F379&gt;=SCORES!I$6,1,0),"")</f>
        <v/>
      </c>
    </row>
    <row r="380" spans="20:20" hidden="1" x14ac:dyDescent="0.25">
      <c r="T380" s="40" t="str">
        <f>IF(R380="IRRIGATED",IF(F380&gt;=SCORES!I$6,1,0),"")</f>
        <v/>
      </c>
    </row>
    <row r="381" spans="20:20" hidden="1" x14ac:dyDescent="0.25">
      <c r="T381" s="40" t="str">
        <f>IF(R381="IRRIGATED",IF(F381&gt;=SCORES!I$6,1,0),"")</f>
        <v/>
      </c>
    </row>
    <row r="382" spans="20:20" hidden="1" x14ac:dyDescent="0.25">
      <c r="T382" s="40" t="str">
        <f>IF(R382="IRRIGATED",IF(F382&gt;=SCORES!I$6,1,0),"")</f>
        <v/>
      </c>
    </row>
    <row r="383" spans="20:20" hidden="1" x14ac:dyDescent="0.25">
      <c r="T383" s="40" t="str">
        <f>IF(R383="IRRIGATED",IF(F383&gt;=SCORES!I$6,1,0),"")</f>
        <v/>
      </c>
    </row>
    <row r="384" spans="20:20" hidden="1" x14ac:dyDescent="0.25">
      <c r="T384" s="40" t="str">
        <f>IF(R384="IRRIGATED",IF(F384&gt;=SCORES!I$6,1,0),"")</f>
        <v/>
      </c>
    </row>
    <row r="385" spans="20:20" hidden="1" x14ac:dyDescent="0.25">
      <c r="T385" s="40" t="str">
        <f>IF(R385="IRRIGATED",IF(F385&gt;=SCORES!I$6,1,0),"")</f>
        <v/>
      </c>
    </row>
    <row r="386" spans="20:20" hidden="1" x14ac:dyDescent="0.25">
      <c r="T386" s="40" t="str">
        <f>IF(R386="IRRIGATED",IF(F386&gt;=SCORES!I$6,1,0),"")</f>
        <v/>
      </c>
    </row>
    <row r="387" spans="20:20" hidden="1" x14ac:dyDescent="0.25">
      <c r="T387" s="40" t="str">
        <f>IF(R387="IRRIGATED",IF(F387&gt;=SCORES!I$6,1,0),"")</f>
        <v/>
      </c>
    </row>
    <row r="388" spans="20:20" hidden="1" x14ac:dyDescent="0.25">
      <c r="T388" s="40" t="str">
        <f>IF(R388="IRRIGATED",IF(F388&gt;=SCORES!I$6,1,0),"")</f>
        <v/>
      </c>
    </row>
    <row r="389" spans="20:20" hidden="1" x14ac:dyDescent="0.25">
      <c r="T389" s="40" t="str">
        <f>IF(R389="IRRIGATED",IF(F389&gt;=SCORES!I$6,1,0),"")</f>
        <v/>
      </c>
    </row>
    <row r="390" spans="20:20" hidden="1" x14ac:dyDescent="0.25">
      <c r="T390" s="40" t="str">
        <f>IF(R390="IRRIGATED",IF(F390&gt;=SCORES!I$6,1,0),"")</f>
        <v/>
      </c>
    </row>
    <row r="391" spans="20:20" hidden="1" x14ac:dyDescent="0.25">
      <c r="T391" s="40" t="str">
        <f>IF(R391="IRRIGATED",IF(F391&gt;=SCORES!I$6,1,0),"")</f>
        <v/>
      </c>
    </row>
    <row r="392" spans="20:20" hidden="1" x14ac:dyDescent="0.25">
      <c r="T392" s="40" t="str">
        <f>IF(R392="IRRIGATED",IF(F392&gt;=SCORES!I$6,1,0),"")</f>
        <v/>
      </c>
    </row>
    <row r="393" spans="20:20" hidden="1" x14ac:dyDescent="0.25">
      <c r="T393" s="40" t="str">
        <f>IF(R393="IRRIGATED",IF(F393&gt;=SCORES!I$6,1,0),"")</f>
        <v/>
      </c>
    </row>
    <row r="394" spans="20:20" hidden="1" x14ac:dyDescent="0.25">
      <c r="T394" s="40" t="str">
        <f>IF(R394="IRRIGATED",IF(F394&gt;=SCORES!I$6,1,0),"")</f>
        <v/>
      </c>
    </row>
    <row r="395" spans="20:20" hidden="1" x14ac:dyDescent="0.25">
      <c r="T395" s="40" t="str">
        <f>IF(R395="IRRIGATED",IF(F395&gt;=SCORES!I$6,1,0),"")</f>
        <v/>
      </c>
    </row>
    <row r="396" spans="20:20" hidden="1" x14ac:dyDescent="0.25">
      <c r="T396" s="40" t="str">
        <f>IF(R396="IRRIGATED",IF(F396&gt;=SCORES!I$6,1,0),"")</f>
        <v/>
      </c>
    </row>
    <row r="397" spans="20:20" hidden="1" x14ac:dyDescent="0.25">
      <c r="T397" s="40" t="str">
        <f>IF(R397="IRRIGATED",IF(F397&gt;=SCORES!I$6,1,0),"")</f>
        <v/>
      </c>
    </row>
    <row r="398" spans="20:20" hidden="1" x14ac:dyDescent="0.25">
      <c r="T398" s="40" t="str">
        <f>IF(R398="IRRIGATED",IF(F398&gt;=SCORES!I$6,1,0),"")</f>
        <v/>
      </c>
    </row>
    <row r="399" spans="20:20" hidden="1" x14ac:dyDescent="0.25">
      <c r="T399" s="40" t="str">
        <f>IF(R399="IRRIGATED",IF(F399&gt;=SCORES!I$6,1,0),"")</f>
        <v/>
      </c>
    </row>
    <row r="400" spans="20:20" hidden="1" x14ac:dyDescent="0.25">
      <c r="T400" s="40" t="str">
        <f>IF(R400="IRRIGATED",IF(F400&gt;=SCORES!I$6,1,0),"")</f>
        <v/>
      </c>
    </row>
    <row r="401" spans="20:20" hidden="1" x14ac:dyDescent="0.25">
      <c r="T401" s="40" t="str">
        <f>IF(R401="IRRIGATED",IF(F401&gt;=SCORES!I$6,1,0),"")</f>
        <v/>
      </c>
    </row>
    <row r="402" spans="20:20" hidden="1" x14ac:dyDescent="0.25">
      <c r="T402" s="40" t="str">
        <f>IF(R402="IRRIGATED",IF(F402&gt;=SCORES!I$6,1,0),"")</f>
        <v/>
      </c>
    </row>
    <row r="403" spans="20:20" hidden="1" x14ac:dyDescent="0.25">
      <c r="T403" s="40" t="str">
        <f>IF(R403="IRRIGATED",IF(F403&gt;=SCORES!I$6,1,0),"")</f>
        <v/>
      </c>
    </row>
    <row r="404" spans="20:20" hidden="1" x14ac:dyDescent="0.25">
      <c r="T404" s="40" t="str">
        <f>IF(R404="IRRIGATED",IF(F404&gt;=SCORES!I$6,1,0),"")</f>
        <v/>
      </c>
    </row>
    <row r="405" spans="20:20" hidden="1" x14ac:dyDescent="0.25">
      <c r="T405" s="40" t="str">
        <f>IF(R405="IRRIGATED",IF(F405&gt;=SCORES!I$6,1,0),"")</f>
        <v/>
      </c>
    </row>
    <row r="406" spans="20:20" hidden="1" x14ac:dyDescent="0.25">
      <c r="T406" s="40" t="str">
        <f>IF(R406="IRRIGATED",IF(F406&gt;=SCORES!I$6,1,0),"")</f>
        <v/>
      </c>
    </row>
    <row r="407" spans="20:20" hidden="1" x14ac:dyDescent="0.25">
      <c r="T407" s="40" t="str">
        <f>IF(R407="IRRIGATED",IF(F407&gt;=SCORES!I$6,1,0),"")</f>
        <v/>
      </c>
    </row>
    <row r="408" spans="20:20" hidden="1" x14ac:dyDescent="0.25">
      <c r="T408" s="40" t="str">
        <f>IF(R408="IRRIGATED",IF(F408&gt;=SCORES!I$6,1,0),"")</f>
        <v/>
      </c>
    </row>
    <row r="409" spans="20:20" hidden="1" x14ac:dyDescent="0.25">
      <c r="T409" s="40" t="str">
        <f>IF(R409="IRRIGATED",IF(F409&gt;=SCORES!I$6,1,0),"")</f>
        <v/>
      </c>
    </row>
    <row r="410" spans="20:20" hidden="1" x14ac:dyDescent="0.25">
      <c r="T410" s="40" t="str">
        <f>IF(R410="IRRIGATED",IF(F410&gt;=SCORES!I$6,1,0),"")</f>
        <v/>
      </c>
    </row>
    <row r="411" spans="20:20" hidden="1" x14ac:dyDescent="0.25">
      <c r="T411" s="40" t="str">
        <f>IF(R411="IRRIGATED",IF(F411&gt;=SCORES!I$6,1,0),"")</f>
        <v/>
      </c>
    </row>
    <row r="412" spans="20:20" hidden="1" x14ac:dyDescent="0.25">
      <c r="T412" s="40" t="str">
        <f>IF(R412="IRRIGATED",IF(F412&gt;=SCORES!I$6,1,0),"")</f>
        <v/>
      </c>
    </row>
    <row r="413" spans="20:20" hidden="1" x14ac:dyDescent="0.25">
      <c r="T413" s="40" t="str">
        <f>IF(R413="IRRIGATED",IF(F413&gt;=SCORES!I$6,1,0),"")</f>
        <v/>
      </c>
    </row>
    <row r="414" spans="20:20" hidden="1" x14ac:dyDescent="0.25">
      <c r="T414" s="40" t="str">
        <f>IF(R414="IRRIGATED",IF(F414&gt;=SCORES!I$6,1,0),"")</f>
        <v/>
      </c>
    </row>
    <row r="415" spans="20:20" hidden="1" x14ac:dyDescent="0.25">
      <c r="T415" s="40" t="str">
        <f>IF(R415="IRRIGATED",IF(F415&gt;=SCORES!I$6,1,0),"")</f>
        <v/>
      </c>
    </row>
    <row r="416" spans="20:20" hidden="1" x14ac:dyDescent="0.25">
      <c r="T416" s="40" t="str">
        <f>IF(R416="IRRIGATED",IF(F416&gt;=SCORES!I$6,1,0),"")</f>
        <v/>
      </c>
    </row>
    <row r="417" spans="20:20" hidden="1" x14ac:dyDescent="0.25">
      <c r="T417" s="40" t="str">
        <f>IF(R417="IRRIGATED",IF(F417&gt;=SCORES!I$6,1,0),"")</f>
        <v/>
      </c>
    </row>
    <row r="418" spans="20:20" hidden="1" x14ac:dyDescent="0.25">
      <c r="T418" s="40" t="str">
        <f>IF(R418="IRRIGATED",IF(F418&gt;=SCORES!I$6,1,0),"")</f>
        <v/>
      </c>
    </row>
    <row r="419" spans="20:20" hidden="1" x14ac:dyDescent="0.25">
      <c r="T419" s="40" t="str">
        <f>IF(R419="IRRIGATED",IF(F419&gt;=SCORES!I$6,1,0),"")</f>
        <v/>
      </c>
    </row>
    <row r="420" spans="20:20" hidden="1" x14ac:dyDescent="0.25">
      <c r="T420" s="40" t="str">
        <f>IF(R420="IRRIGATED",IF(F420&gt;=SCORES!I$6,1,0),"")</f>
        <v/>
      </c>
    </row>
    <row r="421" spans="20:20" hidden="1" x14ac:dyDescent="0.25">
      <c r="T421" s="40" t="str">
        <f>IF(R421="IRRIGATED",IF(F421&gt;=SCORES!I$6,1,0),"")</f>
        <v/>
      </c>
    </row>
    <row r="422" spans="20:20" hidden="1" x14ac:dyDescent="0.25">
      <c r="T422" s="40" t="str">
        <f>IF(R422="IRRIGATED",IF(F422&gt;=SCORES!I$6,1,0),"")</f>
        <v/>
      </c>
    </row>
    <row r="423" spans="20:20" hidden="1" x14ac:dyDescent="0.25">
      <c r="T423" s="40" t="str">
        <f>IF(R423="IRRIGATED",IF(F423&gt;=SCORES!I$6,1,0),"")</f>
        <v/>
      </c>
    </row>
    <row r="424" spans="20:20" hidden="1" x14ac:dyDescent="0.25">
      <c r="T424" s="40" t="str">
        <f>IF(R424="IRRIGATED",IF(F424&gt;=SCORES!I$6,1,0),"")</f>
        <v/>
      </c>
    </row>
    <row r="425" spans="20:20" hidden="1" x14ac:dyDescent="0.25">
      <c r="T425" s="40" t="str">
        <f>IF(R425="IRRIGATED",IF(F425&gt;=SCORES!I$6,1,0),"")</f>
        <v/>
      </c>
    </row>
    <row r="426" spans="20:20" hidden="1" x14ac:dyDescent="0.25">
      <c r="T426" s="40" t="str">
        <f>IF(R426="IRRIGATED",IF(F426&gt;=SCORES!I$6,1,0),"")</f>
        <v/>
      </c>
    </row>
    <row r="427" spans="20:20" hidden="1" x14ac:dyDescent="0.25">
      <c r="T427" s="40" t="str">
        <f>IF(R427="IRRIGATED",IF(F427&gt;=SCORES!I$6,1,0),"")</f>
        <v/>
      </c>
    </row>
    <row r="428" spans="20:20" hidden="1" x14ac:dyDescent="0.25">
      <c r="T428" s="40" t="str">
        <f>IF(R428="IRRIGATED",IF(F428&gt;=SCORES!I$6,1,0),"")</f>
        <v/>
      </c>
    </row>
    <row r="429" spans="20:20" hidden="1" x14ac:dyDescent="0.25">
      <c r="T429" s="40" t="str">
        <f>IF(R429="IRRIGATED",IF(F429&gt;=SCORES!I$6,1,0),"")</f>
        <v/>
      </c>
    </row>
    <row r="430" spans="20:20" hidden="1" x14ac:dyDescent="0.25">
      <c r="T430" s="40" t="str">
        <f>IF(R430="IRRIGATED",IF(F430&gt;=SCORES!I$6,1,0),"")</f>
        <v/>
      </c>
    </row>
    <row r="431" spans="20:20" hidden="1" x14ac:dyDescent="0.25">
      <c r="T431" s="40" t="str">
        <f>IF(R431="IRRIGATED",IF(F431&gt;=SCORES!I$6,1,0),"")</f>
        <v/>
      </c>
    </row>
    <row r="432" spans="20:20" hidden="1" x14ac:dyDescent="0.25">
      <c r="T432" s="40" t="str">
        <f>IF(R432="IRRIGATED",IF(F432&gt;=SCORES!I$6,1,0),"")</f>
        <v/>
      </c>
    </row>
    <row r="433" spans="20:20" hidden="1" x14ac:dyDescent="0.25">
      <c r="T433" s="40" t="str">
        <f>IF(R433="IRRIGATED",IF(F433&gt;=SCORES!I$6,1,0),"")</f>
        <v/>
      </c>
    </row>
    <row r="434" spans="20:20" hidden="1" x14ac:dyDescent="0.25">
      <c r="T434" s="40" t="str">
        <f>IF(R434="IRRIGATED",IF(F434&gt;=SCORES!I$6,1,0),"")</f>
        <v/>
      </c>
    </row>
    <row r="435" spans="20:20" hidden="1" x14ac:dyDescent="0.25">
      <c r="T435" s="40" t="str">
        <f>IF(R435="IRRIGATED",IF(F435&gt;=SCORES!I$6,1,0),"")</f>
        <v/>
      </c>
    </row>
    <row r="436" spans="20:20" hidden="1" x14ac:dyDescent="0.25">
      <c r="T436" s="40" t="str">
        <f>IF(R436="IRRIGATED",IF(F436&gt;=SCORES!I$6,1,0),"")</f>
        <v/>
      </c>
    </row>
    <row r="437" spans="20:20" hidden="1" x14ac:dyDescent="0.25">
      <c r="T437" s="40" t="str">
        <f>IF(R437="IRRIGATED",IF(F437&gt;=SCORES!I$6,1,0),"")</f>
        <v/>
      </c>
    </row>
    <row r="438" spans="20:20" hidden="1" x14ac:dyDescent="0.25">
      <c r="T438" s="40" t="str">
        <f>IF(R438="IRRIGATED",IF(F438&gt;=SCORES!I$6,1,0),"")</f>
        <v/>
      </c>
    </row>
    <row r="439" spans="20:20" hidden="1" x14ac:dyDescent="0.25">
      <c r="T439" s="40" t="str">
        <f>IF(R439="IRRIGATED",IF(F439&gt;=SCORES!I$6,1,0),"")</f>
        <v/>
      </c>
    </row>
    <row r="440" spans="20:20" hidden="1" x14ac:dyDescent="0.25">
      <c r="T440" s="40" t="str">
        <f>IF(R440="IRRIGATED",IF(F440&gt;=SCORES!I$6,1,0),"")</f>
        <v/>
      </c>
    </row>
    <row r="441" spans="20:20" hidden="1" x14ac:dyDescent="0.25">
      <c r="T441" s="40" t="str">
        <f>IF(R441="IRRIGATED",IF(F441&gt;=SCORES!I$6,1,0),"")</f>
        <v/>
      </c>
    </row>
    <row r="442" spans="20:20" hidden="1" x14ac:dyDescent="0.25">
      <c r="T442" s="40" t="str">
        <f>IF(R442="IRRIGATED",IF(F442&gt;=SCORES!I$6,1,0),"")</f>
        <v/>
      </c>
    </row>
    <row r="443" spans="20:20" hidden="1" x14ac:dyDescent="0.25">
      <c r="T443" s="40" t="str">
        <f>IF(R443="IRRIGATED",IF(F443&gt;=SCORES!I$6,1,0),"")</f>
        <v/>
      </c>
    </row>
    <row r="444" spans="20:20" hidden="1" x14ac:dyDescent="0.25">
      <c r="T444" s="40" t="str">
        <f>IF(R444="IRRIGATED",IF(F444&gt;=SCORES!I$6,1,0),"")</f>
        <v/>
      </c>
    </row>
    <row r="445" spans="20:20" hidden="1" x14ac:dyDescent="0.25">
      <c r="T445" s="40" t="str">
        <f>IF(R445="IRRIGATED",IF(F445&gt;=SCORES!I$6,1,0),"")</f>
        <v/>
      </c>
    </row>
    <row r="446" spans="20:20" hidden="1" x14ac:dyDescent="0.25">
      <c r="T446" s="40" t="str">
        <f>IF(R446="IRRIGATED",IF(F446&gt;=SCORES!I$6,1,0),"")</f>
        <v/>
      </c>
    </row>
    <row r="447" spans="20:20" hidden="1" x14ac:dyDescent="0.25">
      <c r="T447" s="40" t="str">
        <f>IF(R447="IRRIGATED",IF(F447&gt;=SCORES!I$6,1,0),"")</f>
        <v/>
      </c>
    </row>
    <row r="448" spans="20:20" hidden="1" x14ac:dyDescent="0.25">
      <c r="T448" s="40" t="str">
        <f>IF(R448="IRRIGATED",IF(F448&gt;=SCORES!I$6,1,0),"")</f>
        <v/>
      </c>
    </row>
    <row r="449" spans="20:20" hidden="1" x14ac:dyDescent="0.25">
      <c r="T449" s="40" t="str">
        <f>IF(R449="IRRIGATED",IF(F449&gt;=SCORES!I$6,1,0),"")</f>
        <v/>
      </c>
    </row>
    <row r="450" spans="20:20" hidden="1" x14ac:dyDescent="0.25">
      <c r="T450" s="40" t="str">
        <f>IF(R450="IRRIGATED",IF(F450&gt;=SCORES!I$6,1,0),"")</f>
        <v/>
      </c>
    </row>
    <row r="451" spans="20:20" hidden="1" x14ac:dyDescent="0.25">
      <c r="T451" s="40" t="str">
        <f>IF(R451="IRRIGATED",IF(F451&gt;=SCORES!I$6,1,0),"")</f>
        <v/>
      </c>
    </row>
    <row r="452" spans="20:20" hidden="1" x14ac:dyDescent="0.25">
      <c r="T452" s="40" t="str">
        <f>IF(R452="IRRIGATED",IF(F452&gt;=SCORES!I$6,1,0),"")</f>
        <v/>
      </c>
    </row>
    <row r="453" spans="20:20" hidden="1" x14ac:dyDescent="0.25">
      <c r="T453" s="40" t="str">
        <f>IF(R453="IRRIGATED",IF(F453&gt;=SCORES!I$6,1,0),"")</f>
        <v/>
      </c>
    </row>
    <row r="454" spans="20:20" hidden="1" x14ac:dyDescent="0.25">
      <c r="T454" s="40" t="str">
        <f>IF(R454="IRRIGATED",IF(F454&gt;=SCORES!I$6,1,0),"")</f>
        <v/>
      </c>
    </row>
    <row r="455" spans="20:20" hidden="1" x14ac:dyDescent="0.25">
      <c r="T455" s="40" t="str">
        <f>IF(R455="IRRIGATED",IF(F455&gt;=SCORES!I$6,1,0),"")</f>
        <v/>
      </c>
    </row>
    <row r="456" spans="20:20" hidden="1" x14ac:dyDescent="0.25">
      <c r="T456" s="40" t="str">
        <f>IF(R456="IRRIGATED",IF(F456&gt;=SCORES!I$6,1,0),"")</f>
        <v/>
      </c>
    </row>
    <row r="457" spans="20:20" hidden="1" x14ac:dyDescent="0.25">
      <c r="T457" s="40" t="str">
        <f>IF(R457="IRRIGATED",IF(F457&gt;=SCORES!I$6,1,0),"")</f>
        <v/>
      </c>
    </row>
    <row r="458" spans="20:20" hidden="1" x14ac:dyDescent="0.25">
      <c r="T458" s="40" t="str">
        <f>IF(R458="IRRIGATED",IF(F458&gt;=SCORES!I$6,1,0),"")</f>
        <v/>
      </c>
    </row>
    <row r="459" spans="20:20" hidden="1" x14ac:dyDescent="0.25">
      <c r="T459" s="40" t="str">
        <f>IF(R459="IRRIGATED",IF(F459&gt;=SCORES!I$6,1,0),"")</f>
        <v/>
      </c>
    </row>
    <row r="460" spans="20:20" hidden="1" x14ac:dyDescent="0.25">
      <c r="T460" s="40" t="str">
        <f>IF(R460="IRRIGATED",IF(F460&gt;=SCORES!I$6,1,0),"")</f>
        <v/>
      </c>
    </row>
    <row r="461" spans="20:20" hidden="1" x14ac:dyDescent="0.25">
      <c r="T461" s="40" t="str">
        <f>IF(R461="IRRIGATED",IF(F461&gt;=SCORES!I$6,1,0),"")</f>
        <v/>
      </c>
    </row>
    <row r="462" spans="20:20" hidden="1" x14ac:dyDescent="0.25">
      <c r="T462" s="40" t="str">
        <f>IF(R462="IRRIGATED",IF(F462&gt;=SCORES!I$6,1,0),"")</f>
        <v/>
      </c>
    </row>
    <row r="463" spans="20:20" hidden="1" x14ac:dyDescent="0.25">
      <c r="T463" s="40" t="str">
        <f>IF(R463="IRRIGATED",IF(F463&gt;=SCORES!I$6,1,0),"")</f>
        <v/>
      </c>
    </row>
    <row r="464" spans="20:20" hidden="1" x14ac:dyDescent="0.25">
      <c r="T464" s="40" t="str">
        <f>IF(R464="IRRIGATED",IF(F464&gt;=SCORES!I$6,1,0),"")</f>
        <v/>
      </c>
    </row>
    <row r="465" spans="20:20" hidden="1" x14ac:dyDescent="0.25">
      <c r="T465" s="40" t="str">
        <f>IF(R465="IRRIGATED",IF(F465&gt;=SCORES!I$6,1,0),"")</f>
        <v/>
      </c>
    </row>
    <row r="466" spans="20:20" hidden="1" x14ac:dyDescent="0.25">
      <c r="T466" s="40" t="str">
        <f>IF(R466="IRRIGATED",IF(F466&gt;=SCORES!I$6,1,0),"")</f>
        <v/>
      </c>
    </row>
    <row r="467" spans="20:20" hidden="1" x14ac:dyDescent="0.25">
      <c r="T467" s="40" t="str">
        <f>IF(R467="IRRIGATED",IF(F467&gt;=SCORES!I$6,1,0),"")</f>
        <v/>
      </c>
    </row>
    <row r="468" spans="20:20" hidden="1" x14ac:dyDescent="0.25">
      <c r="T468" s="40" t="str">
        <f>IF(R468="IRRIGATED",IF(F468&gt;=SCORES!I$6,1,0),"")</f>
        <v/>
      </c>
    </row>
    <row r="469" spans="20:20" hidden="1" x14ac:dyDescent="0.25">
      <c r="T469" s="40" t="str">
        <f>IF(R469="IRRIGATED",IF(F469&gt;=SCORES!I$6,1,0),"")</f>
        <v/>
      </c>
    </row>
    <row r="470" spans="20:20" hidden="1" x14ac:dyDescent="0.25">
      <c r="T470" s="40" t="str">
        <f>IF(R470="IRRIGATED",IF(F470&gt;=SCORES!I$6,1,0),"")</f>
        <v/>
      </c>
    </row>
    <row r="471" spans="20:20" hidden="1" x14ac:dyDescent="0.25">
      <c r="T471" s="40" t="str">
        <f>IF(R471="IRRIGATED",IF(F471&gt;=SCORES!I$6,1,0),"")</f>
        <v/>
      </c>
    </row>
    <row r="472" spans="20:20" hidden="1" x14ac:dyDescent="0.25">
      <c r="T472" s="40" t="str">
        <f>IF(R472="IRRIGATED",IF(F472&gt;=SCORES!I$6,1,0),"")</f>
        <v/>
      </c>
    </row>
    <row r="473" spans="20:20" hidden="1" x14ac:dyDescent="0.25">
      <c r="T473" s="40" t="str">
        <f>IF(R473="IRRIGATED",IF(F473&gt;=SCORES!I$6,1,0),"")</f>
        <v/>
      </c>
    </row>
    <row r="474" spans="20:20" hidden="1" x14ac:dyDescent="0.25">
      <c r="T474" s="40" t="str">
        <f>IF(R474="IRRIGATED",IF(F474&gt;=SCORES!I$6,1,0),"")</f>
        <v/>
      </c>
    </row>
    <row r="475" spans="20:20" hidden="1" x14ac:dyDescent="0.25">
      <c r="T475" s="40" t="str">
        <f>IF(R475="IRRIGATED",IF(F475&gt;=SCORES!I$6,1,0),"")</f>
        <v/>
      </c>
    </row>
    <row r="476" spans="20:20" hidden="1" x14ac:dyDescent="0.25">
      <c r="T476" s="40" t="str">
        <f>IF(R476="IRRIGATED",IF(F476&gt;=SCORES!I$6,1,0),"")</f>
        <v/>
      </c>
    </row>
    <row r="477" spans="20:20" hidden="1" x14ac:dyDescent="0.25">
      <c r="T477" s="40" t="str">
        <f>IF(R477="IRRIGATED",IF(F477&gt;=SCORES!I$6,1,0),"")</f>
        <v/>
      </c>
    </row>
    <row r="478" spans="20:20" hidden="1" x14ac:dyDescent="0.25">
      <c r="T478" s="40" t="str">
        <f>IF(R478="IRRIGATED",IF(F478&gt;=SCORES!I$6,1,0),"")</f>
        <v/>
      </c>
    </row>
    <row r="479" spans="20:20" hidden="1" x14ac:dyDescent="0.25">
      <c r="T479" s="40" t="str">
        <f>IF(R479="IRRIGATED",IF(F479&gt;=SCORES!I$6,1,0),"")</f>
        <v/>
      </c>
    </row>
    <row r="480" spans="20:20" hidden="1" x14ac:dyDescent="0.25">
      <c r="T480" s="40" t="str">
        <f>IF(R480="IRRIGATED",IF(F480&gt;=SCORES!I$6,1,0),"")</f>
        <v/>
      </c>
    </row>
    <row r="481" spans="2:22" hidden="1" x14ac:dyDescent="0.25">
      <c r="T481" s="40" t="str">
        <f>IF(R481="IRRIGATED",IF(F481&gt;=SCORES!I$6,1,0),"")</f>
        <v/>
      </c>
    </row>
    <row r="482" spans="2:22" hidden="1" x14ac:dyDescent="0.25">
      <c r="T482" s="40" t="str">
        <f>IF(R482="IRRIGATED",IF(F482&gt;=SCORES!I$6,1,0),"")</f>
        <v/>
      </c>
    </row>
    <row r="483" spans="2:22" hidden="1" x14ac:dyDescent="0.25">
      <c r="T483" s="40" t="str">
        <f>IF(R483="IRRIGATED",IF(F483&gt;=SCORES!I$6,1,0),"")</f>
        <v/>
      </c>
    </row>
    <row r="484" spans="2:22" hidden="1" x14ac:dyDescent="0.25">
      <c r="T484" s="40" t="str">
        <f>IF(R484="IRRIGATED",IF(F484&gt;=SCORES!I$6,1,0),"")</f>
        <v/>
      </c>
    </row>
    <row r="485" spans="2:22" hidden="1" x14ac:dyDescent="0.25">
      <c r="T485" s="40" t="str">
        <f>IF(R485="IRRIGATED",IF(F485&gt;=SCORES!I$6,1,0),"")</f>
        <v/>
      </c>
    </row>
    <row r="490" spans="2:22" x14ac:dyDescent="0.25">
      <c r="B490" s="8">
        <f>(A158+A114)/17276</f>
        <v>0.3500276700293562</v>
      </c>
    </row>
    <row r="491" spans="2:22" x14ac:dyDescent="0.25">
      <c r="U491">
        <v>12598</v>
      </c>
      <c r="V491">
        <v>16310</v>
      </c>
    </row>
  </sheetData>
  <autoFilter ref="A1:T485" xr:uid="{227FE9C6-349E-9541-9ACA-C5D18CF6D7F3}">
    <filterColumn colId="14">
      <filters>
        <filter val="0"/>
      </filters>
    </filterColumn>
  </autoFilter>
  <sortState xmlns:xlrd2="http://schemas.microsoft.com/office/spreadsheetml/2017/richdata2" ref="A2:T491">
    <sortCondition ref="C1:C491"/>
  </sortState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9BBD-3850-1242-9CA0-5A5865D6D4BC}">
  <dimension ref="A1:DG111"/>
  <sheetViews>
    <sheetView zoomScale="70" zoomScaleNormal="70" workbookViewId="0">
      <pane xSplit="2" ySplit="7" topLeftCell="C40" activePane="bottomRight" state="frozen"/>
      <selection pane="topRight" activeCell="C1" sqref="C1"/>
      <selection pane="bottomLeft" activeCell="A8" sqref="A8"/>
      <selection pane="bottomRight" activeCell="F56" sqref="F56"/>
    </sheetView>
  </sheetViews>
  <sheetFormatPr defaultColWidth="11.25" defaultRowHeight="15.75" x14ac:dyDescent="0.25"/>
  <cols>
    <col min="1" max="1" width="35.25" customWidth="1"/>
    <col min="6" max="6" width="11.25" bestFit="1" customWidth="1"/>
    <col min="10" max="10" width="16.25" style="2" bestFit="1" customWidth="1"/>
    <col min="17" max="17" width="21.875" customWidth="1"/>
    <col min="19" max="49" width="11.25" style="60"/>
  </cols>
  <sheetData>
    <row r="1" spans="1:111" ht="18.75" x14ac:dyDescent="0.3">
      <c r="C1" s="12"/>
    </row>
    <row r="2" spans="1:111" ht="18.75" x14ac:dyDescent="0.3">
      <c r="B2" t="s">
        <v>67</v>
      </c>
      <c r="C2" s="4" t="str">
        <f>Summary!C2</f>
        <v>Ong</v>
      </c>
      <c r="D2" s="4" t="str">
        <f>Summary!C2</f>
        <v>Ong</v>
      </c>
      <c r="E2" s="4" t="str">
        <f>Summary!C2</f>
        <v>Ong</v>
      </c>
      <c r="F2" s="4" t="str">
        <f>Summary!C2</f>
        <v>Ong</v>
      </c>
      <c r="G2" s="4"/>
      <c r="H2" s="4"/>
      <c r="K2" s="4" t="s">
        <v>11</v>
      </c>
      <c r="S2" s="61" t="s">
        <v>62</v>
      </c>
      <c r="U2" s="61"/>
      <c r="AX2" s="4" t="s">
        <v>63</v>
      </c>
      <c r="BA2" s="4"/>
      <c r="CC2" s="4" t="s">
        <v>64</v>
      </c>
      <c r="CF2" s="4"/>
      <c r="CS2" s="4"/>
      <c r="CT2" s="4"/>
    </row>
    <row r="3" spans="1:111" x14ac:dyDescent="0.25">
      <c r="G3" s="7"/>
      <c r="H3" s="7"/>
      <c r="K3" t="s">
        <v>44</v>
      </c>
      <c r="L3" t="s">
        <v>46</v>
      </c>
      <c r="M3" t="s">
        <v>47</v>
      </c>
      <c r="N3" t="s">
        <v>48</v>
      </c>
      <c r="O3" t="s">
        <v>40</v>
      </c>
      <c r="P3" t="s">
        <v>42</v>
      </c>
      <c r="Q3" t="s">
        <v>45</v>
      </c>
      <c r="R3" t="s">
        <v>43</v>
      </c>
      <c r="S3" s="60" t="s">
        <v>49</v>
      </c>
      <c r="T3" s="60" t="s">
        <v>59</v>
      </c>
      <c r="U3" s="60" t="s">
        <v>136</v>
      </c>
      <c r="V3" s="60" t="s">
        <v>52</v>
      </c>
      <c r="W3" s="60" t="s">
        <v>60</v>
      </c>
      <c r="X3" s="60" t="s">
        <v>53</v>
      </c>
      <c r="Y3" s="60" t="s">
        <v>120</v>
      </c>
      <c r="Z3" s="60" t="s">
        <v>54</v>
      </c>
      <c r="AA3" s="60" t="s">
        <v>61</v>
      </c>
      <c r="AB3" s="60" t="s">
        <v>137</v>
      </c>
      <c r="AC3" s="60" t="s">
        <v>56</v>
      </c>
      <c r="AD3" s="60" t="s">
        <v>138</v>
      </c>
      <c r="AE3" s="60" t="s">
        <v>50</v>
      </c>
      <c r="AF3" s="60" t="s">
        <v>55</v>
      </c>
      <c r="AG3" s="60" t="s">
        <v>51</v>
      </c>
      <c r="AH3" s="60" t="s">
        <v>58</v>
      </c>
      <c r="AI3" s="60" t="s">
        <v>128</v>
      </c>
      <c r="AJ3" s="60" t="s">
        <v>129</v>
      </c>
      <c r="AK3" s="60" t="s">
        <v>127</v>
      </c>
      <c r="AL3" s="60" t="s">
        <v>132</v>
      </c>
      <c r="AM3" s="60" t="s">
        <v>139</v>
      </c>
      <c r="AN3" s="60" t="s">
        <v>140</v>
      </c>
      <c r="AO3" s="60" t="s">
        <v>141</v>
      </c>
      <c r="AP3" s="60" t="s">
        <v>142</v>
      </c>
      <c r="AQ3" s="60" t="s">
        <v>133</v>
      </c>
      <c r="AR3" s="60" t="s">
        <v>130</v>
      </c>
      <c r="AS3" s="60" t="s">
        <v>143</v>
      </c>
      <c r="AT3" s="60" t="s">
        <v>144</v>
      </c>
      <c r="AU3" s="60" t="s">
        <v>145</v>
      </c>
      <c r="AV3" s="60" t="s">
        <v>134</v>
      </c>
      <c r="AW3" s="60" t="s">
        <v>131</v>
      </c>
      <c r="AX3" t="s">
        <v>49</v>
      </c>
      <c r="AY3" t="s">
        <v>59</v>
      </c>
      <c r="AZ3" t="s">
        <v>136</v>
      </c>
      <c r="BA3" t="s">
        <v>52</v>
      </c>
      <c r="BB3" t="s">
        <v>60</v>
      </c>
      <c r="BC3" t="s">
        <v>53</v>
      </c>
      <c r="BD3" t="s">
        <v>120</v>
      </c>
      <c r="BE3" t="s">
        <v>54</v>
      </c>
      <c r="BF3" t="s">
        <v>61</v>
      </c>
      <c r="BG3" t="s">
        <v>137</v>
      </c>
      <c r="BH3" t="s">
        <v>56</v>
      </c>
      <c r="BI3" t="s">
        <v>138</v>
      </c>
      <c r="BJ3" t="s">
        <v>50</v>
      </c>
      <c r="BK3" t="s">
        <v>55</v>
      </c>
      <c r="BL3" t="s">
        <v>51</v>
      </c>
      <c r="BM3" t="s">
        <v>58</v>
      </c>
      <c r="BN3" t="s">
        <v>128</v>
      </c>
      <c r="BO3" t="s">
        <v>129</v>
      </c>
      <c r="BP3" t="s">
        <v>127</v>
      </c>
      <c r="BQ3" t="s">
        <v>132</v>
      </c>
      <c r="BR3" t="s">
        <v>139</v>
      </c>
      <c r="BS3" t="s">
        <v>140</v>
      </c>
      <c r="BT3" t="s">
        <v>141</v>
      </c>
      <c r="BU3" t="s">
        <v>142</v>
      </c>
      <c r="BV3" t="s">
        <v>133</v>
      </c>
      <c r="BW3" t="s">
        <v>130</v>
      </c>
      <c r="BX3" t="s">
        <v>143</v>
      </c>
      <c r="BY3" t="s">
        <v>144</v>
      </c>
      <c r="BZ3" t="s">
        <v>145</v>
      </c>
      <c r="CA3" t="s">
        <v>134</v>
      </c>
      <c r="CB3" t="s">
        <v>131</v>
      </c>
      <c r="CC3" t="s">
        <v>49</v>
      </c>
      <c r="CD3" t="s">
        <v>59</v>
      </c>
      <c r="CE3" t="s">
        <v>136</v>
      </c>
      <c r="CF3" t="s">
        <v>52</v>
      </c>
      <c r="CG3" t="s">
        <v>60</v>
      </c>
      <c r="CH3" t="s">
        <v>53</v>
      </c>
      <c r="CI3" t="s">
        <v>120</v>
      </c>
      <c r="CJ3" t="s">
        <v>54</v>
      </c>
      <c r="CK3" t="s">
        <v>61</v>
      </c>
      <c r="CL3" t="s">
        <v>137</v>
      </c>
      <c r="CM3" t="s">
        <v>56</v>
      </c>
      <c r="CN3" t="s">
        <v>138</v>
      </c>
      <c r="CO3" t="s">
        <v>50</v>
      </c>
      <c r="CP3" t="s">
        <v>55</v>
      </c>
      <c r="CQ3" t="s">
        <v>51</v>
      </c>
      <c r="CR3" t="s">
        <v>58</v>
      </c>
      <c r="CS3" t="s">
        <v>128</v>
      </c>
      <c r="CT3" t="s">
        <v>129</v>
      </c>
      <c r="CU3" t="s">
        <v>127</v>
      </c>
      <c r="CV3" t="s">
        <v>132</v>
      </c>
      <c r="CW3" t="s">
        <v>139</v>
      </c>
      <c r="CX3" t="s">
        <v>140</v>
      </c>
      <c r="CY3" t="s">
        <v>141</v>
      </c>
      <c r="CZ3" t="s">
        <v>142</v>
      </c>
      <c r="DA3" t="s">
        <v>133</v>
      </c>
      <c r="DB3" t="s">
        <v>130</v>
      </c>
      <c r="DC3" t="s">
        <v>143</v>
      </c>
      <c r="DD3" t="s">
        <v>144</v>
      </c>
      <c r="DE3" t="s">
        <v>145</v>
      </c>
      <c r="DF3" t="s">
        <v>134</v>
      </c>
      <c r="DG3" t="s">
        <v>131</v>
      </c>
    </row>
    <row r="4" spans="1:111" x14ac:dyDescent="0.25">
      <c r="A4" t="s">
        <v>65</v>
      </c>
      <c r="B4" t="s">
        <v>69</v>
      </c>
      <c r="C4" s="7">
        <f>Summary!$C4</f>
        <v>30837.7</v>
      </c>
      <c r="D4" s="7">
        <f>Summary!$C4</f>
        <v>30837.7</v>
      </c>
      <c r="E4" s="7">
        <f>Summary!$C4</f>
        <v>30837.7</v>
      </c>
      <c r="F4" s="7">
        <f>Summary!$C4</f>
        <v>30837.7</v>
      </c>
      <c r="G4" s="25"/>
      <c r="H4" s="25"/>
      <c r="J4" s="2" t="s">
        <v>191</v>
      </c>
      <c r="K4" s="5">
        <v>1</v>
      </c>
      <c r="L4" s="5">
        <v>2</v>
      </c>
      <c r="M4" s="5">
        <v>3</v>
      </c>
      <c r="N4" s="5">
        <v>4</v>
      </c>
      <c r="O4" s="5">
        <v>5</v>
      </c>
      <c r="P4" s="5">
        <v>6</v>
      </c>
      <c r="Q4" s="5">
        <v>7</v>
      </c>
      <c r="R4" s="5">
        <v>8</v>
      </c>
      <c r="S4" s="60">
        <v>1</v>
      </c>
      <c r="T4" s="60">
        <v>2</v>
      </c>
      <c r="U4" s="60">
        <v>3</v>
      </c>
      <c r="V4" s="60">
        <v>4</v>
      </c>
      <c r="W4" s="60">
        <v>5</v>
      </c>
      <c r="X4" s="60">
        <v>6</v>
      </c>
      <c r="Y4" s="60">
        <v>7</v>
      </c>
      <c r="Z4" s="60">
        <v>8</v>
      </c>
      <c r="AA4" s="60">
        <v>9</v>
      </c>
      <c r="AB4" s="60">
        <v>10</v>
      </c>
      <c r="AC4" s="60">
        <v>11</v>
      </c>
      <c r="AD4" s="60">
        <v>12</v>
      </c>
      <c r="AE4" s="60">
        <v>13</v>
      </c>
      <c r="AF4" s="60">
        <v>14</v>
      </c>
      <c r="AG4" s="60">
        <v>15</v>
      </c>
      <c r="AH4" s="60">
        <v>16</v>
      </c>
      <c r="AI4" s="60">
        <v>17</v>
      </c>
      <c r="AJ4" s="60">
        <v>18</v>
      </c>
      <c r="AK4" s="60">
        <v>19</v>
      </c>
      <c r="AL4" s="60">
        <v>20</v>
      </c>
      <c r="AM4" s="60">
        <v>21</v>
      </c>
      <c r="AN4" s="60">
        <v>22</v>
      </c>
      <c r="AO4" s="60">
        <v>23</v>
      </c>
      <c r="AP4" s="60">
        <v>24</v>
      </c>
      <c r="AQ4" s="60">
        <v>25</v>
      </c>
      <c r="AR4" s="60">
        <v>40</v>
      </c>
      <c r="AS4" s="60">
        <v>41</v>
      </c>
      <c r="AT4" s="60">
        <v>42</v>
      </c>
      <c r="AU4" s="60">
        <v>43</v>
      </c>
      <c r="AV4" s="60">
        <v>44</v>
      </c>
      <c r="AW4" s="60">
        <v>45</v>
      </c>
      <c r="AX4">
        <v>1</v>
      </c>
      <c r="AY4">
        <v>2</v>
      </c>
      <c r="AZ4">
        <v>3</v>
      </c>
      <c r="BA4">
        <v>4</v>
      </c>
      <c r="BB4">
        <v>5</v>
      </c>
      <c r="BC4">
        <v>6</v>
      </c>
      <c r="BD4">
        <v>7</v>
      </c>
      <c r="BE4">
        <v>8</v>
      </c>
      <c r="BF4">
        <v>9</v>
      </c>
      <c r="BG4">
        <v>10</v>
      </c>
      <c r="BH4">
        <v>11</v>
      </c>
      <c r="BI4">
        <v>12</v>
      </c>
      <c r="BJ4">
        <v>13</v>
      </c>
      <c r="BK4">
        <v>14</v>
      </c>
      <c r="BL4">
        <v>15</v>
      </c>
      <c r="BM4">
        <v>17</v>
      </c>
      <c r="BN4">
        <v>31</v>
      </c>
      <c r="BO4">
        <v>32</v>
      </c>
      <c r="BP4">
        <v>33</v>
      </c>
      <c r="BQ4">
        <v>34</v>
      </c>
      <c r="BR4">
        <v>35</v>
      </c>
      <c r="BS4">
        <v>36</v>
      </c>
      <c r="BT4">
        <v>37</v>
      </c>
      <c r="BU4">
        <v>38</v>
      </c>
      <c r="BV4">
        <v>39</v>
      </c>
      <c r="BW4">
        <v>40</v>
      </c>
      <c r="BX4">
        <v>41</v>
      </c>
      <c r="BY4">
        <v>42</v>
      </c>
      <c r="BZ4">
        <v>43</v>
      </c>
      <c r="CA4">
        <v>44</v>
      </c>
      <c r="CB4">
        <v>45</v>
      </c>
      <c r="CC4">
        <v>1</v>
      </c>
      <c r="CD4">
        <v>2</v>
      </c>
      <c r="CE4">
        <v>3</v>
      </c>
      <c r="CF4">
        <v>4</v>
      </c>
      <c r="CG4">
        <v>5</v>
      </c>
      <c r="CH4">
        <v>6</v>
      </c>
      <c r="CI4">
        <v>7</v>
      </c>
      <c r="CJ4">
        <v>8</v>
      </c>
      <c r="CK4">
        <v>9</v>
      </c>
      <c r="CL4">
        <v>10</v>
      </c>
      <c r="CM4">
        <v>11</v>
      </c>
      <c r="CN4">
        <v>12</v>
      </c>
      <c r="CO4">
        <v>13</v>
      </c>
      <c r="CP4">
        <v>14</v>
      </c>
      <c r="CQ4">
        <v>15</v>
      </c>
      <c r="CR4">
        <v>17</v>
      </c>
      <c r="CS4">
        <v>31</v>
      </c>
      <c r="CT4">
        <v>32</v>
      </c>
      <c r="CU4">
        <v>33</v>
      </c>
      <c r="CV4">
        <v>34</v>
      </c>
      <c r="CW4">
        <v>35</v>
      </c>
      <c r="CX4">
        <v>36</v>
      </c>
      <c r="CY4">
        <v>37</v>
      </c>
      <c r="CZ4">
        <v>38</v>
      </c>
      <c r="DA4">
        <v>39</v>
      </c>
      <c r="DB4">
        <v>40</v>
      </c>
      <c r="DC4">
        <v>41</v>
      </c>
      <c r="DD4">
        <v>42</v>
      </c>
      <c r="DE4">
        <v>43</v>
      </c>
      <c r="DF4">
        <v>44</v>
      </c>
      <c r="DG4">
        <v>45</v>
      </c>
    </row>
    <row r="5" spans="1:111" x14ac:dyDescent="0.25">
      <c r="B5" t="s">
        <v>117</v>
      </c>
      <c r="C5" s="7">
        <f>Summary!$C3</f>
        <v>17276</v>
      </c>
      <c r="D5" s="7">
        <f>Summary!$C3</f>
        <v>17276</v>
      </c>
      <c r="E5" s="7">
        <f>Summary!$C3</f>
        <v>17276</v>
      </c>
      <c r="F5" s="7">
        <f>Summary!$C3</f>
        <v>17276</v>
      </c>
      <c r="G5" s="17"/>
      <c r="H5" s="25"/>
      <c r="J5" s="7" t="s">
        <v>5</v>
      </c>
      <c r="K5">
        <v>2</v>
      </c>
      <c r="L5">
        <v>2</v>
      </c>
      <c r="M5">
        <v>3</v>
      </c>
      <c r="N5">
        <v>1</v>
      </c>
      <c r="O5">
        <v>1</v>
      </c>
      <c r="P5">
        <v>1</v>
      </c>
      <c r="Q5">
        <v>2</v>
      </c>
      <c r="R5">
        <v>1</v>
      </c>
    </row>
    <row r="6" spans="1:111" ht="18.75" x14ac:dyDescent="0.3">
      <c r="C6" s="4" t="s">
        <v>62</v>
      </c>
      <c r="D6" s="4" t="s">
        <v>63</v>
      </c>
      <c r="E6" s="4" t="s">
        <v>64</v>
      </c>
      <c r="F6" s="4" t="s">
        <v>11</v>
      </c>
      <c r="G6" s="4"/>
      <c r="H6" s="4"/>
    </row>
    <row r="7" spans="1:111" ht="22.9" customHeight="1" x14ac:dyDescent="0.25">
      <c r="B7" t="s">
        <v>35</v>
      </c>
      <c r="C7">
        <v>1</v>
      </c>
      <c r="D7">
        <v>2</v>
      </c>
      <c r="E7">
        <v>3</v>
      </c>
      <c r="F7">
        <v>0</v>
      </c>
      <c r="J7" s="2" t="s">
        <v>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60">
        <v>1</v>
      </c>
      <c r="T7" s="60">
        <v>1</v>
      </c>
      <c r="U7" s="60">
        <v>1</v>
      </c>
      <c r="V7" s="60">
        <v>1</v>
      </c>
      <c r="W7" s="60">
        <v>1</v>
      </c>
      <c r="X7" s="60">
        <v>1</v>
      </c>
      <c r="Y7" s="60">
        <v>1</v>
      </c>
      <c r="Z7" s="60">
        <v>1</v>
      </c>
      <c r="AA7" s="60">
        <v>1</v>
      </c>
      <c r="AB7" s="60">
        <v>1</v>
      </c>
      <c r="AC7" s="60">
        <v>1</v>
      </c>
      <c r="AD7" s="60">
        <v>1</v>
      </c>
      <c r="AE7" s="60">
        <v>1</v>
      </c>
      <c r="AF7" s="60">
        <v>1</v>
      </c>
      <c r="AG7" s="60">
        <v>1</v>
      </c>
      <c r="AH7" s="60">
        <v>1</v>
      </c>
      <c r="AI7" s="60">
        <v>1</v>
      </c>
      <c r="AJ7" s="60">
        <v>1</v>
      </c>
      <c r="AK7" s="60">
        <v>1</v>
      </c>
      <c r="AL7" s="60">
        <v>1</v>
      </c>
      <c r="AM7" s="60">
        <v>1</v>
      </c>
      <c r="AN7" s="60">
        <v>1</v>
      </c>
      <c r="AO7" s="60">
        <v>1</v>
      </c>
      <c r="AP7" s="60">
        <v>1</v>
      </c>
      <c r="AQ7" s="60">
        <v>1</v>
      </c>
      <c r="AR7" s="60">
        <v>1</v>
      </c>
      <c r="AS7" s="60">
        <v>1</v>
      </c>
      <c r="AT7" s="60">
        <v>1</v>
      </c>
      <c r="AU7" s="60">
        <v>1</v>
      </c>
      <c r="AV7" s="60">
        <v>1</v>
      </c>
      <c r="AW7" s="60">
        <v>1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3</v>
      </c>
      <c r="CD7">
        <v>3</v>
      </c>
      <c r="CE7">
        <v>3</v>
      </c>
      <c r="CF7">
        <v>3</v>
      </c>
      <c r="CG7">
        <v>3</v>
      </c>
      <c r="CH7">
        <v>3</v>
      </c>
      <c r="CI7">
        <v>3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</row>
    <row r="8" spans="1:111" ht="18.75" x14ac:dyDescent="0.3">
      <c r="A8" s="4" t="s">
        <v>71</v>
      </c>
      <c r="B8">
        <v>2018</v>
      </c>
      <c r="C8" s="7">
        <f>IF(COUNTIFS('Data(perSeason,perCrop)'!$S:$S,Indicators!$B8)&gt;0,SUMIFS('Data(perSeason,perCrop)'!$A:$A,'Data(perSeason,perCrop)'!$S:$S,Indicators!$B8,'Data(perSeason,perCrop)'!$O:$O,Indicators!C$7),"")</f>
        <v>11758.214424712834</v>
      </c>
      <c r="D8" s="7">
        <f>IF(COUNTIFS('Data(perSeason,perCrop)'!$S:$S,Indicators!$B8)&gt;0,SUMIFS('Data(perSeason,perCrop)'!$A:$A,'Data(perSeason,perCrop)'!$S:$S,Indicators!$B8,'Data(perSeason,perCrop)'!$O:$O,Indicators!D$7),"")</f>
        <v>10428.392412296724</v>
      </c>
      <c r="E8" s="7">
        <f>IF(COUNTIFS('Data(perSeason,perCrop)'!$S:$S,Indicators!$B8)&gt;0,SUMIFS('Data(perSeason,perCrop)'!$A:$A,'Data(perSeason,perCrop)'!$S:$S,Indicators!$B8,'Data(perSeason,perCrop)'!$O:$O,Indicators!E$7),"")</f>
        <v>2632.3976346002828</v>
      </c>
      <c r="F8" s="7">
        <f>IF(COUNTIFS('Data(perSeason,perCrop)'!$S:$S,Indicators!$B8)&gt;0,SUMIFS('Data(perSeason,perCrop)'!$A:$A,'Data(perSeason,perCrop)'!$S:$S,Indicators!$B8,'Data(perSeason,perCrop)'!$O:$O,Indicators!F$7),"")</f>
        <v>11794.087192159332</v>
      </c>
      <c r="G8" s="7"/>
      <c r="H8" s="7"/>
      <c r="J8" s="2" t="s">
        <v>209</v>
      </c>
      <c r="K8" s="7">
        <f>SUMIFS('Data(perSeason,perCrop)'!$A:$A,'Data(perSeason,perCrop)'!$S:$S,Indicators!$B8,'Data(perSeason,perCrop)'!$O:$O,Indicators!K$7,'Data(perSeason,perCrop)'!$C:$C,Indicators!K$3)</f>
        <v>70.677873860219194</v>
      </c>
      <c r="L8" s="7">
        <f>SUMIFS('Data(perSeason,perCrop)'!$A:$A,'Data(perSeason,perCrop)'!$S:$S,Indicators!$B8,'Data(perSeason,perCrop)'!$O:$O,Indicators!L$7,'Data(perSeason,perCrop)'!$C:$C,Indicators!L$3)</f>
        <v>0</v>
      </c>
      <c r="M8" s="7">
        <f>SUMIFS('Data(perSeason,perCrop)'!$A:$A,'Data(perSeason,perCrop)'!$S:$S,Indicators!$B8,'Data(perSeason,perCrop)'!$O:$O,Indicators!M$7,'Data(perSeason,perCrop)'!$C:$C,Indicators!M$3)</f>
        <v>0</v>
      </c>
      <c r="N8" s="7">
        <f>SUMIFS('Data(perSeason,perCrop)'!$A:$A,'Data(perSeason,perCrop)'!$S:$S,Indicators!$B8,'Data(perSeason,perCrop)'!$O:$O,Indicators!N$7,'Data(perSeason,perCrop)'!$C:$C,Indicators!N$3)</f>
        <v>796.86922911066608</v>
      </c>
      <c r="O8" s="7">
        <f>SUMIFS('Data(perSeason,perCrop)'!$A:$A,'Data(perSeason,perCrop)'!$S:$S,Indicators!$B8,'Data(perSeason,perCrop)'!$O:$O,Indicators!O$7,'Data(perSeason,perCrop)'!$C:$C,Indicators!O$3)</f>
        <v>8677.5926584606714</v>
      </c>
      <c r="P8" s="7">
        <f>SUMIFS('Data(perSeason,perCrop)'!$A:$A,'Data(perSeason,perCrop)'!$S:$S,Indicators!$B8,'Data(perSeason,perCrop)'!$O:$O,Indicators!P$7,'Data(perSeason,perCrop)'!$C:$C,Indicators!P$3)</f>
        <v>0</v>
      </c>
      <c r="Q8" s="7">
        <f>SUMIFS('Data(perSeason,perCrop)'!$A:$A,'Data(perSeason,perCrop)'!$S:$S,Indicators!$B8,'Data(perSeason,perCrop)'!$O:$O,Indicators!Q$7,'Data(perSeason,perCrop)'!$C:$C,Indicators!Q$3)</f>
        <v>2248.9474307277751</v>
      </c>
      <c r="R8" s="7">
        <f>SUMIFS('Data(perSeason,perCrop)'!$A:$A,'Data(perSeason,perCrop)'!$S:$S,Indicators!$B8,'Data(perSeason,perCrop)'!$O:$O,Indicators!R$7,'Data(perSeason,perCrop)'!$C:$C,Indicators!R$3)</f>
        <v>0</v>
      </c>
      <c r="S8" s="62">
        <f>SUMIFS('Data(perSeason,perCrop)'!$A:$A,'Data(perSeason,perCrop)'!$S:$S,Indicators!$B8,'Data(perSeason,perCrop)'!$O:$O,Indicators!S$7,'Data(perSeason,perCrop)'!$C:$C,Indicators!S$3)</f>
        <v>0</v>
      </c>
      <c r="T8" s="62">
        <f>SUMIFS('Data(perSeason,perCrop)'!$A:$A,'Data(perSeason,perCrop)'!$S:$S,Indicators!$B8,'Data(perSeason,perCrop)'!$O:$O,Indicators!T$7,'Data(perSeason,perCrop)'!$C:$C,Indicators!T$3)</f>
        <v>6646.9655159202994</v>
      </c>
      <c r="U8" s="62">
        <f>SUMIFS('Data(perSeason,perCrop)'!$A:$A,'Data(perSeason,perCrop)'!$S:$S,Indicators!$B8,'Data(perSeason,perCrop)'!$O:$O,Indicators!U$7,'Data(perSeason,perCrop)'!$C:$C,Indicators!U$3)</f>
        <v>0</v>
      </c>
      <c r="V8" s="62">
        <f>SUMIFS('Data(perSeason,perCrop)'!$A:$A,'Data(perSeason,perCrop)'!$S:$S,Indicators!$B8,'Data(perSeason,perCrop)'!$O:$O,Indicators!V$7,'Data(perSeason,perCrop)'!$C:$C,Indicators!V$3)</f>
        <v>0</v>
      </c>
      <c r="W8" s="62">
        <f>SUMIFS('Data(perSeason,perCrop)'!$A:$A,'Data(perSeason,perCrop)'!$S:$S,Indicators!$B8,'Data(perSeason,perCrop)'!$O:$O,Indicators!W$7,'Data(perSeason,perCrop)'!$C:$C,Indicators!W$3)</f>
        <v>0</v>
      </c>
      <c r="X8" s="62">
        <f>SUMIFS('Data(perSeason,perCrop)'!$A:$A,'Data(perSeason,perCrop)'!$S:$S,Indicators!$B8,'Data(perSeason,perCrop)'!$O:$O,Indicators!X$7,'Data(perSeason,perCrop)'!$C:$C,Indicators!X$3)</f>
        <v>0</v>
      </c>
      <c r="Y8" s="62">
        <f>SUMIFS('Data(perSeason,perCrop)'!$A:$A,'Data(perSeason,perCrop)'!$S:$S,Indicators!$B8,'Data(perSeason,perCrop)'!$O:$O,Indicators!Y$7,'Data(perSeason,perCrop)'!$C:$C,Indicators!Y$3)</f>
        <v>0</v>
      </c>
      <c r="Z8" s="62">
        <f>SUMIFS('Data(perSeason,perCrop)'!$A:$A,'Data(perSeason,perCrop)'!$S:$S,Indicators!$B8,'Data(perSeason,perCrop)'!$O:$O,Indicators!Z$7,'Data(perSeason,perCrop)'!$C:$C,Indicators!Z$3)</f>
        <v>0</v>
      </c>
      <c r="AA8" s="62">
        <f>SUMIFS('Data(perSeason,perCrop)'!$A:$A,'Data(perSeason,perCrop)'!$S:$S,Indicators!$B8,'Data(perSeason,perCrop)'!$O:$O,Indicators!AA$7,'Data(perSeason,perCrop)'!$C:$C,Indicators!AA$3)</f>
        <v>0</v>
      </c>
      <c r="AB8" s="62">
        <f>SUMIFS('Data(perSeason,perCrop)'!$A:$A,'Data(perSeason,perCrop)'!$S:$S,Indicators!$B8,'Data(perSeason,perCrop)'!$O:$O,Indicators!AB$7,'Data(perSeason,perCrop)'!$C:$C,Indicators!AB$3)</f>
        <v>0</v>
      </c>
      <c r="AC8" s="62">
        <f>SUMIFS('Data(perSeason,perCrop)'!$A:$A,'Data(perSeason,perCrop)'!$S:$S,Indicators!$B8,'Data(perSeason,perCrop)'!$O:$O,Indicators!AC$7,'Data(perSeason,perCrop)'!$C:$C,Indicators!AC$3)</f>
        <v>0</v>
      </c>
      <c r="AD8" s="62">
        <f>SUMIFS('Data(perSeason,perCrop)'!$A:$A,'Data(perSeason,perCrop)'!$S:$S,Indicators!$B8,'Data(perSeason,perCrop)'!$O:$O,Indicators!AD$7,'Data(perSeason,perCrop)'!$C:$C,Indicators!AD$3)</f>
        <v>0</v>
      </c>
      <c r="AE8" s="62">
        <f>SUMIFS('Data(perSeason,perCrop)'!$A:$A,'Data(perSeason,perCrop)'!$S:$S,Indicators!$B8,'Data(perSeason,perCrop)'!$O:$O,Indicators!AE$7,'Data(perSeason,perCrop)'!$C:$C,Indicators!AE$3)</f>
        <v>0</v>
      </c>
      <c r="AF8" s="62">
        <f>SUMIFS('Data(perSeason,perCrop)'!$A:$A,'Data(perSeason,perCrop)'!$S:$S,Indicators!$B8,'Data(perSeason,perCrop)'!$O:$O,Indicators!AF$7,'Data(perSeason,perCrop)'!$C:$C,Indicators!AF$3)</f>
        <v>154.19546610590211</v>
      </c>
      <c r="AG8" s="62">
        <f>SUMIFS('Data(perSeason,perCrop)'!$A:$A,'Data(perSeason,perCrop)'!$S:$S,Indicators!$B8,'Data(perSeason,perCrop)'!$O:$O,Indicators!AG$7,'Data(perSeason,perCrop)'!$C:$C,Indicators!AG$3)</f>
        <v>556.09712753855865</v>
      </c>
      <c r="AH8" s="62">
        <f>SUMIFS('Data(perSeason,perCrop)'!$A:$A,'Data(perSeason,perCrop)'!$S:$S,Indicators!$B8,'Data(perSeason,perCrop)'!$O:$O,Indicators!AH$7,'Data(perSeason,perCrop)'!$C:$C,Indicators!AH$3)</f>
        <v>0</v>
      </c>
      <c r="AI8" s="62">
        <f>SUMIFS('Data(perSeason,perCrop)'!$A:$A,'Data(perSeason,perCrop)'!$S:$S,Indicators!$B8,'Data(perSeason,perCrop)'!$O:$O,Indicators!AI$7,'Data(perSeason,perCrop)'!$C:$C,Indicators!AI$3)</f>
        <v>1383.4412384178509</v>
      </c>
      <c r="AJ8" s="62">
        <f>SUMIFS('Data(perSeason,perCrop)'!$A:$A,'Data(perSeason,perCrop)'!$S:$S,Indicators!$B8,'Data(perSeason,perCrop)'!$O:$O,Indicators!AJ$7,'Data(perSeason,perCrop)'!$C:$C,Indicators!AJ$3)</f>
        <v>0</v>
      </c>
      <c r="AK8" s="62">
        <f>SUMIFS('Data(perSeason,perCrop)'!$A:$A,'Data(perSeason,perCrop)'!$S:$S,Indicators!$B8,'Data(perSeason,perCrop)'!$O:$O,Indicators!AK$7,'Data(perSeason,perCrop)'!$C:$C,Indicators!AK$3)</f>
        <v>0</v>
      </c>
      <c r="AL8" s="62">
        <f>SUMIFS('Data(perSeason,perCrop)'!$A:$A,'Data(perSeason,perCrop)'!$S:$S,Indicators!$B8,'Data(perSeason,perCrop)'!$O:$O,Indicators!AL$7,'Data(perSeason,perCrop)'!$C:$C,Indicators!AL$3)</f>
        <v>1430.7657044271439</v>
      </c>
      <c r="AM8" s="62">
        <f>SUMIFS('Data(perSeason,perCrop)'!$A:$A,'Data(perSeason,perCrop)'!$S:$S,Indicators!$B8,'Data(perSeason,perCrop)'!$O:$O,Indicators!AM$7,'Data(perSeason,perCrop)'!$C:$C,Indicators!AM$3)</f>
        <v>0</v>
      </c>
      <c r="AN8" s="62">
        <f>SUMIFS('Data(perSeason,perCrop)'!$A:$A,'Data(perSeason,perCrop)'!$S:$S,Indicators!$B8,'Data(perSeason,perCrop)'!$O:$O,Indicators!AN$7,'Data(perSeason,perCrop)'!$C:$C,Indicators!AN$3)</f>
        <v>0</v>
      </c>
      <c r="AO8" s="62">
        <f>SUMIFS('Data(perSeason,perCrop)'!$A:$A,'Data(perSeason,perCrop)'!$S:$S,Indicators!$B8,'Data(perSeason,perCrop)'!$O:$O,Indicators!AO$7,'Data(perSeason,perCrop)'!$C:$C,Indicators!AO$3)</f>
        <v>0</v>
      </c>
      <c r="AP8" s="62">
        <f>SUMIFS('Data(perSeason,perCrop)'!$A:$A,'Data(perSeason,perCrop)'!$S:$S,Indicators!$B8,'Data(perSeason,perCrop)'!$O:$O,Indicators!AP$7,'Data(perSeason,perCrop)'!$C:$C,Indicators!AP$3)</f>
        <v>0</v>
      </c>
      <c r="AQ8" s="62">
        <f>SUMIFS('Data(perSeason,perCrop)'!$A:$A,'Data(perSeason,perCrop)'!$S:$S,Indicators!$B8,'Data(perSeason,perCrop)'!$O:$O,Indicators!AQ$7,'Data(perSeason,perCrop)'!$C:$C,Indicators!AQ$3)</f>
        <v>0</v>
      </c>
      <c r="AR8" s="62">
        <f>SUMIFS('Data(perSeason,perCrop)'!$A:$A,'Data(perSeason,perCrop)'!$S:$S,Indicators!$B8,'Data(perSeason,perCrop)'!$O:$O,Indicators!AR$7,'Data(perSeason,perCrop)'!$C:$C,Indicators!AR$3)</f>
        <v>0</v>
      </c>
      <c r="AS8" s="62">
        <f>SUMIFS('Data(perSeason,perCrop)'!$A:$A,'Data(perSeason,perCrop)'!$S:$S,Indicators!$B8,'Data(perSeason,perCrop)'!$O:$O,Indicators!AS$7,'Data(perSeason,perCrop)'!$C:$C,Indicators!AS$3)</f>
        <v>0</v>
      </c>
      <c r="AT8" s="62">
        <f>SUMIFS('Data(perSeason,perCrop)'!$A:$A,'Data(perSeason,perCrop)'!$S:$S,Indicators!$B8,'Data(perSeason,perCrop)'!$O:$O,Indicators!AT$7,'Data(perSeason,perCrop)'!$C:$C,Indicators!AT$3)</f>
        <v>0</v>
      </c>
      <c r="AU8" s="62">
        <f>SUMIFS('Data(perSeason,perCrop)'!$A:$A,'Data(perSeason,perCrop)'!$S:$S,Indicators!$B8,'Data(perSeason,perCrop)'!$O:$O,Indicators!AU$7,'Data(perSeason,perCrop)'!$C:$C,Indicators!AU$3)</f>
        <v>0</v>
      </c>
      <c r="AV8" s="62">
        <f>SUMIFS('Data(perSeason,perCrop)'!$A:$A,'Data(perSeason,perCrop)'!$S:$S,Indicators!$B8,'Data(perSeason,perCrop)'!$O:$O,Indicators!AV$7,'Data(perSeason,perCrop)'!$C:$C,Indicators!AV$3)</f>
        <v>0</v>
      </c>
      <c r="AW8" s="62">
        <f>SUMIFS('Data(perSeason,perCrop)'!$A:$A,'Data(perSeason,perCrop)'!$S:$S,Indicators!$B8,'Data(perSeason,perCrop)'!$O:$O,Indicators!AW$7,'Data(perSeason,perCrop)'!$C:$C,Indicators!AW$3)</f>
        <v>0</v>
      </c>
      <c r="AX8" s="7">
        <f>SUMIFS('Data(perSeason,perCrop)'!$A:$A,'Data(perSeason,perCrop)'!$S:$S,Indicators!$B8,'Data(perSeason,perCrop)'!$O:$O,Indicators!AX$7,'Data(perSeason,perCrop)'!$C:$C,Indicators!AX$3)</f>
        <v>0</v>
      </c>
      <c r="AY8" s="7">
        <f>SUMIFS('Data(perSeason,perCrop)'!$A:$A,'Data(perSeason,perCrop)'!$S:$S,Indicators!$B8,'Data(perSeason,perCrop)'!$O:$O,Indicators!AY$7,'Data(perSeason,perCrop)'!$C:$C,Indicators!AY$3)</f>
        <v>6603.8070209774814</v>
      </c>
      <c r="AZ8" s="7">
        <f>SUMIFS('Data(perSeason,perCrop)'!$A:$A,'Data(perSeason,perCrop)'!$S:$S,Indicators!$B8,'Data(perSeason,perCrop)'!$O:$O,Indicators!AZ$7,'Data(perSeason,perCrop)'!$C:$C,Indicators!AZ$3)</f>
        <v>0</v>
      </c>
      <c r="BA8" s="7">
        <f>SUMIFS('Data(perSeason,perCrop)'!$A:$A,'Data(perSeason,perCrop)'!$S:$S,Indicators!$B8,'Data(perSeason,perCrop)'!$O:$O,Indicators!BA$7,'Data(perSeason,perCrop)'!$C:$C,Indicators!BA$3)</f>
        <v>0</v>
      </c>
      <c r="BB8" s="7">
        <f>SUMIFS('Data(perSeason,perCrop)'!$A:$A,'Data(perSeason,perCrop)'!$S:$S,Indicators!$B8,'Data(perSeason,perCrop)'!$O:$O,Indicators!BB$7,'Data(perSeason,perCrop)'!$C:$C,Indicators!BB$3)</f>
        <v>0</v>
      </c>
      <c r="BC8" s="7">
        <f>SUMIFS('Data(perSeason,perCrop)'!$A:$A,'Data(perSeason,perCrop)'!$S:$S,Indicators!$B8,'Data(perSeason,perCrop)'!$O:$O,Indicators!BC$7,'Data(perSeason,perCrop)'!$C:$C,Indicators!BC$3)</f>
        <v>0</v>
      </c>
      <c r="BD8" s="7">
        <f>SUMIFS('Data(perSeason,perCrop)'!$A:$A,'Data(perSeason,perCrop)'!$S:$S,Indicators!$B8,'Data(perSeason,perCrop)'!$O:$O,Indicators!BD$7,'Data(perSeason,perCrop)'!$C:$C,Indicators!BD$3)</f>
        <v>0</v>
      </c>
      <c r="BE8" s="7">
        <f>SUMIFS('Data(perSeason,perCrop)'!$A:$A,'Data(perSeason,perCrop)'!$S:$S,Indicators!$B8,'Data(perSeason,perCrop)'!$O:$O,Indicators!BE$7,'Data(perSeason,perCrop)'!$C:$C,Indicators!BE$3)</f>
        <v>0</v>
      </c>
      <c r="BF8" s="7">
        <f>SUMIFS('Data(perSeason,perCrop)'!$A:$A,'Data(perSeason,perCrop)'!$S:$S,Indicators!$B8,'Data(perSeason,perCrop)'!$O:$O,Indicators!BF$7,'Data(perSeason,perCrop)'!$C:$C,Indicators!BF$3)</f>
        <v>0</v>
      </c>
      <c r="BG8" s="7">
        <f>SUMIFS('Data(perSeason,perCrop)'!$A:$A,'Data(perSeason,perCrop)'!$S:$S,Indicators!$B8,'Data(perSeason,perCrop)'!$O:$O,Indicators!BG$7,'Data(perSeason,perCrop)'!$C:$C,Indicators!BG$3)</f>
        <v>0</v>
      </c>
      <c r="BH8" s="7">
        <f>SUMIFS('Data(perSeason,perCrop)'!$A:$A,'Data(perSeason,perCrop)'!$S:$S,Indicators!$B8,'Data(perSeason,perCrop)'!$O:$O,Indicators!BH$7,'Data(perSeason,perCrop)'!$C:$C,Indicators!BH$3)</f>
        <v>0</v>
      </c>
      <c r="BI8" s="7">
        <f>SUMIFS('Data(perSeason,perCrop)'!$A:$A,'Data(perSeason,perCrop)'!$S:$S,Indicators!$B8,'Data(perSeason,perCrop)'!$O:$O,Indicators!BI$7,'Data(perSeason,perCrop)'!$C:$C,Indicators!BI$3)</f>
        <v>0</v>
      </c>
      <c r="BJ8" s="7">
        <f>SUMIFS('Data(perSeason,perCrop)'!$A:$A,'Data(perSeason,perCrop)'!$S:$S,Indicators!$B8,'Data(perSeason,perCrop)'!$O:$O,Indicators!BJ$7,'Data(perSeason,perCrop)'!$C:$C,Indicators!BJ$3)</f>
        <v>0</v>
      </c>
      <c r="BK8" s="7">
        <f>SUMIFS('Data(perSeason,perCrop)'!$A:$A,'Data(perSeason,perCrop)'!$S:$S,Indicators!$B8,'Data(perSeason,perCrop)'!$O:$O,Indicators!BK$7,'Data(perSeason,perCrop)'!$C:$C,Indicators!BK$3)</f>
        <v>0</v>
      </c>
      <c r="BL8" s="7">
        <f>SUMIFS('Data(perSeason,perCrop)'!$A:$A,'Data(perSeason,perCrop)'!$S:$S,Indicators!$B8,'Data(perSeason,perCrop)'!$O:$O,Indicators!BL$7,'Data(perSeason,perCrop)'!$C:$C,Indicators!BL$3)</f>
        <v>88.476511680881202</v>
      </c>
      <c r="BM8" s="7">
        <f>SUMIFS('Data(perSeason,perCrop)'!$A:$A,'Data(perSeason,perCrop)'!$S:$S,Indicators!$B8,'Data(perSeason,perCrop)'!$O:$O,Indicators!BM$7,'Data(perSeason,perCrop)'!$C:$C,Indicators!BM$3)</f>
        <v>0</v>
      </c>
      <c r="BN8" s="7">
        <f>SUMIFS('Data(perSeason,perCrop)'!$A:$A,'Data(perSeason,perCrop)'!$S:$S,Indicators!$B8,'Data(perSeason,perCrop)'!$O:$O,Indicators!BN$7,'Data(perSeason,perCrop)'!$C:$C,Indicators!BN$3)</f>
        <v>1018.7664533274369</v>
      </c>
      <c r="BO8" s="7">
        <f>SUMIFS('Data(perSeason,perCrop)'!$A:$A,'Data(perSeason,perCrop)'!$S:$S,Indicators!$B8,'Data(perSeason,perCrop)'!$O:$O,Indicators!BO$7,'Data(perSeason,perCrop)'!$C:$C,Indicators!BO$3)</f>
        <v>0</v>
      </c>
      <c r="BP8" s="7">
        <f>SUMIFS('Data(perSeason,perCrop)'!$A:$A,'Data(perSeason,perCrop)'!$S:$S,Indicators!$B8,'Data(perSeason,perCrop)'!$O:$O,Indicators!BP$7,'Data(perSeason,perCrop)'!$C:$C,Indicators!BP$3)</f>
        <v>0</v>
      </c>
      <c r="BQ8" s="7">
        <f>SUMIFS('Data(perSeason,perCrop)'!$A:$A,'Data(perSeason,perCrop)'!$S:$S,Indicators!$B8,'Data(perSeason,perCrop)'!$O:$O,Indicators!BQ$7,'Data(perSeason,perCrop)'!$C:$C,Indicators!BQ$3)</f>
        <v>1396.187378413043</v>
      </c>
      <c r="BR8" s="7">
        <f>SUMIFS('Data(perSeason,perCrop)'!$A:$A,'Data(perSeason,perCrop)'!$S:$S,Indicators!$B8,'Data(perSeason,perCrop)'!$O:$O,Indicators!BR$7,'Data(perSeason,perCrop)'!$C:$C,Indicators!BR$3)</f>
        <v>0</v>
      </c>
      <c r="BS8" s="7">
        <f>SUMIFS('Data(perSeason,perCrop)'!$A:$A,'Data(perSeason,perCrop)'!$S:$S,Indicators!$B8,'Data(perSeason,perCrop)'!$O:$O,Indicators!BS$7,'Data(perSeason,perCrop)'!$C:$C,Indicators!BS$3)</f>
        <v>0</v>
      </c>
      <c r="BT8" s="7">
        <f>SUMIFS('Data(perSeason,perCrop)'!$A:$A,'Data(perSeason,perCrop)'!$S:$S,Indicators!$B8,'Data(perSeason,perCrop)'!$O:$O,Indicators!BT$7,'Data(perSeason,perCrop)'!$C:$C,Indicators!BT$3)</f>
        <v>0</v>
      </c>
      <c r="BU8" s="7">
        <f>SUMIFS('Data(perSeason,perCrop)'!$A:$A,'Data(perSeason,perCrop)'!$S:$S,Indicators!$B8,'Data(perSeason,perCrop)'!$O:$O,Indicators!BU$7,'Data(perSeason,perCrop)'!$C:$C,Indicators!BU$3)</f>
        <v>0</v>
      </c>
      <c r="BV8" s="7">
        <f>SUMIFS('Data(perSeason,perCrop)'!$A:$A,'Data(perSeason,perCrop)'!$S:$S,Indicators!$B8,'Data(perSeason,perCrop)'!$O:$O,Indicators!BV$7,'Data(perSeason,perCrop)'!$C:$C,Indicators!BV$3)</f>
        <v>0</v>
      </c>
      <c r="BW8" s="7">
        <f>SUMIFS('Data(perSeason,perCrop)'!$A:$A,'Data(perSeason,perCrop)'!$S:$S,Indicators!$B8,'Data(perSeason,perCrop)'!$O:$O,Indicators!BW$7,'Data(perSeason,perCrop)'!$C:$C,Indicators!BW$3)</f>
        <v>0</v>
      </c>
      <c r="BX8" s="7">
        <f>SUMIFS('Data(perSeason,perCrop)'!$A:$A,'Data(perSeason,perCrop)'!$S:$S,Indicators!$B8,'Data(perSeason,perCrop)'!$O:$O,Indicators!BX$7,'Data(perSeason,perCrop)'!$C:$C,Indicators!BX$3)</f>
        <v>0</v>
      </c>
      <c r="BY8" s="7">
        <f>SUMIFS('Data(perSeason,perCrop)'!$A:$A,'Data(perSeason,perCrop)'!$S:$S,Indicators!$B8,'Data(perSeason,perCrop)'!$O:$O,Indicators!BY$7,'Data(perSeason,perCrop)'!$C:$C,Indicators!BY$3)</f>
        <v>0</v>
      </c>
      <c r="BZ8" s="7">
        <f>SUMIFS('Data(perSeason,perCrop)'!$A:$A,'Data(perSeason,perCrop)'!$S:$S,Indicators!$B8,'Data(perSeason,perCrop)'!$O:$O,Indicators!BZ$7,'Data(perSeason,perCrop)'!$C:$C,Indicators!BZ$3)</f>
        <v>0</v>
      </c>
      <c r="CA8" s="7">
        <f>SUMIFS('Data(perSeason,perCrop)'!$A:$A,'Data(perSeason,perCrop)'!$S:$S,Indicators!$B8,'Data(perSeason,perCrop)'!$O:$O,Indicators!CA$7,'Data(perSeason,perCrop)'!$C:$C,Indicators!CA$3)</f>
        <v>0</v>
      </c>
      <c r="CB8" s="7">
        <f>SUMIFS('Data(perSeason,perCrop)'!$A:$A,'Data(perSeason,perCrop)'!$S:$S,Indicators!$B8,'Data(perSeason,perCrop)'!$O:$O,Indicators!CB$7,'Data(perSeason,perCrop)'!$C:$C,Indicators!CB$3)</f>
        <v>0</v>
      </c>
      <c r="CC8" s="7">
        <f>SUMIFS('Data(perSeason,perCrop)'!$A:$A,'Data(perSeason,perCrop)'!$S:$S,Indicators!$B8,'Data(perSeason,perCrop)'!$O:$O,Indicators!CC$7,'Data(perSeason,perCrop)'!$C:$C,Indicators!CC$3)</f>
        <v>0</v>
      </c>
      <c r="CD8" s="7">
        <f>SUMIFS('Data(perSeason,perCrop)'!$A:$A,'Data(perSeason,perCrop)'!$S:$S,Indicators!$B8,'Data(perSeason,perCrop)'!$O:$O,Indicators!CD$7,'Data(perSeason,perCrop)'!$C:$C,Indicators!CD$3)</f>
        <v>0</v>
      </c>
      <c r="CE8" s="7">
        <f>SUMIFS('Data(perSeason,perCrop)'!$A:$A,'Data(perSeason,perCrop)'!$S:$S,Indicators!$B8,'Data(perSeason,perCrop)'!$O:$O,Indicators!CE$7,'Data(perSeason,perCrop)'!$C:$C,Indicators!CE$3)</f>
        <v>0</v>
      </c>
      <c r="CF8" s="7">
        <f>SUMIFS('Data(perSeason,perCrop)'!$A:$A,'Data(perSeason,perCrop)'!$S:$S,Indicators!$B8,'Data(perSeason,perCrop)'!$O:$O,Indicators!CF$7,'Data(perSeason,perCrop)'!$C:$C,Indicators!CF$3)</f>
        <v>0</v>
      </c>
      <c r="CG8" s="7">
        <f>SUMIFS('Data(perSeason,perCrop)'!$A:$A,'Data(perSeason,perCrop)'!$S:$S,Indicators!$B8,'Data(perSeason,perCrop)'!$O:$O,Indicators!CG$7,'Data(perSeason,perCrop)'!$C:$C,Indicators!CG$3)</f>
        <v>0</v>
      </c>
      <c r="CH8" s="7">
        <f>SUMIFS('Data(perSeason,perCrop)'!$A:$A,'Data(perSeason,perCrop)'!$S:$S,Indicators!$B8,'Data(perSeason,perCrop)'!$O:$O,Indicators!CH$7,'Data(perSeason,perCrop)'!$C:$C,Indicators!CH$3)</f>
        <v>0</v>
      </c>
      <c r="CI8" s="7">
        <f>SUMIFS('Data(perSeason,perCrop)'!$A:$A,'Data(perSeason,perCrop)'!$S:$S,Indicators!$B8,'Data(perSeason,perCrop)'!$O:$O,Indicators!CI$7,'Data(perSeason,perCrop)'!$C:$C,Indicators!CI$3)</f>
        <v>0</v>
      </c>
      <c r="CJ8" s="7">
        <f>SUMIFS('Data(perSeason,perCrop)'!$A:$A,'Data(perSeason,perCrop)'!$S:$S,Indicators!$B8,'Data(perSeason,perCrop)'!$O:$O,Indicators!CJ$7,'Data(perSeason,perCrop)'!$C:$C,Indicators!CJ$3)</f>
        <v>0</v>
      </c>
      <c r="CK8" s="7">
        <f>SUMIFS('Data(perSeason,perCrop)'!$A:$A,'Data(perSeason,perCrop)'!$S:$S,Indicators!$B8,'Data(perSeason,perCrop)'!$O:$O,Indicators!CK$7,'Data(perSeason,perCrop)'!$C:$C,Indicators!CK$3)</f>
        <v>0</v>
      </c>
      <c r="CL8" s="7">
        <f>SUMIFS('Data(perSeason,perCrop)'!$A:$A,'Data(perSeason,perCrop)'!$S:$S,Indicators!$B8,'Data(perSeason,perCrop)'!$O:$O,Indicators!CL$7,'Data(perSeason,perCrop)'!$C:$C,Indicators!CL$3)</f>
        <v>0</v>
      </c>
      <c r="CM8" s="7">
        <f>SUMIFS('Data(perSeason,perCrop)'!$A:$A,'Data(perSeason,perCrop)'!$S:$S,Indicators!$B8,'Data(perSeason,perCrop)'!$O:$O,Indicators!CM$7,'Data(perSeason,perCrop)'!$C:$C,Indicators!CM$3)</f>
        <v>0</v>
      </c>
      <c r="CN8" s="7">
        <f>SUMIFS('Data(perSeason,perCrop)'!$A:$A,'Data(perSeason,perCrop)'!$S:$S,Indicators!$B8,'Data(perSeason,perCrop)'!$O:$O,Indicators!CN$7,'Data(perSeason,perCrop)'!$C:$C,Indicators!CN$3)</f>
        <v>0</v>
      </c>
      <c r="CO8" s="7">
        <f>SUMIFS('Data(perSeason,perCrop)'!$A:$A,'Data(perSeason,perCrop)'!$S:$S,Indicators!$B8,'Data(perSeason,perCrop)'!$O:$O,Indicators!CO$7,'Data(perSeason,perCrop)'!$C:$C,Indicators!CO$3)</f>
        <v>0</v>
      </c>
      <c r="CP8" s="7">
        <f>SUMIFS('Data(perSeason,perCrop)'!$A:$A,'Data(perSeason,perCrop)'!$S:$S,Indicators!$B8,'Data(perSeason,perCrop)'!$O:$O,Indicators!CP$7,'Data(perSeason,perCrop)'!$C:$C,Indicators!CP$3)</f>
        <v>1510.060257824071</v>
      </c>
      <c r="CQ8" s="7">
        <f>SUMIFS('Data(perSeason,perCrop)'!$A:$A,'Data(perSeason,perCrop)'!$S:$S,Indicators!$B8,'Data(perSeason,perCrop)'!$O:$O,Indicators!CQ$7,'Data(perSeason,perCrop)'!$C:$C,Indicators!CQ$3)</f>
        <v>188.54984506458035</v>
      </c>
      <c r="CR8" s="7">
        <f>SUMIFS('Data(perSeason,perCrop)'!$A:$A,'Data(perSeason,perCrop)'!$S:$S,Indicators!$B8,'Data(perSeason,perCrop)'!$O:$O,Indicators!CR$7,'Data(perSeason,perCrop)'!$C:$C,Indicators!CR$3)</f>
        <v>0</v>
      </c>
      <c r="CS8" s="7">
        <f>SUMIFS('Data(perSeason,perCrop)'!$A:$A,'Data(perSeason,perCrop)'!$S:$S,Indicators!$B8,'Data(perSeason,perCrop)'!$O:$O,Indicators!CS$7,'Data(perSeason,perCrop)'!$C:$C,Indicators!CS$3)</f>
        <v>36.182164052264596</v>
      </c>
      <c r="CT8" s="7">
        <f>SUMIFS('Data(perSeason,perCrop)'!$A:$A,'Data(perSeason,perCrop)'!$S:$S,Indicators!$B8,'Data(perSeason,perCrop)'!$O:$O,Indicators!CT$7,'Data(perSeason,perCrop)'!$C:$C,Indicators!CT$3)</f>
        <v>0</v>
      </c>
      <c r="CU8" s="7">
        <f>SUMIFS('Data(perSeason,perCrop)'!$A:$A,'Data(perSeason,perCrop)'!$S:$S,Indicators!$B8,'Data(perSeason,perCrop)'!$O:$O,Indicators!CU$7,'Data(perSeason,perCrop)'!$C:$C,Indicators!CU$3)</f>
        <v>0</v>
      </c>
      <c r="CV8" s="7">
        <f>SUMIFS('Data(perSeason,perCrop)'!$A:$A,'Data(perSeason,perCrop)'!$S:$S,Indicators!$B8,'Data(perSeason,perCrop)'!$O:$O,Indicators!CV$7,'Data(perSeason,perCrop)'!$C:$C,Indicators!CV$3)</f>
        <v>844.04762002874577</v>
      </c>
      <c r="CW8" s="7">
        <f>SUMIFS('Data(perSeason,perCrop)'!$A:$A,'Data(perSeason,perCrop)'!$S:$S,Indicators!$B8,'Data(perSeason,perCrop)'!$O:$O,Indicators!CW$7,'Data(perSeason,perCrop)'!$C:$C,Indicators!CW$3)</f>
        <v>0</v>
      </c>
      <c r="CX8" s="7">
        <f>SUMIFS('Data(perSeason,perCrop)'!$A:$A,'Data(perSeason,perCrop)'!$S:$S,Indicators!$B8,'Data(perSeason,perCrop)'!$O:$O,Indicators!CX$7,'Data(perSeason,perCrop)'!$C:$C,Indicators!CX$3)</f>
        <v>0</v>
      </c>
      <c r="CY8" s="7">
        <f>SUMIFS('Data(perSeason,perCrop)'!$A:$A,'Data(perSeason,perCrop)'!$S:$S,Indicators!$B8,'Data(perSeason,perCrop)'!$O:$O,Indicators!CY$7,'Data(perSeason,perCrop)'!$C:$C,Indicators!CY$3)</f>
        <v>0</v>
      </c>
      <c r="CZ8" s="7">
        <f>SUMIFS('Data(perSeason,perCrop)'!$A:$A,'Data(perSeason,perCrop)'!$S:$S,Indicators!$B8,'Data(perSeason,perCrop)'!$O:$O,Indicators!CZ$7,'Data(perSeason,perCrop)'!$C:$C,Indicators!CZ$3)</f>
        <v>0</v>
      </c>
      <c r="DA8" s="7">
        <f>SUMIFS('Data(perSeason,perCrop)'!$A:$A,'Data(perSeason,perCrop)'!$S:$S,Indicators!$B8,'Data(perSeason,perCrop)'!$O:$O,Indicators!DA$7,'Data(perSeason,perCrop)'!$C:$C,Indicators!DA$3)</f>
        <v>0</v>
      </c>
      <c r="DB8" s="7">
        <f>SUMIFS('Data(perSeason,perCrop)'!$A:$A,'Data(perSeason,perCrop)'!$S:$S,Indicators!$B8,'Data(perSeason,perCrop)'!$O:$O,Indicators!DB$7,'Data(perSeason,perCrop)'!$C:$C,Indicators!DB$3)</f>
        <v>0</v>
      </c>
      <c r="DC8" s="7">
        <f>SUMIFS('Data(perSeason,perCrop)'!$A:$A,'Data(perSeason,perCrop)'!$S:$S,Indicators!$B8,'Data(perSeason,perCrop)'!$O:$O,Indicators!DC$7,'Data(perSeason,perCrop)'!$C:$C,Indicators!DC$3)</f>
        <v>0</v>
      </c>
      <c r="DD8" s="7">
        <f>SUMIFS('Data(perSeason,perCrop)'!$A:$A,'Data(perSeason,perCrop)'!$S:$S,Indicators!$B8,'Data(perSeason,perCrop)'!$O:$O,Indicators!DD$7,'Data(perSeason,perCrop)'!$C:$C,Indicators!DD$3)</f>
        <v>0</v>
      </c>
      <c r="DE8" s="7">
        <f>SUMIFS('Data(perSeason,perCrop)'!$A:$A,'Data(perSeason,perCrop)'!$S:$S,Indicators!$B8,'Data(perSeason,perCrop)'!$O:$O,Indicators!DE$7,'Data(perSeason,perCrop)'!$C:$C,Indicators!DE$3)</f>
        <v>0</v>
      </c>
      <c r="DF8" s="7">
        <f>SUMIFS('Data(perSeason,perCrop)'!$A:$A,'Data(perSeason,perCrop)'!$S:$S,Indicators!$B8,'Data(perSeason,perCrop)'!$O:$O,Indicators!DF$7,'Data(perSeason,perCrop)'!$C:$C,Indicators!DF$3)</f>
        <v>0</v>
      </c>
      <c r="DG8" s="7">
        <f>SUMIFS('Data(perSeason,perCrop)'!$A:$A,'Data(perSeason,perCrop)'!$S:$S,Indicators!$B8,'Data(perSeason,perCrop)'!$O:$O,Indicators!DG$7,'Data(perSeason,perCrop)'!$C:$C,Indicators!DG$3)</f>
        <v>0</v>
      </c>
    </row>
    <row r="9" spans="1:111" x14ac:dyDescent="0.25">
      <c r="A9" t="s">
        <v>68</v>
      </c>
      <c r="B9">
        <v>2019</v>
      </c>
      <c r="C9" s="7">
        <f>IF(COUNTIFS('Data(perSeason,perCrop)'!$S:$S,Indicators!$B9)&gt;0,SUMIFS('Data(perSeason,perCrop)'!$A:$A,'Data(perSeason,perCrop)'!$S:$S,Indicators!$B9,'Data(perSeason,perCrop)'!$O:$O,Indicators!C$7),"")</f>
        <v>13338.710402369785</v>
      </c>
      <c r="D9" s="7">
        <f>IF(COUNTIFS('Data(perSeason,perCrop)'!$S:$S,Indicators!$B9)&gt;0,SUMIFS('Data(perSeason,perCrop)'!$A:$A,'Data(perSeason,perCrop)'!$S:$S,Indicators!$B9,'Data(perSeason,perCrop)'!$O:$O,Indicators!D$7),"")</f>
        <v>12926.701820553679</v>
      </c>
      <c r="E9" s="7">
        <f>IF(COUNTIFS('Data(perSeason,perCrop)'!$S:$S,Indicators!$B9)&gt;0,SUMIFS('Data(perSeason,perCrop)'!$A:$A,'Data(perSeason,perCrop)'!$S:$S,Indicators!$B9,'Data(perSeason,perCrop)'!$O:$O,Indicators!E$7),"")</f>
        <v>8239.6159973549002</v>
      </c>
      <c r="F9" s="7">
        <f>IF(COUNTIFS('Data(perSeason,perCrop)'!$S:$S,Indicators!$B9)&gt;0,SUMIFS('Data(perSeason,perCrop)'!$A:$A,'Data(perSeason,perCrop)'!$S:$S,Indicators!$B9,'Data(perSeason,perCrop)'!$O:$O,Indicators!F$7),"")</f>
        <v>13604.610487076829</v>
      </c>
      <c r="G9" s="7"/>
      <c r="H9" s="7"/>
      <c r="J9" s="14" t="s">
        <v>209</v>
      </c>
      <c r="K9" s="7">
        <f>SUMIFS('Data(perSeason,perCrop)'!$A:$A,'Data(perSeason,perCrop)'!$S:$S,Indicators!$B9,'Data(perSeason,perCrop)'!$O:$O,Indicators!K$7,'Data(perSeason,perCrop)'!$C:$C,Indicators!K$3)</f>
        <v>118.67038205033541</v>
      </c>
      <c r="L9" s="7">
        <f>SUMIFS('Data(perSeason,perCrop)'!$A:$A,'Data(perSeason,perCrop)'!$S:$S,Indicators!$B9,'Data(perSeason,perCrop)'!$O:$O,Indicators!L$7,'Data(perSeason,perCrop)'!$C:$C,Indicators!L$3)</f>
        <v>49.024805529692401</v>
      </c>
      <c r="M9" s="7">
        <f>SUMIFS('Data(perSeason,perCrop)'!$A:$A,'Data(perSeason,perCrop)'!$S:$S,Indicators!$B9,'Data(perSeason,perCrop)'!$O:$O,Indicators!M$7,'Data(perSeason,perCrop)'!$C:$C,Indicators!M$3)</f>
        <v>107.797327464159</v>
      </c>
      <c r="N9" s="7">
        <f>SUMIFS('Data(perSeason,perCrop)'!$A:$A,'Data(perSeason,perCrop)'!$S:$S,Indicators!$B9,'Data(perSeason,perCrop)'!$O:$O,Indicators!N$7,'Data(perSeason,perCrop)'!$C:$C,Indicators!N$3)</f>
        <v>3774.403396605941</v>
      </c>
      <c r="O9" s="7">
        <f>SUMIFS('Data(perSeason,perCrop)'!$A:$A,'Data(perSeason,perCrop)'!$S:$S,Indicators!$B9,'Data(perSeason,perCrop)'!$O:$O,Indicators!O$7,'Data(perSeason,perCrop)'!$C:$C,Indicators!O$3)</f>
        <v>4537.6772725355204</v>
      </c>
      <c r="P9" s="7">
        <f>SUMIFS('Data(perSeason,perCrop)'!$A:$A,'Data(perSeason,perCrop)'!$S:$S,Indicators!$B9,'Data(perSeason,perCrop)'!$O:$O,Indicators!P$7,'Data(perSeason,perCrop)'!$C:$C,Indicators!P$3)</f>
        <v>120.2706697403911</v>
      </c>
      <c r="Q9" s="7">
        <f>SUMIFS('Data(perSeason,perCrop)'!$A:$A,'Data(perSeason,perCrop)'!$S:$S,Indicators!$B9,'Data(perSeason,perCrop)'!$O:$O,Indicators!Q$7,'Data(perSeason,perCrop)'!$C:$C,Indicators!Q$3)</f>
        <v>4888.8774142094098</v>
      </c>
      <c r="R9" s="7">
        <f>SUMIFS('Data(perSeason,perCrop)'!$A:$A,'Data(perSeason,perCrop)'!$S:$S,Indicators!$B9,'Data(perSeason,perCrop)'!$O:$O,Indicators!R$7,'Data(perSeason,perCrop)'!$C:$C,Indicators!R$3)</f>
        <v>7.8892189413811202</v>
      </c>
      <c r="S9" s="62">
        <f>SUMIFS('Data(perSeason,perCrop)'!$A:$A,'Data(perSeason,perCrop)'!$S:$S,Indicators!$B9,'Data(perSeason,perCrop)'!$O:$O,Indicators!S$7,'Data(perSeason,perCrop)'!$C:$C,Indicators!S$3)</f>
        <v>0</v>
      </c>
      <c r="T9" s="62">
        <f>SUMIFS('Data(perSeason,perCrop)'!$A:$A,'Data(perSeason,perCrop)'!$S:$S,Indicators!$B9,'Data(perSeason,perCrop)'!$O:$O,Indicators!T$7,'Data(perSeason,perCrop)'!$C:$C,Indicators!T$3)</f>
        <v>3926.6844186490598</v>
      </c>
      <c r="U9" s="62">
        <f>SUMIFS('Data(perSeason,perCrop)'!$A:$A,'Data(perSeason,perCrop)'!$S:$S,Indicators!$B9,'Data(perSeason,perCrop)'!$O:$O,Indicators!U$7,'Data(perSeason,perCrop)'!$C:$C,Indicators!U$3)</f>
        <v>0</v>
      </c>
      <c r="V9" s="62">
        <f>SUMIFS('Data(perSeason,perCrop)'!$A:$A,'Data(perSeason,perCrop)'!$S:$S,Indicators!$B9,'Data(perSeason,perCrop)'!$O:$O,Indicators!V$7,'Data(perSeason,perCrop)'!$C:$C,Indicators!V$3)</f>
        <v>0</v>
      </c>
      <c r="W9" s="62">
        <f>SUMIFS('Data(perSeason,perCrop)'!$A:$A,'Data(perSeason,perCrop)'!$S:$S,Indicators!$B9,'Data(perSeason,perCrop)'!$O:$O,Indicators!W$7,'Data(perSeason,perCrop)'!$C:$C,Indicators!W$3)</f>
        <v>0</v>
      </c>
      <c r="X9" s="62">
        <f>SUMIFS('Data(perSeason,perCrop)'!$A:$A,'Data(perSeason,perCrop)'!$S:$S,Indicators!$B9,'Data(perSeason,perCrop)'!$O:$O,Indicators!X$7,'Data(perSeason,perCrop)'!$C:$C,Indicators!X$3)</f>
        <v>0</v>
      </c>
      <c r="Y9" s="62">
        <f>SUMIFS('Data(perSeason,perCrop)'!$A:$A,'Data(perSeason,perCrop)'!$S:$S,Indicators!$B9,'Data(perSeason,perCrop)'!$O:$O,Indicators!Y$7,'Data(perSeason,perCrop)'!$C:$C,Indicators!Y$3)</f>
        <v>0</v>
      </c>
      <c r="Z9" s="62">
        <f>SUMIFS('Data(perSeason,perCrop)'!$A:$A,'Data(perSeason,perCrop)'!$S:$S,Indicators!$B9,'Data(perSeason,perCrop)'!$O:$O,Indicators!Z$7,'Data(perSeason,perCrop)'!$C:$C,Indicators!Z$3)</f>
        <v>0</v>
      </c>
      <c r="AA9" s="62">
        <f>SUMIFS('Data(perSeason,perCrop)'!$A:$A,'Data(perSeason,perCrop)'!$S:$S,Indicators!$B9,'Data(perSeason,perCrop)'!$O:$O,Indicators!AA$7,'Data(perSeason,perCrop)'!$C:$C,Indicators!AA$3)</f>
        <v>0</v>
      </c>
      <c r="AB9" s="62">
        <f>SUMIFS('Data(perSeason,perCrop)'!$A:$A,'Data(perSeason,perCrop)'!$S:$S,Indicators!$B9,'Data(perSeason,perCrop)'!$O:$O,Indicators!AB$7,'Data(perSeason,perCrop)'!$C:$C,Indicators!AB$3)</f>
        <v>0</v>
      </c>
      <c r="AC9" s="62">
        <f>SUMIFS('Data(perSeason,perCrop)'!$A:$A,'Data(perSeason,perCrop)'!$S:$S,Indicators!$B9,'Data(perSeason,perCrop)'!$O:$O,Indicators!AC$7,'Data(perSeason,perCrop)'!$C:$C,Indicators!AC$3)</f>
        <v>0</v>
      </c>
      <c r="AD9" s="62">
        <f>SUMIFS('Data(perSeason,perCrop)'!$A:$A,'Data(perSeason,perCrop)'!$S:$S,Indicators!$B9,'Data(perSeason,perCrop)'!$O:$O,Indicators!AD$7,'Data(perSeason,perCrop)'!$C:$C,Indicators!AD$3)</f>
        <v>0</v>
      </c>
      <c r="AE9" s="62">
        <f>SUMIFS('Data(perSeason,perCrop)'!$A:$A,'Data(perSeason,perCrop)'!$S:$S,Indicators!$B9,'Data(perSeason,perCrop)'!$O:$O,Indicators!AE$7,'Data(perSeason,perCrop)'!$C:$C,Indicators!AE$3)</f>
        <v>0</v>
      </c>
      <c r="AF9" s="62">
        <f>SUMIFS('Data(perSeason,perCrop)'!$A:$A,'Data(perSeason,perCrop)'!$S:$S,Indicators!$B9,'Data(perSeason,perCrop)'!$O:$O,Indicators!AF$7,'Data(perSeason,perCrop)'!$C:$C,Indicators!AF$3)</f>
        <v>58.965174892386599</v>
      </c>
      <c r="AG9" s="62">
        <f>SUMIFS('Data(perSeason,perCrop)'!$A:$A,'Data(perSeason,perCrop)'!$S:$S,Indicators!$B9,'Data(perSeason,perCrop)'!$O:$O,Indicators!AG$7,'Data(perSeason,perCrop)'!$C:$C,Indicators!AG$3)</f>
        <v>252.852468296089</v>
      </c>
      <c r="AH9" s="62">
        <f>SUMIFS('Data(perSeason,perCrop)'!$A:$A,'Data(perSeason,perCrop)'!$S:$S,Indicators!$B9,'Data(perSeason,perCrop)'!$O:$O,Indicators!AH$7,'Data(perSeason,perCrop)'!$C:$C,Indicators!AH$3)</f>
        <v>0</v>
      </c>
      <c r="AI9" s="62">
        <f>SUMIFS('Data(perSeason,perCrop)'!$A:$A,'Data(perSeason,perCrop)'!$S:$S,Indicators!$B9,'Data(perSeason,perCrop)'!$O:$O,Indicators!AI$7,'Data(perSeason,perCrop)'!$C:$C,Indicators!AI$3)</f>
        <v>1829.4055932789049</v>
      </c>
      <c r="AJ9" s="62">
        <f>SUMIFS('Data(perSeason,perCrop)'!$A:$A,'Data(perSeason,perCrop)'!$S:$S,Indicators!$B9,'Data(perSeason,perCrop)'!$O:$O,Indicators!AJ$7,'Data(perSeason,perCrop)'!$C:$C,Indicators!AJ$3)</f>
        <v>0</v>
      </c>
      <c r="AK9" s="62">
        <f>SUMIFS('Data(perSeason,perCrop)'!$A:$A,'Data(perSeason,perCrop)'!$S:$S,Indicators!$B9,'Data(perSeason,perCrop)'!$O:$O,Indicators!AK$7,'Data(perSeason,perCrop)'!$C:$C,Indicators!AK$3)</f>
        <v>0</v>
      </c>
      <c r="AL9" s="62">
        <f>SUMIFS('Data(perSeason,perCrop)'!$A:$A,'Data(perSeason,perCrop)'!$S:$S,Indicators!$B9,'Data(perSeason,perCrop)'!$O:$O,Indicators!AL$7,'Data(perSeason,perCrop)'!$C:$C,Indicators!AL$3)</f>
        <v>6419.6810179744098</v>
      </c>
      <c r="AM9" s="62">
        <f>SUMIFS('Data(perSeason,perCrop)'!$A:$A,'Data(perSeason,perCrop)'!$S:$S,Indicators!$B9,'Data(perSeason,perCrop)'!$O:$O,Indicators!AM$7,'Data(perSeason,perCrop)'!$C:$C,Indicators!AM$3)</f>
        <v>0</v>
      </c>
      <c r="AN9" s="62">
        <f>SUMIFS('Data(perSeason,perCrop)'!$A:$A,'Data(perSeason,perCrop)'!$S:$S,Indicators!$B9,'Data(perSeason,perCrop)'!$O:$O,Indicators!AN$7,'Data(perSeason,perCrop)'!$C:$C,Indicators!AN$3)</f>
        <v>0</v>
      </c>
      <c r="AO9" s="62">
        <f>SUMIFS('Data(perSeason,perCrop)'!$A:$A,'Data(perSeason,perCrop)'!$S:$S,Indicators!$B9,'Data(perSeason,perCrop)'!$O:$O,Indicators!AO$7,'Data(perSeason,perCrop)'!$C:$C,Indicators!AO$3)</f>
        <v>0</v>
      </c>
      <c r="AP9" s="62">
        <f>SUMIFS('Data(perSeason,perCrop)'!$A:$A,'Data(perSeason,perCrop)'!$S:$S,Indicators!$B9,'Data(perSeason,perCrop)'!$O:$O,Indicators!AP$7,'Data(perSeason,perCrop)'!$C:$C,Indicators!AP$3)</f>
        <v>0</v>
      </c>
      <c r="AQ9" s="62">
        <f>SUMIFS('Data(perSeason,perCrop)'!$A:$A,'Data(perSeason,perCrop)'!$S:$S,Indicators!$B9,'Data(perSeason,perCrop)'!$O:$O,Indicators!AQ$7,'Data(perSeason,perCrop)'!$C:$C,Indicators!AQ$3)</f>
        <v>0</v>
      </c>
      <c r="AR9" s="62">
        <f>SUMIFS('Data(perSeason,perCrop)'!$A:$A,'Data(perSeason,perCrop)'!$S:$S,Indicators!$B9,'Data(perSeason,perCrop)'!$O:$O,Indicators!AR$7,'Data(perSeason,perCrop)'!$C:$C,Indicators!AR$3)</f>
        <v>0</v>
      </c>
      <c r="AS9" s="62">
        <f>SUMIFS('Data(perSeason,perCrop)'!$A:$A,'Data(perSeason,perCrop)'!$S:$S,Indicators!$B9,'Data(perSeason,perCrop)'!$O:$O,Indicators!AS$7,'Data(perSeason,perCrop)'!$C:$C,Indicators!AS$3)</f>
        <v>0</v>
      </c>
      <c r="AT9" s="62">
        <f>SUMIFS('Data(perSeason,perCrop)'!$A:$A,'Data(perSeason,perCrop)'!$S:$S,Indicators!$B9,'Data(perSeason,perCrop)'!$O:$O,Indicators!AT$7,'Data(perSeason,perCrop)'!$C:$C,Indicators!AT$3)</f>
        <v>0</v>
      </c>
      <c r="AU9" s="62">
        <f>SUMIFS('Data(perSeason,perCrop)'!$A:$A,'Data(perSeason,perCrop)'!$S:$S,Indicators!$B9,'Data(perSeason,perCrop)'!$O:$O,Indicators!AU$7,'Data(perSeason,perCrop)'!$C:$C,Indicators!AU$3)</f>
        <v>0</v>
      </c>
      <c r="AV9" s="62">
        <f>SUMIFS('Data(perSeason,perCrop)'!$A:$A,'Data(perSeason,perCrop)'!$S:$S,Indicators!$B9,'Data(perSeason,perCrop)'!$O:$O,Indicators!AV$7,'Data(perSeason,perCrop)'!$C:$C,Indicators!AV$3)</f>
        <v>0</v>
      </c>
      <c r="AW9" s="62">
        <f>SUMIFS('Data(perSeason,perCrop)'!$A:$A,'Data(perSeason,perCrop)'!$S:$S,Indicators!$B9,'Data(perSeason,perCrop)'!$O:$O,Indicators!AW$7,'Data(perSeason,perCrop)'!$C:$C,Indicators!AW$3)</f>
        <v>0</v>
      </c>
      <c r="AX9" s="7">
        <f>SUMIFS('Data(perSeason,perCrop)'!$A:$A,'Data(perSeason,perCrop)'!$S:$S,Indicators!$B9,'Data(perSeason,perCrop)'!$O:$O,Indicators!AX$7,'Data(perSeason,perCrop)'!$C:$C,Indicators!AX$3)</f>
        <v>0</v>
      </c>
      <c r="AY9" s="7">
        <f>SUMIFS('Data(perSeason,perCrop)'!$A:$A,'Data(perSeason,perCrop)'!$S:$S,Indicators!$B9,'Data(perSeason,perCrop)'!$O:$O,Indicators!AY$7,'Data(perSeason,perCrop)'!$C:$C,Indicators!AY$3)</f>
        <v>3984.1262109372683</v>
      </c>
      <c r="AZ9" s="7">
        <f>SUMIFS('Data(perSeason,perCrop)'!$A:$A,'Data(perSeason,perCrop)'!$S:$S,Indicators!$B9,'Data(perSeason,perCrop)'!$O:$O,Indicators!AZ$7,'Data(perSeason,perCrop)'!$C:$C,Indicators!AZ$3)</f>
        <v>0</v>
      </c>
      <c r="BA9" s="7">
        <f>SUMIFS('Data(perSeason,perCrop)'!$A:$A,'Data(perSeason,perCrop)'!$S:$S,Indicators!$B9,'Data(perSeason,perCrop)'!$O:$O,Indicators!BA$7,'Data(perSeason,perCrop)'!$C:$C,Indicators!BA$3)</f>
        <v>0</v>
      </c>
      <c r="BB9" s="7">
        <f>SUMIFS('Data(perSeason,perCrop)'!$A:$A,'Data(perSeason,perCrop)'!$S:$S,Indicators!$B9,'Data(perSeason,perCrop)'!$O:$O,Indicators!BB$7,'Data(perSeason,perCrop)'!$C:$C,Indicators!BB$3)</f>
        <v>0</v>
      </c>
      <c r="BC9" s="7">
        <f>SUMIFS('Data(perSeason,perCrop)'!$A:$A,'Data(perSeason,perCrop)'!$S:$S,Indicators!$B9,'Data(perSeason,perCrop)'!$O:$O,Indicators!BC$7,'Data(perSeason,perCrop)'!$C:$C,Indicators!BC$3)</f>
        <v>0</v>
      </c>
      <c r="BD9" s="7">
        <f>SUMIFS('Data(perSeason,perCrop)'!$A:$A,'Data(perSeason,perCrop)'!$S:$S,Indicators!$B9,'Data(perSeason,perCrop)'!$O:$O,Indicators!BD$7,'Data(perSeason,perCrop)'!$C:$C,Indicators!BD$3)</f>
        <v>0</v>
      </c>
      <c r="BE9" s="7">
        <f>SUMIFS('Data(perSeason,perCrop)'!$A:$A,'Data(perSeason,perCrop)'!$S:$S,Indicators!$B9,'Data(perSeason,perCrop)'!$O:$O,Indicators!BE$7,'Data(perSeason,perCrop)'!$C:$C,Indicators!BE$3)</f>
        <v>0</v>
      </c>
      <c r="BF9" s="7">
        <f>SUMIFS('Data(perSeason,perCrop)'!$A:$A,'Data(perSeason,perCrop)'!$S:$S,Indicators!$B9,'Data(perSeason,perCrop)'!$O:$O,Indicators!BF$7,'Data(perSeason,perCrop)'!$C:$C,Indicators!BF$3)</f>
        <v>0</v>
      </c>
      <c r="BG9" s="7">
        <f>SUMIFS('Data(perSeason,perCrop)'!$A:$A,'Data(perSeason,perCrop)'!$S:$S,Indicators!$B9,'Data(perSeason,perCrop)'!$O:$O,Indicators!BG$7,'Data(perSeason,perCrop)'!$C:$C,Indicators!BG$3)</f>
        <v>0</v>
      </c>
      <c r="BH9" s="7">
        <f>SUMIFS('Data(perSeason,perCrop)'!$A:$A,'Data(perSeason,perCrop)'!$S:$S,Indicators!$B9,'Data(perSeason,perCrop)'!$O:$O,Indicators!BH$7,'Data(perSeason,perCrop)'!$C:$C,Indicators!BH$3)</f>
        <v>0</v>
      </c>
      <c r="BI9" s="7">
        <f>SUMIFS('Data(perSeason,perCrop)'!$A:$A,'Data(perSeason,perCrop)'!$S:$S,Indicators!$B9,'Data(perSeason,perCrop)'!$O:$O,Indicators!BI$7,'Data(perSeason,perCrop)'!$C:$C,Indicators!BI$3)</f>
        <v>0</v>
      </c>
      <c r="BJ9" s="7">
        <f>SUMIFS('Data(perSeason,perCrop)'!$A:$A,'Data(perSeason,perCrop)'!$S:$S,Indicators!$B9,'Data(perSeason,perCrop)'!$O:$O,Indicators!BJ$7,'Data(perSeason,perCrop)'!$C:$C,Indicators!BJ$3)</f>
        <v>0</v>
      </c>
      <c r="BK9" s="7">
        <f>SUMIFS('Data(perSeason,perCrop)'!$A:$A,'Data(perSeason,perCrop)'!$S:$S,Indicators!$B9,'Data(perSeason,perCrop)'!$O:$O,Indicators!BK$7,'Data(perSeason,perCrop)'!$C:$C,Indicators!BK$3)</f>
        <v>0</v>
      </c>
      <c r="BL9" s="7">
        <f>SUMIFS('Data(perSeason,perCrop)'!$A:$A,'Data(perSeason,perCrop)'!$S:$S,Indicators!$B9,'Data(perSeason,perCrop)'!$O:$O,Indicators!BL$7,'Data(perSeason,perCrop)'!$C:$C,Indicators!BL$3)</f>
        <v>259.92167874997597</v>
      </c>
      <c r="BM9" s="7">
        <f>SUMIFS('Data(perSeason,perCrop)'!$A:$A,'Data(perSeason,perCrop)'!$S:$S,Indicators!$B9,'Data(perSeason,perCrop)'!$O:$O,Indicators!BM$7,'Data(perSeason,perCrop)'!$C:$C,Indicators!BM$3)</f>
        <v>0</v>
      </c>
      <c r="BN9" s="7">
        <f>SUMIFS('Data(perSeason,perCrop)'!$A:$A,'Data(perSeason,perCrop)'!$S:$S,Indicators!$B9,'Data(perSeason,perCrop)'!$O:$O,Indicators!BN$7,'Data(perSeason,perCrop)'!$C:$C,Indicators!BN$3)</f>
        <v>1645.572861083534</v>
      </c>
      <c r="BO9" s="7">
        <f>SUMIFS('Data(perSeason,perCrop)'!$A:$A,'Data(perSeason,perCrop)'!$S:$S,Indicators!$B9,'Data(perSeason,perCrop)'!$O:$O,Indicators!BO$7,'Data(perSeason,perCrop)'!$C:$C,Indicators!BO$3)</f>
        <v>0</v>
      </c>
      <c r="BP9" s="7">
        <f>SUMIFS('Data(perSeason,perCrop)'!$A:$A,'Data(perSeason,perCrop)'!$S:$S,Indicators!$B9,'Data(perSeason,perCrop)'!$O:$O,Indicators!BP$7,'Data(perSeason,perCrop)'!$C:$C,Indicators!BP$3)</f>
        <v>0</v>
      </c>
      <c r="BQ9" s="7">
        <f>SUMIFS('Data(perSeason,perCrop)'!$A:$A,'Data(perSeason,perCrop)'!$S:$S,Indicators!$B9,'Data(perSeason,perCrop)'!$O:$O,Indicators!BQ$7,'Data(perSeason,perCrop)'!$C:$C,Indicators!BQ$3)</f>
        <v>6402.85832953929</v>
      </c>
      <c r="BR9" s="7">
        <f>SUMIFS('Data(perSeason,perCrop)'!$A:$A,'Data(perSeason,perCrop)'!$S:$S,Indicators!$B9,'Data(perSeason,perCrop)'!$O:$O,Indicators!BR$7,'Data(perSeason,perCrop)'!$C:$C,Indicators!BR$3)</f>
        <v>0</v>
      </c>
      <c r="BS9" s="7">
        <f>SUMIFS('Data(perSeason,perCrop)'!$A:$A,'Data(perSeason,perCrop)'!$S:$S,Indicators!$B9,'Data(perSeason,perCrop)'!$O:$O,Indicators!BS$7,'Data(perSeason,perCrop)'!$C:$C,Indicators!BS$3)</f>
        <v>0</v>
      </c>
      <c r="BT9" s="7">
        <f>SUMIFS('Data(perSeason,perCrop)'!$A:$A,'Data(perSeason,perCrop)'!$S:$S,Indicators!$B9,'Data(perSeason,perCrop)'!$O:$O,Indicators!BT$7,'Data(perSeason,perCrop)'!$C:$C,Indicators!BT$3)</f>
        <v>0</v>
      </c>
      <c r="BU9" s="7">
        <f>SUMIFS('Data(perSeason,perCrop)'!$A:$A,'Data(perSeason,perCrop)'!$S:$S,Indicators!$B9,'Data(perSeason,perCrop)'!$O:$O,Indicators!BU$7,'Data(perSeason,perCrop)'!$C:$C,Indicators!BU$3)</f>
        <v>0</v>
      </c>
      <c r="BV9" s="7">
        <f>SUMIFS('Data(perSeason,perCrop)'!$A:$A,'Data(perSeason,perCrop)'!$S:$S,Indicators!$B9,'Data(perSeason,perCrop)'!$O:$O,Indicators!BV$7,'Data(perSeason,perCrop)'!$C:$C,Indicators!BV$3)</f>
        <v>0</v>
      </c>
      <c r="BW9" s="7">
        <f>SUMIFS('Data(perSeason,perCrop)'!$A:$A,'Data(perSeason,perCrop)'!$S:$S,Indicators!$B9,'Data(perSeason,perCrop)'!$O:$O,Indicators!BW$7,'Data(perSeason,perCrop)'!$C:$C,Indicators!BW$3)</f>
        <v>0</v>
      </c>
      <c r="BX9" s="7">
        <f>SUMIFS('Data(perSeason,perCrop)'!$A:$A,'Data(perSeason,perCrop)'!$S:$S,Indicators!$B9,'Data(perSeason,perCrop)'!$O:$O,Indicators!BX$7,'Data(perSeason,perCrop)'!$C:$C,Indicators!BX$3)</f>
        <v>0</v>
      </c>
      <c r="BY9" s="7">
        <f>SUMIFS('Data(perSeason,perCrop)'!$A:$A,'Data(perSeason,perCrop)'!$S:$S,Indicators!$B9,'Data(perSeason,perCrop)'!$O:$O,Indicators!BY$7,'Data(perSeason,perCrop)'!$C:$C,Indicators!BY$3)</f>
        <v>0</v>
      </c>
      <c r="BZ9" s="7">
        <f>SUMIFS('Data(perSeason,perCrop)'!$A:$A,'Data(perSeason,perCrop)'!$S:$S,Indicators!$B9,'Data(perSeason,perCrop)'!$O:$O,Indicators!BZ$7,'Data(perSeason,perCrop)'!$C:$C,Indicators!BZ$3)</f>
        <v>0</v>
      </c>
      <c r="CA9" s="7">
        <f>SUMIFS('Data(perSeason,perCrop)'!$A:$A,'Data(perSeason,perCrop)'!$S:$S,Indicators!$B9,'Data(perSeason,perCrop)'!$O:$O,Indicators!CA$7,'Data(perSeason,perCrop)'!$C:$C,Indicators!CA$3)</f>
        <v>0</v>
      </c>
      <c r="CB9" s="7">
        <f>SUMIFS('Data(perSeason,perCrop)'!$A:$A,'Data(perSeason,perCrop)'!$S:$S,Indicators!$B9,'Data(perSeason,perCrop)'!$O:$O,Indicators!CB$7,'Data(perSeason,perCrop)'!$C:$C,Indicators!CB$3)</f>
        <v>0</v>
      </c>
      <c r="CC9" s="7">
        <f>SUMIFS('Data(perSeason,perCrop)'!$A:$A,'Data(perSeason,perCrop)'!$S:$S,Indicators!$B9,'Data(perSeason,perCrop)'!$O:$O,Indicators!CC$7,'Data(perSeason,perCrop)'!$C:$C,Indicators!CC$3)</f>
        <v>0</v>
      </c>
      <c r="CD9" s="7">
        <f>SUMIFS('Data(perSeason,perCrop)'!$A:$A,'Data(perSeason,perCrop)'!$S:$S,Indicators!$B9,'Data(perSeason,perCrop)'!$O:$O,Indicators!CD$7,'Data(perSeason,perCrop)'!$C:$C,Indicators!CD$3)</f>
        <v>0</v>
      </c>
      <c r="CE9" s="7">
        <f>SUMIFS('Data(perSeason,perCrop)'!$A:$A,'Data(perSeason,perCrop)'!$S:$S,Indicators!$B9,'Data(perSeason,perCrop)'!$O:$O,Indicators!CE$7,'Data(perSeason,perCrop)'!$C:$C,Indicators!CE$3)</f>
        <v>0</v>
      </c>
      <c r="CF9" s="7">
        <f>SUMIFS('Data(perSeason,perCrop)'!$A:$A,'Data(perSeason,perCrop)'!$S:$S,Indicators!$B9,'Data(perSeason,perCrop)'!$O:$O,Indicators!CF$7,'Data(perSeason,perCrop)'!$C:$C,Indicators!CF$3)</f>
        <v>0</v>
      </c>
      <c r="CG9" s="7">
        <f>SUMIFS('Data(perSeason,perCrop)'!$A:$A,'Data(perSeason,perCrop)'!$S:$S,Indicators!$B9,'Data(perSeason,perCrop)'!$O:$O,Indicators!CG$7,'Data(perSeason,perCrop)'!$C:$C,Indicators!CG$3)</f>
        <v>0</v>
      </c>
      <c r="CH9" s="7">
        <f>SUMIFS('Data(perSeason,perCrop)'!$A:$A,'Data(perSeason,perCrop)'!$S:$S,Indicators!$B9,'Data(perSeason,perCrop)'!$O:$O,Indicators!CH$7,'Data(perSeason,perCrop)'!$C:$C,Indicators!CH$3)</f>
        <v>0</v>
      </c>
      <c r="CI9" s="7">
        <f>SUMIFS('Data(perSeason,perCrop)'!$A:$A,'Data(perSeason,perCrop)'!$S:$S,Indicators!$B9,'Data(perSeason,perCrop)'!$O:$O,Indicators!CI$7,'Data(perSeason,perCrop)'!$C:$C,Indicators!CI$3)</f>
        <v>0</v>
      </c>
      <c r="CJ9" s="7">
        <f>SUMIFS('Data(perSeason,perCrop)'!$A:$A,'Data(perSeason,perCrop)'!$S:$S,Indicators!$B9,'Data(perSeason,perCrop)'!$O:$O,Indicators!CJ$7,'Data(perSeason,perCrop)'!$C:$C,Indicators!CJ$3)</f>
        <v>0</v>
      </c>
      <c r="CK9" s="7">
        <f>SUMIFS('Data(perSeason,perCrop)'!$A:$A,'Data(perSeason,perCrop)'!$S:$S,Indicators!$B9,'Data(perSeason,perCrop)'!$O:$O,Indicators!CK$7,'Data(perSeason,perCrop)'!$C:$C,Indicators!CK$3)</f>
        <v>0</v>
      </c>
      <c r="CL9" s="7">
        <f>SUMIFS('Data(perSeason,perCrop)'!$A:$A,'Data(perSeason,perCrop)'!$S:$S,Indicators!$B9,'Data(perSeason,perCrop)'!$O:$O,Indicators!CL$7,'Data(perSeason,perCrop)'!$C:$C,Indicators!CL$3)</f>
        <v>0</v>
      </c>
      <c r="CM9" s="7">
        <f>SUMIFS('Data(perSeason,perCrop)'!$A:$A,'Data(perSeason,perCrop)'!$S:$S,Indicators!$B9,'Data(perSeason,perCrop)'!$O:$O,Indicators!CM$7,'Data(perSeason,perCrop)'!$C:$C,Indicators!CM$3)</f>
        <v>0</v>
      </c>
      <c r="CN9" s="7">
        <f>SUMIFS('Data(perSeason,perCrop)'!$A:$A,'Data(perSeason,perCrop)'!$S:$S,Indicators!$B9,'Data(perSeason,perCrop)'!$O:$O,Indicators!CN$7,'Data(perSeason,perCrop)'!$C:$C,Indicators!CN$3)</f>
        <v>0</v>
      </c>
      <c r="CO9" s="7">
        <f>SUMIFS('Data(perSeason,perCrop)'!$A:$A,'Data(perSeason,perCrop)'!$S:$S,Indicators!$B9,'Data(perSeason,perCrop)'!$O:$O,Indicators!CO$7,'Data(perSeason,perCrop)'!$C:$C,Indicators!CO$3)</f>
        <v>0</v>
      </c>
      <c r="CP9" s="7">
        <f>SUMIFS('Data(perSeason,perCrop)'!$A:$A,'Data(perSeason,perCrop)'!$S:$S,Indicators!$B9,'Data(perSeason,perCrop)'!$O:$O,Indicators!CP$7,'Data(perSeason,perCrop)'!$C:$C,Indicators!CP$3)</f>
        <v>1985.6295725808034</v>
      </c>
      <c r="CQ9" s="7">
        <f>SUMIFS('Data(perSeason,perCrop)'!$A:$A,'Data(perSeason,perCrop)'!$S:$S,Indicators!$B9,'Data(perSeason,perCrop)'!$O:$O,Indicators!CQ$7,'Data(perSeason,perCrop)'!$C:$C,Indicators!CQ$3)</f>
        <v>609.16666128482257</v>
      </c>
      <c r="CR9" s="7">
        <f>SUMIFS('Data(perSeason,perCrop)'!$A:$A,'Data(perSeason,perCrop)'!$S:$S,Indicators!$B9,'Data(perSeason,perCrop)'!$O:$O,Indicators!CR$7,'Data(perSeason,perCrop)'!$C:$C,Indicators!CR$3)</f>
        <v>0</v>
      </c>
      <c r="CS9" s="7">
        <f>SUMIFS('Data(perSeason,perCrop)'!$A:$A,'Data(perSeason,perCrop)'!$S:$S,Indicators!$B9,'Data(perSeason,perCrop)'!$O:$O,Indicators!CS$7,'Data(perSeason,perCrop)'!$C:$C,Indicators!CS$3)</f>
        <v>309.95121305305321</v>
      </c>
      <c r="CT9" s="7">
        <f>SUMIFS('Data(perSeason,perCrop)'!$A:$A,'Data(perSeason,perCrop)'!$S:$S,Indicators!$B9,'Data(perSeason,perCrop)'!$O:$O,Indicators!CT$7,'Data(perSeason,perCrop)'!$C:$C,Indicators!CT$3)</f>
        <v>0</v>
      </c>
      <c r="CU9" s="7">
        <f>SUMIFS('Data(perSeason,perCrop)'!$A:$A,'Data(perSeason,perCrop)'!$S:$S,Indicators!$B9,'Data(perSeason,perCrop)'!$O:$O,Indicators!CU$7,'Data(perSeason,perCrop)'!$C:$C,Indicators!CU$3)</f>
        <v>0</v>
      </c>
      <c r="CV9" s="7">
        <f>SUMIFS('Data(perSeason,perCrop)'!$A:$A,'Data(perSeason,perCrop)'!$S:$S,Indicators!$B9,'Data(perSeason,perCrop)'!$O:$O,Indicators!CV$7,'Data(perSeason,perCrop)'!$C:$C,Indicators!CV$3)</f>
        <v>5203.9771919563045</v>
      </c>
      <c r="CW9" s="7">
        <f>SUMIFS('Data(perSeason,perCrop)'!$A:$A,'Data(perSeason,perCrop)'!$S:$S,Indicators!$B9,'Data(perSeason,perCrop)'!$O:$O,Indicators!CW$7,'Data(perSeason,perCrop)'!$C:$C,Indicators!CW$3)</f>
        <v>0</v>
      </c>
      <c r="CX9" s="7">
        <f>SUMIFS('Data(perSeason,perCrop)'!$A:$A,'Data(perSeason,perCrop)'!$S:$S,Indicators!$B9,'Data(perSeason,perCrop)'!$O:$O,Indicators!CX$7,'Data(perSeason,perCrop)'!$C:$C,Indicators!CX$3)</f>
        <v>0</v>
      </c>
      <c r="CY9" s="7">
        <f>SUMIFS('Data(perSeason,perCrop)'!$A:$A,'Data(perSeason,perCrop)'!$S:$S,Indicators!$B9,'Data(perSeason,perCrop)'!$O:$O,Indicators!CY$7,'Data(perSeason,perCrop)'!$C:$C,Indicators!CY$3)</f>
        <v>0</v>
      </c>
      <c r="CZ9" s="7">
        <f>SUMIFS('Data(perSeason,perCrop)'!$A:$A,'Data(perSeason,perCrop)'!$S:$S,Indicators!$B9,'Data(perSeason,perCrop)'!$O:$O,Indicators!CZ$7,'Data(perSeason,perCrop)'!$C:$C,Indicators!CZ$3)</f>
        <v>0</v>
      </c>
      <c r="DA9" s="7">
        <f>SUMIFS('Data(perSeason,perCrop)'!$A:$A,'Data(perSeason,perCrop)'!$S:$S,Indicators!$B9,'Data(perSeason,perCrop)'!$O:$O,Indicators!DA$7,'Data(perSeason,perCrop)'!$C:$C,Indicators!DA$3)</f>
        <v>0</v>
      </c>
      <c r="DB9" s="7">
        <f>SUMIFS('Data(perSeason,perCrop)'!$A:$A,'Data(perSeason,perCrop)'!$S:$S,Indicators!$B9,'Data(perSeason,perCrop)'!$O:$O,Indicators!DB$7,'Data(perSeason,perCrop)'!$C:$C,Indicators!DB$3)</f>
        <v>0</v>
      </c>
      <c r="DC9" s="7">
        <f>SUMIFS('Data(perSeason,perCrop)'!$A:$A,'Data(perSeason,perCrop)'!$S:$S,Indicators!$B9,'Data(perSeason,perCrop)'!$O:$O,Indicators!DC$7,'Data(perSeason,perCrop)'!$C:$C,Indicators!DC$3)</f>
        <v>0</v>
      </c>
      <c r="DD9" s="7">
        <f>SUMIFS('Data(perSeason,perCrop)'!$A:$A,'Data(perSeason,perCrop)'!$S:$S,Indicators!$B9,'Data(perSeason,perCrop)'!$O:$O,Indicators!DD$7,'Data(perSeason,perCrop)'!$C:$C,Indicators!DD$3)</f>
        <v>0</v>
      </c>
      <c r="DE9" s="7">
        <f>SUMIFS('Data(perSeason,perCrop)'!$A:$A,'Data(perSeason,perCrop)'!$S:$S,Indicators!$B9,'Data(perSeason,perCrop)'!$O:$O,Indicators!DE$7,'Data(perSeason,perCrop)'!$C:$C,Indicators!DE$3)</f>
        <v>0</v>
      </c>
      <c r="DF9" s="7">
        <f>SUMIFS('Data(perSeason,perCrop)'!$A:$A,'Data(perSeason,perCrop)'!$S:$S,Indicators!$B9,'Data(perSeason,perCrop)'!$O:$O,Indicators!DF$7,'Data(perSeason,perCrop)'!$C:$C,Indicators!DF$3)</f>
        <v>0</v>
      </c>
      <c r="DG9" s="7">
        <f>SUMIFS('Data(perSeason,perCrop)'!$A:$A,'Data(perSeason,perCrop)'!$S:$S,Indicators!$B9,'Data(perSeason,perCrop)'!$O:$O,Indicators!DG$7,'Data(perSeason,perCrop)'!$C:$C,Indicators!DG$3)</f>
        <v>0</v>
      </c>
    </row>
    <row r="10" spans="1:111" x14ac:dyDescent="0.25">
      <c r="B10">
        <v>2020</v>
      </c>
      <c r="C10" s="7">
        <f>IF(COUNTIFS('Data(perSeason,perCrop)'!$S:$S,Indicators!$B10)&gt;0,SUMIFS('Data(perSeason,perCrop)'!$A:$A,'Data(perSeason,perCrop)'!$S:$S,Indicators!$B10,'Data(perSeason,perCrop)'!$O:$O,Indicators!C$7),"")</f>
        <v>10489.320269252394</v>
      </c>
      <c r="D10" s="7">
        <f>IF(COUNTIFS('Data(perSeason,perCrop)'!$S:$S,Indicators!$B10)&gt;0,SUMIFS('Data(perSeason,perCrop)'!$A:$A,'Data(perSeason,perCrop)'!$S:$S,Indicators!$B10,'Data(perSeason,perCrop)'!$O:$O,Indicators!D$7),"")</f>
        <v>9622.137998558439</v>
      </c>
      <c r="E10" s="7">
        <f>IF(COUNTIFS('Data(perSeason,perCrop)'!$S:$S,Indicators!$B10)&gt;0,SUMIFS('Data(perSeason,perCrop)'!$A:$A,'Data(perSeason,perCrop)'!$S:$S,Indicators!$B10,'Data(perSeason,perCrop)'!$O:$O,Indicators!E$7),"")</f>
        <v>2310.9204768502932</v>
      </c>
      <c r="F10" s="7">
        <f>IF(COUNTIFS('Data(perSeason,perCrop)'!$S:$S,Indicators!$B10)&gt;0,SUMIFS('Data(perSeason,perCrop)'!$A:$A,'Data(perSeason,perCrop)'!$S:$S,Indicators!$B10,'Data(perSeason,perCrop)'!$O:$O,Indicators!F$7),"")</f>
        <v>10557.425750962819</v>
      </c>
      <c r="G10" s="7"/>
      <c r="H10" s="7"/>
      <c r="J10" s="2" t="s">
        <v>209</v>
      </c>
      <c r="K10" s="7">
        <f>SUMIFS('Data(perSeason,perCrop)'!$A:$A,'Data(perSeason,perCrop)'!$S:$S,Indicators!$B10,'Data(perSeason,perCrop)'!$O:$O,Indicators!K$7,'Data(perSeason,perCrop)'!$C:$C,Indicators!K$3)</f>
        <v>59.597834370329501</v>
      </c>
      <c r="L10" s="7">
        <f>SUMIFS('Data(perSeason,perCrop)'!$A:$A,'Data(perSeason,perCrop)'!$S:$S,Indicators!$B10,'Data(perSeason,perCrop)'!$O:$O,Indicators!L$7,'Data(perSeason,perCrop)'!$C:$C,Indicators!L$3)</f>
        <v>15.666135669265399</v>
      </c>
      <c r="M10" s="7">
        <f>SUMIFS('Data(perSeason,perCrop)'!$A:$A,'Data(perSeason,perCrop)'!$S:$S,Indicators!$B10,'Data(perSeason,perCrop)'!$O:$O,Indicators!M$7,'Data(perSeason,perCrop)'!$C:$C,Indicators!M$3)</f>
        <v>6.7832797368995701</v>
      </c>
      <c r="N10" s="7">
        <f>SUMIFS('Data(perSeason,perCrop)'!$A:$A,'Data(perSeason,perCrop)'!$S:$S,Indicators!$B10,'Data(perSeason,perCrop)'!$O:$O,Indicators!N$7,'Data(perSeason,perCrop)'!$C:$C,Indicators!N$3)</f>
        <v>306.93799111519269</v>
      </c>
      <c r="O10" s="7">
        <f>SUMIFS('Data(perSeason,perCrop)'!$A:$A,'Data(perSeason,perCrop)'!$S:$S,Indicators!$B10,'Data(perSeason,perCrop)'!$O:$O,Indicators!O$7,'Data(perSeason,perCrop)'!$C:$C,Indicators!O$3)</f>
        <v>7898.0791283783201</v>
      </c>
      <c r="P10" s="7">
        <f>SUMIFS('Data(perSeason,perCrop)'!$A:$A,'Data(perSeason,perCrop)'!$S:$S,Indicators!$B10,'Data(perSeason,perCrop)'!$O:$O,Indicators!P$7,'Data(perSeason,perCrop)'!$C:$C,Indicators!P$3)</f>
        <v>13.2184320975599</v>
      </c>
      <c r="Q10" s="7">
        <f>SUMIFS('Data(perSeason,perCrop)'!$A:$A,'Data(perSeason,perCrop)'!$S:$S,Indicators!$B10,'Data(perSeason,perCrop)'!$O:$O,Indicators!Q$7,'Data(perSeason,perCrop)'!$C:$C,Indicators!Q$3)</f>
        <v>2257.142949595253</v>
      </c>
      <c r="R10" s="7">
        <f>SUMIFS('Data(perSeason,perCrop)'!$A:$A,'Data(perSeason,perCrop)'!$S:$S,Indicators!$B10,'Data(perSeason,perCrop)'!$O:$O,Indicators!R$7,'Data(perSeason,perCrop)'!$C:$C,Indicators!R$3)</f>
        <v>0</v>
      </c>
      <c r="S10" s="62">
        <f>SUMIFS('Data(perSeason,perCrop)'!$A:$A,'Data(perSeason,perCrop)'!$S:$S,Indicators!$B10,'Data(perSeason,perCrop)'!$O:$O,Indicators!S$7,'Data(perSeason,perCrop)'!$C:$C,Indicators!S$3)</f>
        <v>0</v>
      </c>
      <c r="T10" s="62">
        <f>SUMIFS('Data(perSeason,perCrop)'!$A:$A,'Data(perSeason,perCrop)'!$S:$S,Indicators!$B10,'Data(perSeason,perCrop)'!$O:$O,Indicators!T$7,'Data(perSeason,perCrop)'!$C:$C,Indicators!T$3)</f>
        <v>4606.3451397876797</v>
      </c>
      <c r="U10" s="62">
        <f>SUMIFS('Data(perSeason,perCrop)'!$A:$A,'Data(perSeason,perCrop)'!$S:$S,Indicators!$B10,'Data(perSeason,perCrop)'!$O:$O,Indicators!U$7,'Data(perSeason,perCrop)'!$C:$C,Indicators!U$3)</f>
        <v>0</v>
      </c>
      <c r="V10" s="62">
        <f>SUMIFS('Data(perSeason,perCrop)'!$A:$A,'Data(perSeason,perCrop)'!$S:$S,Indicators!$B10,'Data(perSeason,perCrop)'!$O:$O,Indicators!V$7,'Data(perSeason,perCrop)'!$C:$C,Indicators!V$3)</f>
        <v>0</v>
      </c>
      <c r="W10" s="62">
        <f>SUMIFS('Data(perSeason,perCrop)'!$A:$A,'Data(perSeason,perCrop)'!$S:$S,Indicators!$B10,'Data(perSeason,perCrop)'!$O:$O,Indicators!W$7,'Data(perSeason,perCrop)'!$C:$C,Indicators!W$3)</f>
        <v>0</v>
      </c>
      <c r="X10" s="62">
        <f>SUMIFS('Data(perSeason,perCrop)'!$A:$A,'Data(perSeason,perCrop)'!$S:$S,Indicators!$B10,'Data(perSeason,perCrop)'!$O:$O,Indicators!X$7,'Data(perSeason,perCrop)'!$C:$C,Indicators!X$3)</f>
        <v>0</v>
      </c>
      <c r="Y10" s="62">
        <f>SUMIFS('Data(perSeason,perCrop)'!$A:$A,'Data(perSeason,perCrop)'!$S:$S,Indicators!$B10,'Data(perSeason,perCrop)'!$O:$O,Indicators!Y$7,'Data(perSeason,perCrop)'!$C:$C,Indicators!Y$3)</f>
        <v>0</v>
      </c>
      <c r="Z10" s="62">
        <f>SUMIFS('Data(perSeason,perCrop)'!$A:$A,'Data(perSeason,perCrop)'!$S:$S,Indicators!$B10,'Data(perSeason,perCrop)'!$O:$O,Indicators!Z$7,'Data(perSeason,perCrop)'!$C:$C,Indicators!Z$3)</f>
        <v>0</v>
      </c>
      <c r="AA10" s="62">
        <f>SUMIFS('Data(perSeason,perCrop)'!$A:$A,'Data(perSeason,perCrop)'!$S:$S,Indicators!$B10,'Data(perSeason,perCrop)'!$O:$O,Indicators!AA$7,'Data(perSeason,perCrop)'!$C:$C,Indicators!AA$3)</f>
        <v>0</v>
      </c>
      <c r="AB10" s="62">
        <f>SUMIFS('Data(perSeason,perCrop)'!$A:$A,'Data(perSeason,perCrop)'!$S:$S,Indicators!$B10,'Data(perSeason,perCrop)'!$O:$O,Indicators!AB$7,'Data(perSeason,perCrop)'!$C:$C,Indicators!AB$3)</f>
        <v>0</v>
      </c>
      <c r="AC10" s="62">
        <f>SUMIFS('Data(perSeason,perCrop)'!$A:$A,'Data(perSeason,perCrop)'!$S:$S,Indicators!$B10,'Data(perSeason,perCrop)'!$O:$O,Indicators!AC$7,'Data(perSeason,perCrop)'!$C:$C,Indicators!AC$3)</f>
        <v>0</v>
      </c>
      <c r="AD10" s="62">
        <f>SUMIFS('Data(perSeason,perCrop)'!$A:$A,'Data(perSeason,perCrop)'!$S:$S,Indicators!$B10,'Data(perSeason,perCrop)'!$O:$O,Indicators!AD$7,'Data(perSeason,perCrop)'!$C:$C,Indicators!AD$3)</f>
        <v>0</v>
      </c>
      <c r="AE10" s="62">
        <f>SUMIFS('Data(perSeason,perCrop)'!$A:$A,'Data(perSeason,perCrop)'!$S:$S,Indicators!$B10,'Data(perSeason,perCrop)'!$O:$O,Indicators!AE$7,'Data(perSeason,perCrop)'!$C:$C,Indicators!AE$3)</f>
        <v>0</v>
      </c>
      <c r="AF10" s="62">
        <f>SUMIFS('Data(perSeason,perCrop)'!$A:$A,'Data(perSeason,perCrop)'!$S:$S,Indicators!$B10,'Data(perSeason,perCrop)'!$O:$O,Indicators!AF$7,'Data(perSeason,perCrop)'!$C:$C,Indicators!AF$3)</f>
        <v>284.85666760590163</v>
      </c>
      <c r="AG10" s="62">
        <f>SUMIFS('Data(perSeason,perCrop)'!$A:$A,'Data(perSeason,perCrop)'!$S:$S,Indicators!$B10,'Data(perSeason,perCrop)'!$O:$O,Indicators!AG$7,'Data(perSeason,perCrop)'!$C:$C,Indicators!AG$3)</f>
        <v>507.68117523195963</v>
      </c>
      <c r="AH10" s="62">
        <f>SUMIFS('Data(perSeason,perCrop)'!$A:$A,'Data(perSeason,perCrop)'!$S:$S,Indicators!$B10,'Data(perSeason,perCrop)'!$O:$O,Indicators!AH$7,'Data(perSeason,perCrop)'!$C:$C,Indicators!AH$3)</f>
        <v>0</v>
      </c>
      <c r="AI10" s="62">
        <f>SUMIFS('Data(perSeason,perCrop)'!$A:$A,'Data(perSeason,perCrop)'!$S:$S,Indicators!$B10,'Data(perSeason,perCrop)'!$O:$O,Indicators!AI$7,'Data(perSeason,perCrop)'!$C:$C,Indicators!AI$3)</f>
        <v>1478.824374215385</v>
      </c>
      <c r="AJ10" s="62">
        <f>SUMIFS('Data(perSeason,perCrop)'!$A:$A,'Data(perSeason,perCrop)'!$S:$S,Indicators!$B10,'Data(perSeason,perCrop)'!$O:$O,Indicators!AJ$7,'Data(perSeason,perCrop)'!$C:$C,Indicators!AJ$3)</f>
        <v>0</v>
      </c>
      <c r="AK10" s="62">
        <f>SUMIFS('Data(perSeason,perCrop)'!$A:$A,'Data(perSeason,perCrop)'!$S:$S,Indicators!$B10,'Data(perSeason,perCrop)'!$O:$O,Indicators!AK$7,'Data(perSeason,perCrop)'!$C:$C,Indicators!AK$3)</f>
        <v>0</v>
      </c>
      <c r="AL10" s="62">
        <f>SUMIFS('Data(perSeason,perCrop)'!$A:$A,'Data(perSeason,perCrop)'!$S:$S,Indicators!$B10,'Data(perSeason,perCrop)'!$O:$O,Indicators!AL$7,'Data(perSeason,perCrop)'!$C:$C,Indicators!AL$3)</f>
        <v>553.30749147921802</v>
      </c>
      <c r="AM10" s="62">
        <f>SUMIFS('Data(perSeason,perCrop)'!$A:$A,'Data(perSeason,perCrop)'!$S:$S,Indicators!$B10,'Data(perSeason,perCrop)'!$O:$O,Indicators!AM$7,'Data(perSeason,perCrop)'!$C:$C,Indicators!AM$3)</f>
        <v>0</v>
      </c>
      <c r="AN10" s="62">
        <f>SUMIFS('Data(perSeason,perCrop)'!$A:$A,'Data(perSeason,perCrop)'!$S:$S,Indicators!$B10,'Data(perSeason,perCrop)'!$O:$O,Indicators!AN$7,'Data(perSeason,perCrop)'!$C:$C,Indicators!AN$3)</f>
        <v>0</v>
      </c>
      <c r="AO10" s="62">
        <f>SUMIFS('Data(perSeason,perCrop)'!$A:$A,'Data(perSeason,perCrop)'!$S:$S,Indicators!$B10,'Data(perSeason,perCrop)'!$O:$O,Indicators!AO$7,'Data(perSeason,perCrop)'!$C:$C,Indicators!AO$3)</f>
        <v>0</v>
      </c>
      <c r="AP10" s="62">
        <f>SUMIFS('Data(perSeason,perCrop)'!$A:$A,'Data(perSeason,perCrop)'!$S:$S,Indicators!$B10,'Data(perSeason,perCrop)'!$O:$O,Indicators!AP$7,'Data(perSeason,perCrop)'!$C:$C,Indicators!AP$3)</f>
        <v>0</v>
      </c>
      <c r="AQ10" s="62">
        <f>SUMIFS('Data(perSeason,perCrop)'!$A:$A,'Data(perSeason,perCrop)'!$S:$S,Indicators!$B10,'Data(perSeason,perCrop)'!$O:$O,Indicators!AQ$7,'Data(perSeason,perCrop)'!$C:$C,Indicators!AQ$3)</f>
        <v>0</v>
      </c>
      <c r="AR10" s="62">
        <f>SUMIFS('Data(perSeason,perCrop)'!$A:$A,'Data(perSeason,perCrop)'!$S:$S,Indicators!$B10,'Data(perSeason,perCrop)'!$O:$O,Indicators!AR$7,'Data(perSeason,perCrop)'!$C:$C,Indicators!AR$3)</f>
        <v>0</v>
      </c>
      <c r="AS10" s="62">
        <f>SUMIFS('Data(perSeason,perCrop)'!$A:$A,'Data(perSeason,perCrop)'!$S:$S,Indicators!$B10,'Data(perSeason,perCrop)'!$O:$O,Indicators!AS$7,'Data(perSeason,perCrop)'!$C:$C,Indicators!AS$3)</f>
        <v>0</v>
      </c>
      <c r="AT10" s="62">
        <f>SUMIFS('Data(perSeason,perCrop)'!$A:$A,'Data(perSeason,perCrop)'!$S:$S,Indicators!$B10,'Data(perSeason,perCrop)'!$O:$O,Indicators!AT$7,'Data(perSeason,perCrop)'!$C:$C,Indicators!AT$3)</f>
        <v>0</v>
      </c>
      <c r="AU10" s="62">
        <f>SUMIFS('Data(perSeason,perCrop)'!$A:$A,'Data(perSeason,perCrop)'!$S:$S,Indicators!$B10,'Data(perSeason,perCrop)'!$O:$O,Indicators!AU$7,'Data(perSeason,perCrop)'!$C:$C,Indicators!AU$3)</f>
        <v>0</v>
      </c>
      <c r="AV10" s="62">
        <f>SUMIFS('Data(perSeason,perCrop)'!$A:$A,'Data(perSeason,perCrop)'!$S:$S,Indicators!$B10,'Data(perSeason,perCrop)'!$O:$O,Indicators!AV$7,'Data(perSeason,perCrop)'!$C:$C,Indicators!AV$3)</f>
        <v>0</v>
      </c>
      <c r="AW10" s="62">
        <f>SUMIFS('Data(perSeason,perCrop)'!$A:$A,'Data(perSeason,perCrop)'!$S:$S,Indicators!$B10,'Data(perSeason,perCrop)'!$O:$O,Indicators!AW$7,'Data(perSeason,perCrop)'!$C:$C,Indicators!AW$3)</f>
        <v>0</v>
      </c>
      <c r="AX10" s="7">
        <f>SUMIFS('Data(perSeason,perCrop)'!$A:$A,'Data(perSeason,perCrop)'!$S:$S,Indicators!$B10,'Data(perSeason,perCrop)'!$O:$O,Indicators!AX$7,'Data(perSeason,perCrop)'!$C:$C,Indicators!AX$3)</f>
        <v>0</v>
      </c>
      <c r="AY10" s="7">
        <f>SUMIFS('Data(perSeason,perCrop)'!$A:$A,'Data(perSeason,perCrop)'!$S:$S,Indicators!$B10,'Data(perSeason,perCrop)'!$O:$O,Indicators!AY$7,'Data(perSeason,perCrop)'!$C:$C,Indicators!AY$3)</f>
        <v>4604.6564546515583</v>
      </c>
      <c r="AZ10" s="7">
        <f>SUMIFS('Data(perSeason,perCrop)'!$A:$A,'Data(perSeason,perCrop)'!$S:$S,Indicators!$B10,'Data(perSeason,perCrop)'!$O:$O,Indicators!AZ$7,'Data(perSeason,perCrop)'!$C:$C,Indicators!AZ$3)</f>
        <v>0</v>
      </c>
      <c r="BA10" s="7">
        <f>SUMIFS('Data(perSeason,perCrop)'!$A:$A,'Data(perSeason,perCrop)'!$S:$S,Indicators!$B10,'Data(perSeason,perCrop)'!$O:$O,Indicators!BA$7,'Data(perSeason,perCrop)'!$C:$C,Indicators!BA$3)</f>
        <v>0</v>
      </c>
      <c r="BB10" s="7">
        <f>SUMIFS('Data(perSeason,perCrop)'!$A:$A,'Data(perSeason,perCrop)'!$S:$S,Indicators!$B10,'Data(perSeason,perCrop)'!$O:$O,Indicators!BB$7,'Data(perSeason,perCrop)'!$C:$C,Indicators!BB$3)</f>
        <v>0</v>
      </c>
      <c r="BC10" s="7">
        <f>SUMIFS('Data(perSeason,perCrop)'!$A:$A,'Data(perSeason,perCrop)'!$S:$S,Indicators!$B10,'Data(perSeason,perCrop)'!$O:$O,Indicators!BC$7,'Data(perSeason,perCrop)'!$C:$C,Indicators!BC$3)</f>
        <v>0</v>
      </c>
      <c r="BD10" s="7">
        <f>SUMIFS('Data(perSeason,perCrop)'!$A:$A,'Data(perSeason,perCrop)'!$S:$S,Indicators!$B10,'Data(perSeason,perCrop)'!$O:$O,Indicators!BD$7,'Data(perSeason,perCrop)'!$C:$C,Indicators!BD$3)</f>
        <v>0</v>
      </c>
      <c r="BE10" s="7">
        <f>SUMIFS('Data(perSeason,perCrop)'!$A:$A,'Data(perSeason,perCrop)'!$S:$S,Indicators!$B10,'Data(perSeason,perCrop)'!$O:$O,Indicators!BE$7,'Data(perSeason,perCrop)'!$C:$C,Indicators!BE$3)</f>
        <v>0</v>
      </c>
      <c r="BF10" s="7">
        <f>SUMIFS('Data(perSeason,perCrop)'!$A:$A,'Data(perSeason,perCrop)'!$S:$S,Indicators!$B10,'Data(perSeason,perCrop)'!$O:$O,Indicators!BF$7,'Data(perSeason,perCrop)'!$C:$C,Indicators!BF$3)</f>
        <v>0</v>
      </c>
      <c r="BG10" s="7">
        <f>SUMIFS('Data(perSeason,perCrop)'!$A:$A,'Data(perSeason,perCrop)'!$S:$S,Indicators!$B10,'Data(perSeason,perCrop)'!$O:$O,Indicators!BG$7,'Data(perSeason,perCrop)'!$C:$C,Indicators!BG$3)</f>
        <v>0</v>
      </c>
      <c r="BH10" s="7">
        <f>SUMIFS('Data(perSeason,perCrop)'!$A:$A,'Data(perSeason,perCrop)'!$S:$S,Indicators!$B10,'Data(perSeason,perCrop)'!$O:$O,Indicators!BH$7,'Data(perSeason,perCrop)'!$C:$C,Indicators!BH$3)</f>
        <v>0</v>
      </c>
      <c r="BI10" s="7">
        <f>SUMIFS('Data(perSeason,perCrop)'!$A:$A,'Data(perSeason,perCrop)'!$S:$S,Indicators!$B10,'Data(perSeason,perCrop)'!$O:$O,Indicators!BI$7,'Data(perSeason,perCrop)'!$C:$C,Indicators!BI$3)</f>
        <v>0</v>
      </c>
      <c r="BJ10" s="7">
        <f>SUMIFS('Data(perSeason,perCrop)'!$A:$A,'Data(perSeason,perCrop)'!$S:$S,Indicators!$B10,'Data(perSeason,perCrop)'!$O:$O,Indicators!BJ$7,'Data(perSeason,perCrop)'!$C:$C,Indicators!BJ$3)</f>
        <v>0</v>
      </c>
      <c r="BK10" s="7">
        <f>SUMIFS('Data(perSeason,perCrop)'!$A:$A,'Data(perSeason,perCrop)'!$S:$S,Indicators!$B10,'Data(perSeason,perCrop)'!$O:$O,Indicators!BK$7,'Data(perSeason,perCrop)'!$C:$C,Indicators!BK$3)</f>
        <v>0</v>
      </c>
      <c r="BL10" s="7">
        <f>SUMIFS('Data(perSeason,perCrop)'!$A:$A,'Data(perSeason,perCrop)'!$S:$S,Indicators!$B10,'Data(perSeason,perCrop)'!$O:$O,Indicators!BL$7,'Data(perSeason,perCrop)'!$C:$C,Indicators!BL$3)</f>
        <v>50.1304229464751</v>
      </c>
      <c r="BM10" s="7">
        <f>SUMIFS('Data(perSeason,perCrop)'!$A:$A,'Data(perSeason,perCrop)'!$S:$S,Indicators!$B10,'Data(perSeason,perCrop)'!$O:$O,Indicators!BM$7,'Data(perSeason,perCrop)'!$C:$C,Indicators!BM$3)</f>
        <v>0</v>
      </c>
      <c r="BN10" s="7">
        <f>SUMIFS('Data(perSeason,perCrop)'!$A:$A,'Data(perSeason,perCrop)'!$S:$S,Indicators!$B10,'Data(perSeason,perCrop)'!$O:$O,Indicators!BN$7,'Data(perSeason,perCrop)'!$C:$C,Indicators!BN$3)</f>
        <v>1326.4991218433661</v>
      </c>
      <c r="BO10" s="7">
        <f>SUMIFS('Data(perSeason,perCrop)'!$A:$A,'Data(perSeason,perCrop)'!$S:$S,Indicators!$B10,'Data(perSeason,perCrop)'!$O:$O,Indicators!BO$7,'Data(perSeason,perCrop)'!$C:$C,Indicators!BO$3)</f>
        <v>0</v>
      </c>
      <c r="BP10" s="7">
        <f>SUMIFS('Data(perSeason,perCrop)'!$A:$A,'Data(perSeason,perCrop)'!$S:$S,Indicators!$B10,'Data(perSeason,perCrop)'!$O:$O,Indicators!BP$7,'Data(perSeason,perCrop)'!$C:$C,Indicators!BP$3)</f>
        <v>0</v>
      </c>
      <c r="BQ10" s="7">
        <f>SUMIFS('Data(perSeason,perCrop)'!$A:$A,'Data(perSeason,perCrop)'!$S:$S,Indicators!$B10,'Data(perSeason,perCrop)'!$O:$O,Indicators!BQ$7,'Data(perSeason,perCrop)'!$C:$C,Indicators!BQ$3)</f>
        <v>542.68878874678001</v>
      </c>
      <c r="BR10" s="7">
        <f>SUMIFS('Data(perSeason,perCrop)'!$A:$A,'Data(perSeason,perCrop)'!$S:$S,Indicators!$B10,'Data(perSeason,perCrop)'!$O:$O,Indicators!BR$7,'Data(perSeason,perCrop)'!$C:$C,Indicators!BR$3)</f>
        <v>0</v>
      </c>
      <c r="BS10" s="7">
        <f>SUMIFS('Data(perSeason,perCrop)'!$A:$A,'Data(perSeason,perCrop)'!$S:$S,Indicators!$B10,'Data(perSeason,perCrop)'!$O:$O,Indicators!BS$7,'Data(perSeason,perCrop)'!$C:$C,Indicators!BS$3)</f>
        <v>0</v>
      </c>
      <c r="BT10" s="7">
        <f>SUMIFS('Data(perSeason,perCrop)'!$A:$A,'Data(perSeason,perCrop)'!$S:$S,Indicators!$B10,'Data(perSeason,perCrop)'!$O:$O,Indicators!BT$7,'Data(perSeason,perCrop)'!$C:$C,Indicators!BT$3)</f>
        <v>0</v>
      </c>
      <c r="BU10" s="7">
        <f>SUMIFS('Data(perSeason,perCrop)'!$A:$A,'Data(perSeason,perCrop)'!$S:$S,Indicators!$B10,'Data(perSeason,perCrop)'!$O:$O,Indicators!BU$7,'Data(perSeason,perCrop)'!$C:$C,Indicators!BU$3)</f>
        <v>0</v>
      </c>
      <c r="BV10" s="7">
        <f>SUMIFS('Data(perSeason,perCrop)'!$A:$A,'Data(perSeason,perCrop)'!$S:$S,Indicators!$B10,'Data(perSeason,perCrop)'!$O:$O,Indicators!BV$7,'Data(perSeason,perCrop)'!$C:$C,Indicators!BV$3)</f>
        <v>0</v>
      </c>
      <c r="BW10" s="7">
        <f>SUMIFS('Data(perSeason,perCrop)'!$A:$A,'Data(perSeason,perCrop)'!$S:$S,Indicators!$B10,'Data(perSeason,perCrop)'!$O:$O,Indicators!BW$7,'Data(perSeason,perCrop)'!$C:$C,Indicators!BW$3)</f>
        <v>0</v>
      </c>
      <c r="BX10" s="7">
        <f>SUMIFS('Data(perSeason,perCrop)'!$A:$A,'Data(perSeason,perCrop)'!$S:$S,Indicators!$B10,'Data(perSeason,perCrop)'!$O:$O,Indicators!BX$7,'Data(perSeason,perCrop)'!$C:$C,Indicators!BX$3)</f>
        <v>0</v>
      </c>
      <c r="BY10" s="7">
        <f>SUMIFS('Data(perSeason,perCrop)'!$A:$A,'Data(perSeason,perCrop)'!$S:$S,Indicators!$B10,'Data(perSeason,perCrop)'!$O:$O,Indicators!BY$7,'Data(perSeason,perCrop)'!$C:$C,Indicators!BY$3)</f>
        <v>0</v>
      </c>
      <c r="BZ10" s="7">
        <f>SUMIFS('Data(perSeason,perCrop)'!$A:$A,'Data(perSeason,perCrop)'!$S:$S,Indicators!$B10,'Data(perSeason,perCrop)'!$O:$O,Indicators!BZ$7,'Data(perSeason,perCrop)'!$C:$C,Indicators!BZ$3)</f>
        <v>0</v>
      </c>
      <c r="CA10" s="7">
        <f>SUMIFS('Data(perSeason,perCrop)'!$A:$A,'Data(perSeason,perCrop)'!$S:$S,Indicators!$B10,'Data(perSeason,perCrop)'!$O:$O,Indicators!CA$7,'Data(perSeason,perCrop)'!$C:$C,Indicators!CA$3)</f>
        <v>0</v>
      </c>
      <c r="CB10" s="7">
        <f>SUMIFS('Data(perSeason,perCrop)'!$A:$A,'Data(perSeason,perCrop)'!$S:$S,Indicators!$B10,'Data(perSeason,perCrop)'!$O:$O,Indicators!CB$7,'Data(perSeason,perCrop)'!$C:$C,Indicators!CB$3)</f>
        <v>0</v>
      </c>
      <c r="CC10" s="7">
        <f>SUMIFS('Data(perSeason,perCrop)'!$A:$A,'Data(perSeason,perCrop)'!$S:$S,Indicators!$B10,'Data(perSeason,perCrop)'!$O:$O,Indicators!CC$7,'Data(perSeason,perCrop)'!$C:$C,Indicators!CC$3)</f>
        <v>0</v>
      </c>
      <c r="CD10" s="7">
        <f>SUMIFS('Data(perSeason,perCrop)'!$A:$A,'Data(perSeason,perCrop)'!$S:$S,Indicators!$B10,'Data(perSeason,perCrop)'!$O:$O,Indicators!CD$7,'Data(perSeason,perCrop)'!$C:$C,Indicators!CD$3)</f>
        <v>0</v>
      </c>
      <c r="CE10" s="7">
        <f>SUMIFS('Data(perSeason,perCrop)'!$A:$A,'Data(perSeason,perCrop)'!$S:$S,Indicators!$B10,'Data(perSeason,perCrop)'!$O:$O,Indicators!CE$7,'Data(perSeason,perCrop)'!$C:$C,Indicators!CE$3)</f>
        <v>0</v>
      </c>
      <c r="CF10" s="7">
        <f>SUMIFS('Data(perSeason,perCrop)'!$A:$A,'Data(perSeason,perCrop)'!$S:$S,Indicators!$B10,'Data(perSeason,perCrop)'!$O:$O,Indicators!CF$7,'Data(perSeason,perCrop)'!$C:$C,Indicators!CF$3)</f>
        <v>0</v>
      </c>
      <c r="CG10" s="7">
        <f>SUMIFS('Data(perSeason,perCrop)'!$A:$A,'Data(perSeason,perCrop)'!$S:$S,Indicators!$B10,'Data(perSeason,perCrop)'!$O:$O,Indicators!CG$7,'Data(perSeason,perCrop)'!$C:$C,Indicators!CG$3)</f>
        <v>0</v>
      </c>
      <c r="CH10" s="7">
        <f>SUMIFS('Data(perSeason,perCrop)'!$A:$A,'Data(perSeason,perCrop)'!$S:$S,Indicators!$B10,'Data(perSeason,perCrop)'!$O:$O,Indicators!CH$7,'Data(perSeason,perCrop)'!$C:$C,Indicators!CH$3)</f>
        <v>0</v>
      </c>
      <c r="CI10" s="7">
        <f>SUMIFS('Data(perSeason,perCrop)'!$A:$A,'Data(perSeason,perCrop)'!$S:$S,Indicators!$B10,'Data(perSeason,perCrop)'!$O:$O,Indicators!CI$7,'Data(perSeason,perCrop)'!$C:$C,Indicators!CI$3)</f>
        <v>0</v>
      </c>
      <c r="CJ10" s="7">
        <f>SUMIFS('Data(perSeason,perCrop)'!$A:$A,'Data(perSeason,perCrop)'!$S:$S,Indicators!$B10,'Data(perSeason,perCrop)'!$O:$O,Indicators!CJ$7,'Data(perSeason,perCrop)'!$C:$C,Indicators!CJ$3)</f>
        <v>0</v>
      </c>
      <c r="CK10" s="7">
        <f>SUMIFS('Data(perSeason,perCrop)'!$A:$A,'Data(perSeason,perCrop)'!$S:$S,Indicators!$B10,'Data(perSeason,perCrop)'!$O:$O,Indicators!CK$7,'Data(perSeason,perCrop)'!$C:$C,Indicators!CK$3)</f>
        <v>0</v>
      </c>
      <c r="CL10" s="7">
        <f>SUMIFS('Data(perSeason,perCrop)'!$A:$A,'Data(perSeason,perCrop)'!$S:$S,Indicators!$B10,'Data(perSeason,perCrop)'!$O:$O,Indicators!CL$7,'Data(perSeason,perCrop)'!$C:$C,Indicators!CL$3)</f>
        <v>0</v>
      </c>
      <c r="CM10" s="7">
        <f>SUMIFS('Data(perSeason,perCrop)'!$A:$A,'Data(perSeason,perCrop)'!$S:$S,Indicators!$B10,'Data(perSeason,perCrop)'!$O:$O,Indicators!CM$7,'Data(perSeason,perCrop)'!$C:$C,Indicators!CM$3)</f>
        <v>0</v>
      </c>
      <c r="CN10" s="7">
        <f>SUMIFS('Data(perSeason,perCrop)'!$A:$A,'Data(perSeason,perCrop)'!$S:$S,Indicators!$B10,'Data(perSeason,perCrop)'!$O:$O,Indicators!CN$7,'Data(perSeason,perCrop)'!$C:$C,Indicators!CN$3)</f>
        <v>0</v>
      </c>
      <c r="CO10" s="7">
        <f>SUMIFS('Data(perSeason,perCrop)'!$A:$A,'Data(perSeason,perCrop)'!$S:$S,Indicators!$B10,'Data(perSeason,perCrop)'!$O:$O,Indicators!CO$7,'Data(perSeason,perCrop)'!$C:$C,Indicators!CO$3)</f>
        <v>0</v>
      </c>
      <c r="CP10" s="7">
        <f>SUMIFS('Data(perSeason,perCrop)'!$A:$A,'Data(perSeason,perCrop)'!$S:$S,Indicators!$B10,'Data(perSeason,perCrop)'!$O:$O,Indicators!CP$7,'Data(perSeason,perCrop)'!$C:$C,Indicators!CP$3)</f>
        <v>1641.4402503581316</v>
      </c>
      <c r="CQ10" s="7">
        <f>SUMIFS('Data(perSeason,perCrop)'!$A:$A,'Data(perSeason,perCrop)'!$S:$S,Indicators!$B10,'Data(perSeason,perCrop)'!$O:$O,Indicators!CQ$7,'Data(perSeason,perCrop)'!$C:$C,Indicators!CQ$3)</f>
        <v>107.00383414774191</v>
      </c>
      <c r="CR10" s="7">
        <f>SUMIFS('Data(perSeason,perCrop)'!$A:$A,'Data(perSeason,perCrop)'!$S:$S,Indicators!$B10,'Data(perSeason,perCrop)'!$O:$O,Indicators!CR$7,'Data(perSeason,perCrop)'!$C:$C,Indicators!CR$3)</f>
        <v>0</v>
      </c>
      <c r="CS10" s="7">
        <f>SUMIFS('Data(perSeason,perCrop)'!$A:$A,'Data(perSeason,perCrop)'!$S:$S,Indicators!$B10,'Data(perSeason,perCrop)'!$O:$O,Indicators!CS$7,'Data(perSeason,perCrop)'!$C:$C,Indicators!CS$3)</f>
        <v>92.269304245174595</v>
      </c>
      <c r="CT10" s="7">
        <f>SUMIFS('Data(perSeason,perCrop)'!$A:$A,'Data(perSeason,perCrop)'!$S:$S,Indicators!$B10,'Data(perSeason,perCrop)'!$O:$O,Indicators!CT$7,'Data(perSeason,perCrop)'!$C:$C,Indicators!CT$3)</f>
        <v>0</v>
      </c>
      <c r="CU10" s="7">
        <f>SUMIFS('Data(perSeason,perCrop)'!$A:$A,'Data(perSeason,perCrop)'!$S:$S,Indicators!$B10,'Data(perSeason,perCrop)'!$O:$O,Indicators!CU$7,'Data(perSeason,perCrop)'!$C:$C,Indicators!CU$3)</f>
        <v>0</v>
      </c>
      <c r="CV10" s="7">
        <f>SUMIFS('Data(perSeason,perCrop)'!$A:$A,'Data(perSeason,perCrop)'!$S:$S,Indicators!$B10,'Data(perSeason,perCrop)'!$O:$O,Indicators!CV$7,'Data(perSeason,perCrop)'!$C:$C,Indicators!CV$3)</f>
        <v>448.52970148986429</v>
      </c>
      <c r="CW10" s="7">
        <f>SUMIFS('Data(perSeason,perCrop)'!$A:$A,'Data(perSeason,perCrop)'!$S:$S,Indicators!$B10,'Data(perSeason,perCrop)'!$O:$O,Indicators!CW$7,'Data(perSeason,perCrop)'!$C:$C,Indicators!CW$3)</f>
        <v>0</v>
      </c>
      <c r="CX10" s="7">
        <f>SUMIFS('Data(perSeason,perCrop)'!$A:$A,'Data(perSeason,perCrop)'!$S:$S,Indicators!$B10,'Data(perSeason,perCrop)'!$O:$O,Indicators!CX$7,'Data(perSeason,perCrop)'!$C:$C,Indicators!CX$3)</f>
        <v>0</v>
      </c>
      <c r="CY10" s="7">
        <f>SUMIFS('Data(perSeason,perCrop)'!$A:$A,'Data(perSeason,perCrop)'!$S:$S,Indicators!$B10,'Data(perSeason,perCrop)'!$O:$O,Indicators!CY$7,'Data(perSeason,perCrop)'!$C:$C,Indicators!CY$3)</f>
        <v>0</v>
      </c>
      <c r="CZ10" s="7">
        <f>SUMIFS('Data(perSeason,perCrop)'!$A:$A,'Data(perSeason,perCrop)'!$S:$S,Indicators!$B10,'Data(perSeason,perCrop)'!$O:$O,Indicators!CZ$7,'Data(perSeason,perCrop)'!$C:$C,Indicators!CZ$3)</f>
        <v>0</v>
      </c>
      <c r="DA10" s="7">
        <f>SUMIFS('Data(perSeason,perCrop)'!$A:$A,'Data(perSeason,perCrop)'!$S:$S,Indicators!$B10,'Data(perSeason,perCrop)'!$O:$O,Indicators!DA$7,'Data(perSeason,perCrop)'!$C:$C,Indicators!DA$3)</f>
        <v>0</v>
      </c>
      <c r="DB10" s="7">
        <f>SUMIFS('Data(perSeason,perCrop)'!$A:$A,'Data(perSeason,perCrop)'!$S:$S,Indicators!$B10,'Data(perSeason,perCrop)'!$O:$O,Indicators!DB$7,'Data(perSeason,perCrop)'!$C:$C,Indicators!DB$3)</f>
        <v>0</v>
      </c>
      <c r="DC10" s="7">
        <f>SUMIFS('Data(perSeason,perCrop)'!$A:$A,'Data(perSeason,perCrop)'!$S:$S,Indicators!$B10,'Data(perSeason,perCrop)'!$O:$O,Indicators!DC$7,'Data(perSeason,perCrop)'!$C:$C,Indicators!DC$3)</f>
        <v>0</v>
      </c>
      <c r="DD10" s="7">
        <f>SUMIFS('Data(perSeason,perCrop)'!$A:$A,'Data(perSeason,perCrop)'!$S:$S,Indicators!$B10,'Data(perSeason,perCrop)'!$O:$O,Indicators!DD$7,'Data(perSeason,perCrop)'!$C:$C,Indicators!DD$3)</f>
        <v>0</v>
      </c>
      <c r="DE10" s="7">
        <f>SUMIFS('Data(perSeason,perCrop)'!$A:$A,'Data(perSeason,perCrop)'!$S:$S,Indicators!$B10,'Data(perSeason,perCrop)'!$O:$O,Indicators!DE$7,'Data(perSeason,perCrop)'!$C:$C,Indicators!DE$3)</f>
        <v>0</v>
      </c>
      <c r="DF10" s="7">
        <f>SUMIFS('Data(perSeason,perCrop)'!$A:$A,'Data(perSeason,perCrop)'!$S:$S,Indicators!$B10,'Data(perSeason,perCrop)'!$O:$O,Indicators!DF$7,'Data(perSeason,perCrop)'!$C:$C,Indicators!DF$3)</f>
        <v>0</v>
      </c>
      <c r="DG10" s="7">
        <f>SUMIFS('Data(perSeason,perCrop)'!$A:$A,'Data(perSeason,perCrop)'!$S:$S,Indicators!$B10,'Data(perSeason,perCrop)'!$O:$O,Indicators!DG$7,'Data(perSeason,perCrop)'!$C:$C,Indicators!DG$3)</f>
        <v>0</v>
      </c>
    </row>
    <row r="11" spans="1:111" x14ac:dyDescent="0.25">
      <c r="B11">
        <v>2021</v>
      </c>
      <c r="C11" s="7">
        <f>IF(COUNTIFS('Data(perSeason,perCrop)'!$S:$S,Indicators!$B11)&gt;0,SUMIFS('Data(perSeason,perCrop)'!$A:$A,'Data(perSeason,perCrop)'!$S:$S,Indicators!$B11,'Data(perSeason,perCrop)'!$O:$O,Indicators!C$7),"")</f>
        <v>8866.3267307000569</v>
      </c>
      <c r="D11" s="7">
        <f>IF(COUNTIFS('Data(perSeason,perCrop)'!$S:$S,Indicators!$B11)&gt;0,SUMIFS('Data(perSeason,perCrop)'!$A:$A,'Data(perSeason,perCrop)'!$S:$S,Indicators!$B11,'Data(perSeason,perCrop)'!$O:$O,Indicators!D$7),"")</f>
        <v>8586.6883286315388</v>
      </c>
      <c r="E11" s="7">
        <f>IF(COUNTIFS('Data(perSeason,perCrop)'!$S:$S,Indicators!$B11)&gt;0,SUMIFS('Data(perSeason,perCrop)'!$A:$A,'Data(perSeason,perCrop)'!$S:$S,Indicators!$B11,'Data(perSeason,perCrop)'!$O:$O,Indicators!E$7),"")</f>
        <v>2524.5384323504559</v>
      </c>
      <c r="F11" s="7">
        <f>IF(COUNTIFS('Data(perSeason,perCrop)'!$S:$S,Indicators!$B11)&gt;0,SUMIFS('Data(perSeason,perCrop)'!$A:$A,'Data(perSeason,perCrop)'!$S:$S,Indicators!$B11,'Data(perSeason,perCrop)'!$O:$O,Indicators!F$7),"")</f>
        <v>9023.1313949973228</v>
      </c>
      <c r="G11" s="7"/>
      <c r="H11" s="7"/>
      <c r="J11" s="2" t="s">
        <v>209</v>
      </c>
      <c r="K11" s="7">
        <f>SUMIFS('Data(perSeason,perCrop)'!$A:$A,'Data(perSeason,perCrop)'!$S:$S,Indicators!$B11,'Data(perSeason,perCrop)'!$O:$O,Indicators!K$7,'Data(perSeason,perCrop)'!$C:$C,Indicators!K$3)</f>
        <v>114.53168808460291</v>
      </c>
      <c r="L11" s="7">
        <f>SUMIFS('Data(perSeason,perCrop)'!$A:$A,'Data(perSeason,perCrop)'!$S:$S,Indicators!$B11,'Data(perSeason,perCrop)'!$O:$O,Indicators!L$7,'Data(perSeason,perCrop)'!$C:$C,Indicators!L$3)</f>
        <v>14.3835998596191</v>
      </c>
      <c r="M11" s="7">
        <f>SUMIFS('Data(perSeason,perCrop)'!$A:$A,'Data(perSeason,perCrop)'!$S:$S,Indicators!$B11,'Data(perSeason,perCrop)'!$O:$O,Indicators!M$7,'Data(perSeason,perCrop)'!$C:$C,Indicators!M$3)</f>
        <v>11.209214118742</v>
      </c>
      <c r="N11" s="7">
        <f>SUMIFS('Data(perSeason,perCrop)'!$A:$A,'Data(perSeason,perCrop)'!$S:$S,Indicators!$B11,'Data(perSeason,perCrop)'!$O:$O,Indicators!N$7,'Data(perSeason,perCrop)'!$C:$C,Indicators!N$3)</f>
        <v>648.99691136969955</v>
      </c>
      <c r="O11" s="7">
        <f>SUMIFS('Data(perSeason,perCrop)'!$A:$A,'Data(perSeason,perCrop)'!$S:$S,Indicators!$B11,'Data(perSeason,perCrop)'!$O:$O,Indicators!O$7,'Data(perSeason,perCrop)'!$C:$C,Indicators!O$3)</f>
        <v>6029.00393578681</v>
      </c>
      <c r="P11" s="7">
        <f>SUMIFS('Data(perSeason,perCrop)'!$A:$A,'Data(perSeason,perCrop)'!$S:$S,Indicators!$B11,'Data(perSeason,perCrop)'!$O:$O,Indicators!P$7,'Data(perSeason,perCrop)'!$C:$C,Indicators!P$3)</f>
        <v>82.084901718241298</v>
      </c>
      <c r="Q11" s="7">
        <f>SUMIFS('Data(perSeason,perCrop)'!$A:$A,'Data(perSeason,perCrop)'!$S:$S,Indicators!$B11,'Data(perSeason,perCrop)'!$O:$O,Indicators!Q$7,'Data(perSeason,perCrop)'!$C:$C,Indicators!Q$3)</f>
        <v>2122.9211440596087</v>
      </c>
      <c r="R11" s="7">
        <f>SUMIFS('Data(perSeason,perCrop)'!$A:$A,'Data(perSeason,perCrop)'!$S:$S,Indicators!$B11,'Data(perSeason,perCrop)'!$O:$O,Indicators!R$7,'Data(perSeason,perCrop)'!$C:$C,Indicators!R$3)</f>
        <v>0</v>
      </c>
      <c r="S11" s="62">
        <f>SUMIFS('Data(perSeason,perCrop)'!$A:$A,'Data(perSeason,perCrop)'!$S:$S,Indicators!$B11,'Data(perSeason,perCrop)'!$O:$O,Indicators!S$7,'Data(perSeason,perCrop)'!$C:$C,Indicators!S$3)</f>
        <v>0</v>
      </c>
      <c r="T11" s="62">
        <f>SUMIFS('Data(perSeason,perCrop)'!$A:$A,'Data(perSeason,perCrop)'!$S:$S,Indicators!$B11,'Data(perSeason,perCrop)'!$O:$O,Indicators!T$7,'Data(perSeason,perCrop)'!$C:$C,Indicators!T$3)</f>
        <v>5093.8660171804304</v>
      </c>
      <c r="U11" s="62">
        <f>SUMIFS('Data(perSeason,perCrop)'!$A:$A,'Data(perSeason,perCrop)'!$S:$S,Indicators!$B11,'Data(perSeason,perCrop)'!$O:$O,Indicators!U$7,'Data(perSeason,perCrop)'!$C:$C,Indicators!U$3)</f>
        <v>0</v>
      </c>
      <c r="V11" s="62">
        <f>SUMIFS('Data(perSeason,perCrop)'!$A:$A,'Data(perSeason,perCrop)'!$S:$S,Indicators!$B11,'Data(perSeason,perCrop)'!$O:$O,Indicators!V$7,'Data(perSeason,perCrop)'!$C:$C,Indicators!V$3)</f>
        <v>0</v>
      </c>
      <c r="W11" s="62">
        <f>SUMIFS('Data(perSeason,perCrop)'!$A:$A,'Data(perSeason,perCrop)'!$S:$S,Indicators!$B11,'Data(perSeason,perCrop)'!$O:$O,Indicators!W$7,'Data(perSeason,perCrop)'!$C:$C,Indicators!W$3)</f>
        <v>0</v>
      </c>
      <c r="X11" s="62">
        <f>SUMIFS('Data(perSeason,perCrop)'!$A:$A,'Data(perSeason,perCrop)'!$S:$S,Indicators!$B11,'Data(perSeason,perCrop)'!$O:$O,Indicators!X$7,'Data(perSeason,perCrop)'!$C:$C,Indicators!X$3)</f>
        <v>0</v>
      </c>
      <c r="Y11" s="62">
        <f>SUMIFS('Data(perSeason,perCrop)'!$A:$A,'Data(perSeason,perCrop)'!$S:$S,Indicators!$B11,'Data(perSeason,perCrop)'!$O:$O,Indicators!Y$7,'Data(perSeason,perCrop)'!$C:$C,Indicators!Y$3)</f>
        <v>0</v>
      </c>
      <c r="Z11" s="62">
        <f>SUMIFS('Data(perSeason,perCrop)'!$A:$A,'Data(perSeason,perCrop)'!$S:$S,Indicators!$B11,'Data(perSeason,perCrop)'!$O:$O,Indicators!Z$7,'Data(perSeason,perCrop)'!$C:$C,Indicators!Z$3)</f>
        <v>0</v>
      </c>
      <c r="AA11" s="62">
        <f>SUMIFS('Data(perSeason,perCrop)'!$A:$A,'Data(perSeason,perCrop)'!$S:$S,Indicators!$B11,'Data(perSeason,perCrop)'!$O:$O,Indicators!AA$7,'Data(perSeason,perCrop)'!$C:$C,Indicators!AA$3)</f>
        <v>0</v>
      </c>
      <c r="AB11" s="62">
        <f>SUMIFS('Data(perSeason,perCrop)'!$A:$A,'Data(perSeason,perCrop)'!$S:$S,Indicators!$B11,'Data(perSeason,perCrop)'!$O:$O,Indicators!AB$7,'Data(perSeason,perCrop)'!$C:$C,Indicators!AB$3)</f>
        <v>0</v>
      </c>
      <c r="AC11" s="62">
        <f>SUMIFS('Data(perSeason,perCrop)'!$A:$A,'Data(perSeason,perCrop)'!$S:$S,Indicators!$B11,'Data(perSeason,perCrop)'!$O:$O,Indicators!AC$7,'Data(perSeason,perCrop)'!$C:$C,Indicators!AC$3)</f>
        <v>0</v>
      </c>
      <c r="AD11" s="62">
        <f>SUMIFS('Data(perSeason,perCrop)'!$A:$A,'Data(perSeason,perCrop)'!$S:$S,Indicators!$B11,'Data(perSeason,perCrop)'!$O:$O,Indicators!AD$7,'Data(perSeason,perCrop)'!$C:$C,Indicators!AD$3)</f>
        <v>0</v>
      </c>
      <c r="AE11" s="62">
        <f>SUMIFS('Data(perSeason,perCrop)'!$A:$A,'Data(perSeason,perCrop)'!$S:$S,Indicators!$B11,'Data(perSeason,perCrop)'!$O:$O,Indicators!AE$7,'Data(perSeason,perCrop)'!$C:$C,Indicators!AE$3)</f>
        <v>0</v>
      </c>
      <c r="AF11" s="62">
        <f>SUMIFS('Data(perSeason,perCrop)'!$A:$A,'Data(perSeason,perCrop)'!$S:$S,Indicators!$B11,'Data(perSeason,perCrop)'!$O:$O,Indicators!AF$7,'Data(perSeason,perCrop)'!$C:$C,Indicators!AF$3)</f>
        <v>38.392339450474097</v>
      </c>
      <c r="AG11" s="62">
        <f>SUMIFS('Data(perSeason,perCrop)'!$A:$A,'Data(perSeason,perCrop)'!$S:$S,Indicators!$B11,'Data(perSeason,perCrop)'!$O:$O,Indicators!AG$7,'Data(perSeason,perCrop)'!$C:$C,Indicators!AG$3)</f>
        <v>180.29701166212402</v>
      </c>
      <c r="AH11" s="62">
        <f>SUMIFS('Data(perSeason,perCrop)'!$A:$A,'Data(perSeason,perCrop)'!$S:$S,Indicators!$B11,'Data(perSeason,perCrop)'!$O:$O,Indicators!AH$7,'Data(perSeason,perCrop)'!$C:$C,Indicators!AH$3)</f>
        <v>0</v>
      </c>
      <c r="AI11" s="62">
        <f>SUMIFS('Data(perSeason,perCrop)'!$A:$A,'Data(perSeason,perCrop)'!$S:$S,Indicators!$B11,'Data(perSeason,perCrop)'!$O:$O,Indicators!AI$7,'Data(perSeason,perCrop)'!$C:$C,Indicators!AI$3)</f>
        <v>1530.7610122176129</v>
      </c>
      <c r="AJ11" s="62">
        <f>SUMIFS('Data(perSeason,perCrop)'!$A:$A,'Data(perSeason,perCrop)'!$S:$S,Indicators!$B11,'Data(perSeason,perCrop)'!$O:$O,Indicators!AJ$7,'Data(perSeason,perCrop)'!$C:$C,Indicators!AJ$3)</f>
        <v>0</v>
      </c>
      <c r="AK11" s="62">
        <f>SUMIFS('Data(perSeason,perCrop)'!$A:$A,'Data(perSeason,perCrop)'!$S:$S,Indicators!$B11,'Data(perSeason,perCrop)'!$O:$O,Indicators!AK$7,'Data(perSeason,perCrop)'!$C:$C,Indicators!AK$3)</f>
        <v>0</v>
      </c>
      <c r="AL11" s="62">
        <f>SUMIFS('Data(perSeason,perCrop)'!$A:$A,'Data(perSeason,perCrop)'!$S:$S,Indicators!$B11,'Data(perSeason,perCrop)'!$O:$O,Indicators!AL$7,'Data(perSeason,perCrop)'!$C:$C,Indicators!AL$3)</f>
        <v>812.81980091982598</v>
      </c>
      <c r="AM11" s="62">
        <f>SUMIFS('Data(perSeason,perCrop)'!$A:$A,'Data(perSeason,perCrop)'!$S:$S,Indicators!$B11,'Data(perSeason,perCrop)'!$O:$O,Indicators!AM$7,'Data(perSeason,perCrop)'!$C:$C,Indicators!AM$3)</f>
        <v>0</v>
      </c>
      <c r="AN11" s="62">
        <f>SUMIFS('Data(perSeason,perCrop)'!$A:$A,'Data(perSeason,perCrop)'!$S:$S,Indicators!$B11,'Data(perSeason,perCrop)'!$O:$O,Indicators!AN$7,'Data(perSeason,perCrop)'!$C:$C,Indicators!AN$3)</f>
        <v>0</v>
      </c>
      <c r="AO11" s="62">
        <f>SUMIFS('Data(perSeason,perCrop)'!$A:$A,'Data(perSeason,perCrop)'!$S:$S,Indicators!$B11,'Data(perSeason,perCrop)'!$O:$O,Indicators!AO$7,'Data(perSeason,perCrop)'!$C:$C,Indicators!AO$3)</f>
        <v>0</v>
      </c>
      <c r="AP11" s="62">
        <f>SUMIFS('Data(perSeason,perCrop)'!$A:$A,'Data(perSeason,perCrop)'!$S:$S,Indicators!$B11,'Data(perSeason,perCrop)'!$O:$O,Indicators!AP$7,'Data(perSeason,perCrop)'!$C:$C,Indicators!AP$3)</f>
        <v>0</v>
      </c>
      <c r="AQ11" s="62">
        <f>SUMIFS('Data(perSeason,perCrop)'!$A:$A,'Data(perSeason,perCrop)'!$S:$S,Indicators!$B11,'Data(perSeason,perCrop)'!$O:$O,Indicators!AQ$7,'Data(perSeason,perCrop)'!$C:$C,Indicators!AQ$3)</f>
        <v>0</v>
      </c>
      <c r="AR11" s="62">
        <f>SUMIFS('Data(perSeason,perCrop)'!$A:$A,'Data(perSeason,perCrop)'!$S:$S,Indicators!$B11,'Data(perSeason,perCrop)'!$O:$O,Indicators!AR$7,'Data(perSeason,perCrop)'!$C:$C,Indicators!AR$3)</f>
        <v>0</v>
      </c>
      <c r="AS11" s="62">
        <f>SUMIFS('Data(perSeason,perCrop)'!$A:$A,'Data(perSeason,perCrop)'!$S:$S,Indicators!$B11,'Data(perSeason,perCrop)'!$O:$O,Indicators!AS$7,'Data(perSeason,perCrop)'!$C:$C,Indicators!AS$3)</f>
        <v>0</v>
      </c>
      <c r="AT11" s="62">
        <f>SUMIFS('Data(perSeason,perCrop)'!$A:$A,'Data(perSeason,perCrop)'!$S:$S,Indicators!$B11,'Data(perSeason,perCrop)'!$O:$O,Indicators!AT$7,'Data(perSeason,perCrop)'!$C:$C,Indicators!AT$3)</f>
        <v>0</v>
      </c>
      <c r="AU11" s="62">
        <f>SUMIFS('Data(perSeason,perCrop)'!$A:$A,'Data(perSeason,perCrop)'!$S:$S,Indicators!$B11,'Data(perSeason,perCrop)'!$O:$O,Indicators!AU$7,'Data(perSeason,perCrop)'!$C:$C,Indicators!AU$3)</f>
        <v>0</v>
      </c>
      <c r="AV11" s="62">
        <f>SUMIFS('Data(perSeason,perCrop)'!$A:$A,'Data(perSeason,perCrop)'!$S:$S,Indicators!$B11,'Data(perSeason,perCrop)'!$O:$O,Indicators!AV$7,'Data(perSeason,perCrop)'!$C:$C,Indicators!AV$3)</f>
        <v>0</v>
      </c>
      <c r="AW11" s="62">
        <f>SUMIFS('Data(perSeason,perCrop)'!$A:$A,'Data(perSeason,perCrop)'!$S:$S,Indicators!$B11,'Data(perSeason,perCrop)'!$O:$O,Indicators!AW$7,'Data(perSeason,perCrop)'!$C:$C,Indicators!AW$3)</f>
        <v>0</v>
      </c>
      <c r="AX11" s="7">
        <f>SUMIFS('Data(perSeason,perCrop)'!$A:$A,'Data(perSeason,perCrop)'!$S:$S,Indicators!$B11,'Data(perSeason,perCrop)'!$O:$O,Indicators!AX$7,'Data(perSeason,perCrop)'!$C:$C,Indicators!AX$3)</f>
        <v>0</v>
      </c>
      <c r="AY11" s="7">
        <f>SUMIFS('Data(perSeason,perCrop)'!$A:$A,'Data(perSeason,perCrop)'!$S:$S,Indicators!$B11,'Data(perSeason,perCrop)'!$O:$O,Indicators!AY$7,'Data(perSeason,perCrop)'!$C:$C,Indicators!AY$3)</f>
        <v>5104.8223783470594</v>
      </c>
      <c r="AZ11" s="7">
        <f>SUMIFS('Data(perSeason,perCrop)'!$A:$A,'Data(perSeason,perCrop)'!$S:$S,Indicators!$B11,'Data(perSeason,perCrop)'!$O:$O,Indicators!AZ$7,'Data(perSeason,perCrop)'!$C:$C,Indicators!AZ$3)</f>
        <v>0</v>
      </c>
      <c r="BA11" s="7">
        <f>SUMIFS('Data(perSeason,perCrop)'!$A:$A,'Data(perSeason,perCrop)'!$S:$S,Indicators!$B11,'Data(perSeason,perCrop)'!$O:$O,Indicators!BA$7,'Data(perSeason,perCrop)'!$C:$C,Indicators!BA$3)</f>
        <v>0</v>
      </c>
      <c r="BB11" s="7">
        <f>SUMIFS('Data(perSeason,perCrop)'!$A:$A,'Data(perSeason,perCrop)'!$S:$S,Indicators!$B11,'Data(perSeason,perCrop)'!$O:$O,Indicators!BB$7,'Data(perSeason,perCrop)'!$C:$C,Indicators!BB$3)</f>
        <v>0</v>
      </c>
      <c r="BC11" s="7">
        <f>SUMIFS('Data(perSeason,perCrop)'!$A:$A,'Data(perSeason,perCrop)'!$S:$S,Indicators!$B11,'Data(perSeason,perCrop)'!$O:$O,Indicators!BC$7,'Data(perSeason,perCrop)'!$C:$C,Indicators!BC$3)</f>
        <v>0</v>
      </c>
      <c r="BD11" s="7">
        <f>SUMIFS('Data(perSeason,perCrop)'!$A:$A,'Data(perSeason,perCrop)'!$S:$S,Indicators!$B11,'Data(perSeason,perCrop)'!$O:$O,Indicators!BD$7,'Data(perSeason,perCrop)'!$C:$C,Indicators!BD$3)</f>
        <v>0</v>
      </c>
      <c r="BE11" s="7">
        <f>SUMIFS('Data(perSeason,perCrop)'!$A:$A,'Data(perSeason,perCrop)'!$S:$S,Indicators!$B11,'Data(perSeason,perCrop)'!$O:$O,Indicators!BE$7,'Data(perSeason,perCrop)'!$C:$C,Indicators!BE$3)</f>
        <v>0</v>
      </c>
      <c r="BF11" s="7">
        <f>SUMIFS('Data(perSeason,perCrop)'!$A:$A,'Data(perSeason,perCrop)'!$S:$S,Indicators!$B11,'Data(perSeason,perCrop)'!$O:$O,Indicators!BF$7,'Data(perSeason,perCrop)'!$C:$C,Indicators!BF$3)</f>
        <v>0</v>
      </c>
      <c r="BG11" s="7">
        <f>SUMIFS('Data(perSeason,perCrop)'!$A:$A,'Data(perSeason,perCrop)'!$S:$S,Indicators!$B11,'Data(perSeason,perCrop)'!$O:$O,Indicators!BG$7,'Data(perSeason,perCrop)'!$C:$C,Indicators!BG$3)</f>
        <v>0</v>
      </c>
      <c r="BH11" s="7">
        <f>SUMIFS('Data(perSeason,perCrop)'!$A:$A,'Data(perSeason,perCrop)'!$S:$S,Indicators!$B11,'Data(perSeason,perCrop)'!$O:$O,Indicators!BH$7,'Data(perSeason,perCrop)'!$C:$C,Indicators!BH$3)</f>
        <v>0</v>
      </c>
      <c r="BI11" s="7">
        <f>SUMIFS('Data(perSeason,perCrop)'!$A:$A,'Data(perSeason,perCrop)'!$S:$S,Indicators!$B11,'Data(perSeason,perCrop)'!$O:$O,Indicators!BI$7,'Data(perSeason,perCrop)'!$C:$C,Indicators!BI$3)</f>
        <v>0</v>
      </c>
      <c r="BJ11" s="7">
        <f>SUMIFS('Data(perSeason,perCrop)'!$A:$A,'Data(perSeason,perCrop)'!$S:$S,Indicators!$B11,'Data(perSeason,perCrop)'!$O:$O,Indicators!BJ$7,'Data(perSeason,perCrop)'!$C:$C,Indicators!BJ$3)</f>
        <v>0</v>
      </c>
      <c r="BK11" s="7">
        <f>SUMIFS('Data(perSeason,perCrop)'!$A:$A,'Data(perSeason,perCrop)'!$S:$S,Indicators!$B11,'Data(perSeason,perCrop)'!$O:$O,Indicators!BK$7,'Data(perSeason,perCrop)'!$C:$C,Indicators!BK$3)</f>
        <v>0</v>
      </c>
      <c r="BL11" s="7">
        <f>SUMIFS('Data(perSeason,perCrop)'!$A:$A,'Data(perSeason,perCrop)'!$S:$S,Indicators!$B11,'Data(perSeason,perCrop)'!$O:$O,Indicators!BL$7,'Data(perSeason,perCrop)'!$C:$C,Indicators!BL$3)</f>
        <v>89.830731703682503</v>
      </c>
      <c r="BM11" s="7">
        <f>SUMIFS('Data(perSeason,perCrop)'!$A:$A,'Data(perSeason,perCrop)'!$S:$S,Indicators!$B11,'Data(perSeason,perCrop)'!$O:$O,Indicators!BM$7,'Data(perSeason,perCrop)'!$C:$C,Indicators!BM$3)</f>
        <v>0</v>
      </c>
      <c r="BN11" s="7">
        <f>SUMIFS('Data(perSeason,perCrop)'!$A:$A,'Data(perSeason,perCrop)'!$S:$S,Indicators!$B11,'Data(perSeason,perCrop)'!$O:$O,Indicators!BN$7,'Data(perSeason,perCrop)'!$C:$C,Indicators!BN$3)</f>
        <v>1442.4575250030939</v>
      </c>
      <c r="BO11" s="7">
        <f>SUMIFS('Data(perSeason,perCrop)'!$A:$A,'Data(perSeason,perCrop)'!$S:$S,Indicators!$B11,'Data(perSeason,perCrop)'!$O:$O,Indicators!BO$7,'Data(perSeason,perCrop)'!$C:$C,Indicators!BO$3)</f>
        <v>0</v>
      </c>
      <c r="BP11" s="7">
        <f>SUMIFS('Data(perSeason,perCrop)'!$A:$A,'Data(perSeason,perCrop)'!$S:$S,Indicators!$B11,'Data(perSeason,perCrop)'!$O:$O,Indicators!BP$7,'Data(perSeason,perCrop)'!$C:$C,Indicators!BP$3)</f>
        <v>0</v>
      </c>
      <c r="BQ11" s="7">
        <f>SUMIFS('Data(perSeason,perCrop)'!$A:$A,'Data(perSeason,perCrop)'!$S:$S,Indicators!$B11,'Data(perSeason,perCrop)'!$O:$O,Indicators!BQ$7,'Data(perSeason,perCrop)'!$C:$C,Indicators!BQ$3)</f>
        <v>827.51795378057307</v>
      </c>
      <c r="BR11" s="7">
        <f>SUMIFS('Data(perSeason,perCrop)'!$A:$A,'Data(perSeason,perCrop)'!$S:$S,Indicators!$B11,'Data(perSeason,perCrop)'!$O:$O,Indicators!BR$7,'Data(perSeason,perCrop)'!$C:$C,Indicators!BR$3)</f>
        <v>0</v>
      </c>
      <c r="BS11" s="7">
        <f>SUMIFS('Data(perSeason,perCrop)'!$A:$A,'Data(perSeason,perCrop)'!$S:$S,Indicators!$B11,'Data(perSeason,perCrop)'!$O:$O,Indicators!BS$7,'Data(perSeason,perCrop)'!$C:$C,Indicators!BS$3)</f>
        <v>0</v>
      </c>
      <c r="BT11" s="7">
        <f>SUMIFS('Data(perSeason,perCrop)'!$A:$A,'Data(perSeason,perCrop)'!$S:$S,Indicators!$B11,'Data(perSeason,perCrop)'!$O:$O,Indicators!BT$7,'Data(perSeason,perCrop)'!$C:$C,Indicators!BT$3)</f>
        <v>0</v>
      </c>
      <c r="BU11" s="7">
        <f>SUMIFS('Data(perSeason,perCrop)'!$A:$A,'Data(perSeason,perCrop)'!$S:$S,Indicators!$B11,'Data(perSeason,perCrop)'!$O:$O,Indicators!BU$7,'Data(perSeason,perCrop)'!$C:$C,Indicators!BU$3)</f>
        <v>0</v>
      </c>
      <c r="BV11" s="7">
        <f>SUMIFS('Data(perSeason,perCrop)'!$A:$A,'Data(perSeason,perCrop)'!$S:$S,Indicators!$B11,'Data(perSeason,perCrop)'!$O:$O,Indicators!BV$7,'Data(perSeason,perCrop)'!$C:$C,Indicators!BV$3)</f>
        <v>0</v>
      </c>
      <c r="BW11" s="7">
        <f>SUMIFS('Data(perSeason,perCrop)'!$A:$A,'Data(perSeason,perCrop)'!$S:$S,Indicators!$B11,'Data(perSeason,perCrop)'!$O:$O,Indicators!BW$7,'Data(perSeason,perCrop)'!$C:$C,Indicators!BW$3)</f>
        <v>0</v>
      </c>
      <c r="BX11" s="7">
        <f>SUMIFS('Data(perSeason,perCrop)'!$A:$A,'Data(perSeason,perCrop)'!$S:$S,Indicators!$B11,'Data(perSeason,perCrop)'!$O:$O,Indicators!BX$7,'Data(perSeason,perCrop)'!$C:$C,Indicators!BX$3)</f>
        <v>0</v>
      </c>
      <c r="BY11" s="7">
        <f>SUMIFS('Data(perSeason,perCrop)'!$A:$A,'Data(perSeason,perCrop)'!$S:$S,Indicators!$B11,'Data(perSeason,perCrop)'!$O:$O,Indicators!BY$7,'Data(perSeason,perCrop)'!$C:$C,Indicators!BY$3)</f>
        <v>0</v>
      </c>
      <c r="BZ11" s="7">
        <f>SUMIFS('Data(perSeason,perCrop)'!$A:$A,'Data(perSeason,perCrop)'!$S:$S,Indicators!$B11,'Data(perSeason,perCrop)'!$O:$O,Indicators!BZ$7,'Data(perSeason,perCrop)'!$C:$C,Indicators!BZ$3)</f>
        <v>0</v>
      </c>
      <c r="CA11" s="7">
        <f>SUMIFS('Data(perSeason,perCrop)'!$A:$A,'Data(perSeason,perCrop)'!$S:$S,Indicators!$B11,'Data(perSeason,perCrop)'!$O:$O,Indicators!CA$7,'Data(perSeason,perCrop)'!$C:$C,Indicators!CA$3)</f>
        <v>0</v>
      </c>
      <c r="CB11" s="7">
        <f>SUMIFS('Data(perSeason,perCrop)'!$A:$A,'Data(perSeason,perCrop)'!$S:$S,Indicators!$B11,'Data(perSeason,perCrop)'!$O:$O,Indicators!CB$7,'Data(perSeason,perCrop)'!$C:$C,Indicators!CB$3)</f>
        <v>0</v>
      </c>
      <c r="CC11" s="7">
        <f>SUMIFS('Data(perSeason,perCrop)'!$A:$A,'Data(perSeason,perCrop)'!$S:$S,Indicators!$B11,'Data(perSeason,perCrop)'!$O:$O,Indicators!CC$7,'Data(perSeason,perCrop)'!$C:$C,Indicators!CC$3)</f>
        <v>0</v>
      </c>
      <c r="CD11" s="7">
        <f>SUMIFS('Data(perSeason,perCrop)'!$A:$A,'Data(perSeason,perCrop)'!$S:$S,Indicators!$B11,'Data(perSeason,perCrop)'!$O:$O,Indicators!CD$7,'Data(perSeason,perCrop)'!$C:$C,Indicators!CD$3)</f>
        <v>0</v>
      </c>
      <c r="CE11" s="7">
        <f>SUMIFS('Data(perSeason,perCrop)'!$A:$A,'Data(perSeason,perCrop)'!$S:$S,Indicators!$B11,'Data(perSeason,perCrop)'!$O:$O,Indicators!CE$7,'Data(perSeason,perCrop)'!$C:$C,Indicators!CE$3)</f>
        <v>0</v>
      </c>
      <c r="CF11" s="7">
        <f>SUMIFS('Data(perSeason,perCrop)'!$A:$A,'Data(perSeason,perCrop)'!$S:$S,Indicators!$B11,'Data(perSeason,perCrop)'!$O:$O,Indicators!CF$7,'Data(perSeason,perCrop)'!$C:$C,Indicators!CF$3)</f>
        <v>0</v>
      </c>
      <c r="CG11" s="7">
        <f>SUMIFS('Data(perSeason,perCrop)'!$A:$A,'Data(perSeason,perCrop)'!$S:$S,Indicators!$B11,'Data(perSeason,perCrop)'!$O:$O,Indicators!CG$7,'Data(perSeason,perCrop)'!$C:$C,Indicators!CG$3)</f>
        <v>0</v>
      </c>
      <c r="CH11" s="7">
        <f>SUMIFS('Data(perSeason,perCrop)'!$A:$A,'Data(perSeason,perCrop)'!$S:$S,Indicators!$B11,'Data(perSeason,perCrop)'!$O:$O,Indicators!CH$7,'Data(perSeason,perCrop)'!$C:$C,Indicators!CH$3)</f>
        <v>0</v>
      </c>
      <c r="CI11" s="7">
        <f>SUMIFS('Data(perSeason,perCrop)'!$A:$A,'Data(perSeason,perCrop)'!$S:$S,Indicators!$B11,'Data(perSeason,perCrop)'!$O:$O,Indicators!CI$7,'Data(perSeason,perCrop)'!$C:$C,Indicators!CI$3)</f>
        <v>0</v>
      </c>
      <c r="CJ11" s="7">
        <f>SUMIFS('Data(perSeason,perCrop)'!$A:$A,'Data(perSeason,perCrop)'!$S:$S,Indicators!$B11,'Data(perSeason,perCrop)'!$O:$O,Indicators!CJ$7,'Data(perSeason,perCrop)'!$C:$C,Indicators!CJ$3)</f>
        <v>0</v>
      </c>
      <c r="CK11" s="7">
        <f>SUMIFS('Data(perSeason,perCrop)'!$A:$A,'Data(perSeason,perCrop)'!$S:$S,Indicators!$B11,'Data(perSeason,perCrop)'!$O:$O,Indicators!CK$7,'Data(perSeason,perCrop)'!$C:$C,Indicators!CK$3)</f>
        <v>0</v>
      </c>
      <c r="CL11" s="7">
        <f>SUMIFS('Data(perSeason,perCrop)'!$A:$A,'Data(perSeason,perCrop)'!$S:$S,Indicators!$B11,'Data(perSeason,perCrop)'!$O:$O,Indicators!CL$7,'Data(perSeason,perCrop)'!$C:$C,Indicators!CL$3)</f>
        <v>0</v>
      </c>
      <c r="CM11" s="7">
        <f>SUMIFS('Data(perSeason,perCrop)'!$A:$A,'Data(perSeason,perCrop)'!$S:$S,Indicators!$B11,'Data(perSeason,perCrop)'!$O:$O,Indicators!CM$7,'Data(perSeason,perCrop)'!$C:$C,Indicators!CM$3)</f>
        <v>0</v>
      </c>
      <c r="CN11" s="7">
        <f>SUMIFS('Data(perSeason,perCrop)'!$A:$A,'Data(perSeason,perCrop)'!$S:$S,Indicators!$B11,'Data(perSeason,perCrop)'!$O:$O,Indicators!CN$7,'Data(perSeason,perCrop)'!$C:$C,Indicators!CN$3)</f>
        <v>0</v>
      </c>
      <c r="CO11" s="7">
        <f>SUMIFS('Data(perSeason,perCrop)'!$A:$A,'Data(perSeason,perCrop)'!$S:$S,Indicators!$B11,'Data(perSeason,perCrop)'!$O:$O,Indicators!CO$7,'Data(perSeason,perCrop)'!$C:$C,Indicators!CO$3)</f>
        <v>0</v>
      </c>
      <c r="CP11" s="7">
        <f>SUMIFS('Data(perSeason,perCrop)'!$A:$A,'Data(perSeason,perCrop)'!$S:$S,Indicators!$B11,'Data(perSeason,perCrop)'!$O:$O,Indicators!CP$7,'Data(perSeason,perCrop)'!$C:$C,Indicators!CP$3)</f>
        <v>1515.8406859004062</v>
      </c>
      <c r="CQ11" s="7">
        <f>SUMIFS('Data(perSeason,perCrop)'!$A:$A,'Data(perSeason,perCrop)'!$S:$S,Indicators!$B11,'Data(perSeason,perCrop)'!$O:$O,Indicators!CQ$7,'Data(perSeason,perCrop)'!$C:$C,Indicators!CQ$3)</f>
        <v>49.729460999785729</v>
      </c>
      <c r="CR11" s="7">
        <f>SUMIFS('Data(perSeason,perCrop)'!$A:$A,'Data(perSeason,perCrop)'!$S:$S,Indicators!$B11,'Data(perSeason,perCrop)'!$O:$O,Indicators!CR$7,'Data(perSeason,perCrop)'!$C:$C,Indicators!CR$3)</f>
        <v>0</v>
      </c>
      <c r="CS11" s="7">
        <f>SUMIFS('Data(perSeason,perCrop)'!$A:$A,'Data(perSeason,perCrop)'!$S:$S,Indicators!$B11,'Data(perSeason,perCrop)'!$O:$O,Indicators!CS$7,'Data(perSeason,perCrop)'!$C:$C,Indicators!CS$3)</f>
        <v>89.866833490115823</v>
      </c>
      <c r="CT11" s="7">
        <f>SUMIFS('Data(perSeason,perCrop)'!$A:$A,'Data(perSeason,perCrop)'!$S:$S,Indicators!$B11,'Data(perSeason,perCrop)'!$O:$O,Indicators!CT$7,'Data(perSeason,perCrop)'!$C:$C,Indicators!CT$3)</f>
        <v>0</v>
      </c>
      <c r="CU11" s="7">
        <f>SUMIFS('Data(perSeason,perCrop)'!$A:$A,'Data(perSeason,perCrop)'!$S:$S,Indicators!$B11,'Data(perSeason,perCrop)'!$O:$O,Indicators!CU$7,'Data(perSeason,perCrop)'!$C:$C,Indicators!CU$3)</f>
        <v>0</v>
      </c>
      <c r="CV11" s="7">
        <f>SUMIFS('Data(perSeason,perCrop)'!$A:$A,'Data(perSeason,perCrop)'!$S:$S,Indicators!$B11,'Data(perSeason,perCrop)'!$O:$O,Indicators!CV$7,'Data(perSeason,perCrop)'!$C:$C,Indicators!CV$3)</f>
        <v>758.00239948885326</v>
      </c>
      <c r="CW11" s="7">
        <f>SUMIFS('Data(perSeason,perCrop)'!$A:$A,'Data(perSeason,perCrop)'!$S:$S,Indicators!$B11,'Data(perSeason,perCrop)'!$O:$O,Indicators!CW$7,'Data(perSeason,perCrop)'!$C:$C,Indicators!CW$3)</f>
        <v>0</v>
      </c>
      <c r="CX11" s="7">
        <f>SUMIFS('Data(perSeason,perCrop)'!$A:$A,'Data(perSeason,perCrop)'!$S:$S,Indicators!$B11,'Data(perSeason,perCrop)'!$O:$O,Indicators!CX$7,'Data(perSeason,perCrop)'!$C:$C,Indicators!CX$3)</f>
        <v>0</v>
      </c>
      <c r="CY11" s="7">
        <f>SUMIFS('Data(perSeason,perCrop)'!$A:$A,'Data(perSeason,perCrop)'!$S:$S,Indicators!$B11,'Data(perSeason,perCrop)'!$O:$O,Indicators!CY$7,'Data(perSeason,perCrop)'!$C:$C,Indicators!CY$3)</f>
        <v>0</v>
      </c>
      <c r="CZ11" s="7">
        <f>SUMIFS('Data(perSeason,perCrop)'!$A:$A,'Data(perSeason,perCrop)'!$S:$S,Indicators!$B11,'Data(perSeason,perCrop)'!$O:$O,Indicators!CZ$7,'Data(perSeason,perCrop)'!$C:$C,Indicators!CZ$3)</f>
        <v>0</v>
      </c>
      <c r="DA11" s="7">
        <f>SUMIFS('Data(perSeason,perCrop)'!$A:$A,'Data(perSeason,perCrop)'!$S:$S,Indicators!$B11,'Data(perSeason,perCrop)'!$O:$O,Indicators!DA$7,'Data(perSeason,perCrop)'!$C:$C,Indicators!DA$3)</f>
        <v>0</v>
      </c>
      <c r="DB11" s="7">
        <f>SUMIFS('Data(perSeason,perCrop)'!$A:$A,'Data(perSeason,perCrop)'!$S:$S,Indicators!$B11,'Data(perSeason,perCrop)'!$O:$O,Indicators!DB$7,'Data(perSeason,perCrop)'!$C:$C,Indicators!DB$3)</f>
        <v>0</v>
      </c>
      <c r="DC11" s="7">
        <f>SUMIFS('Data(perSeason,perCrop)'!$A:$A,'Data(perSeason,perCrop)'!$S:$S,Indicators!$B11,'Data(perSeason,perCrop)'!$O:$O,Indicators!DC$7,'Data(perSeason,perCrop)'!$C:$C,Indicators!DC$3)</f>
        <v>0</v>
      </c>
      <c r="DD11" s="7">
        <f>SUMIFS('Data(perSeason,perCrop)'!$A:$A,'Data(perSeason,perCrop)'!$S:$S,Indicators!$B11,'Data(perSeason,perCrop)'!$O:$O,Indicators!DD$7,'Data(perSeason,perCrop)'!$C:$C,Indicators!DD$3)</f>
        <v>0</v>
      </c>
      <c r="DE11" s="7">
        <f>SUMIFS('Data(perSeason,perCrop)'!$A:$A,'Data(perSeason,perCrop)'!$S:$S,Indicators!$B11,'Data(perSeason,perCrop)'!$O:$O,Indicators!DE$7,'Data(perSeason,perCrop)'!$C:$C,Indicators!DE$3)</f>
        <v>0</v>
      </c>
      <c r="DF11" s="7">
        <f>SUMIFS('Data(perSeason,perCrop)'!$A:$A,'Data(perSeason,perCrop)'!$S:$S,Indicators!$B11,'Data(perSeason,perCrop)'!$O:$O,Indicators!DF$7,'Data(perSeason,perCrop)'!$C:$C,Indicators!DF$3)</f>
        <v>0</v>
      </c>
      <c r="DG11" s="7">
        <f>SUMIFS('Data(perSeason,perCrop)'!$A:$A,'Data(perSeason,perCrop)'!$S:$S,Indicators!$B11,'Data(perSeason,perCrop)'!$O:$O,Indicators!DG$7,'Data(perSeason,perCrop)'!$C:$C,Indicators!DG$3)</f>
        <v>0</v>
      </c>
    </row>
    <row r="12" spans="1:111" x14ac:dyDescent="0.25">
      <c r="B12">
        <v>2022</v>
      </c>
      <c r="C12" s="7">
        <f>IF(COUNTIFS('Data(perSeason,perCrop)'!$S:$S,Indicators!$B12)&gt;0,SUMIFS('Data(perSeason,perCrop)'!$A:$A,'Data(perSeason,perCrop)'!$S:$S,Indicators!$B12,'Data(perSeason,perCrop)'!$O:$O,Indicators!C$7),"")</f>
        <v>13269.491316647343</v>
      </c>
      <c r="D12" s="7">
        <f>IF(COUNTIFS('Data(perSeason,perCrop)'!$S:$S,Indicators!$B12)&gt;0,SUMIFS('Data(perSeason,perCrop)'!$A:$A,'Data(perSeason,perCrop)'!$S:$S,Indicators!$B12,'Data(perSeason,perCrop)'!$O:$O,Indicators!D$7),"")</f>
        <v>12447.907452073357</v>
      </c>
      <c r="E12" s="7">
        <f>IF(COUNTIFS('Data(perSeason,perCrop)'!$S:$S,Indicators!$B12)&gt;0,SUMIFS('Data(perSeason,perCrop)'!$A:$A,'Data(perSeason,perCrop)'!$S:$S,Indicators!$B12,'Data(perSeason,perCrop)'!$O:$O,Indicators!E$7),"")</f>
        <v>4583.7569276155409</v>
      </c>
      <c r="F12" s="7">
        <f>IF(COUNTIFS('Data(perSeason,perCrop)'!$S:$S,Indicators!$B12)&gt;0,SUMIFS('Data(perSeason,perCrop)'!$A:$A,'Data(perSeason,perCrop)'!$S:$S,Indicators!$B12,'Data(perSeason,perCrop)'!$O:$O,Indicators!F$7),"")</f>
        <v>13322.802646365039</v>
      </c>
      <c r="G12" s="7"/>
      <c r="H12" s="7"/>
      <c r="J12" s="2" t="s">
        <v>209</v>
      </c>
      <c r="K12" s="7">
        <f>SUMIFS('Data(perSeason,perCrop)'!$A:$A,'Data(perSeason,perCrop)'!$S:$S,Indicators!$B12,'Data(perSeason,perCrop)'!$O:$O,Indicators!K$7,'Data(perSeason,perCrop)'!$C:$C,Indicators!K$3)</f>
        <v>11.589766700915099</v>
      </c>
      <c r="L12" s="7">
        <f>SUMIFS('Data(perSeason,perCrop)'!$A:$A,'Data(perSeason,perCrop)'!$S:$S,Indicators!$B12,'Data(perSeason,perCrop)'!$O:$O,Indicators!L$7,'Data(perSeason,perCrop)'!$C:$C,Indicators!L$3)</f>
        <v>0</v>
      </c>
      <c r="M12" s="7">
        <f>SUMIFS('Data(perSeason,perCrop)'!$A:$A,'Data(perSeason,perCrop)'!$S:$S,Indicators!$B12,'Data(perSeason,perCrop)'!$O:$O,Indicators!M$7,'Data(perSeason,perCrop)'!$C:$C,Indicators!M$3)</f>
        <v>0</v>
      </c>
      <c r="N12" s="7">
        <f>SUMIFS('Data(perSeason,perCrop)'!$A:$A,'Data(perSeason,perCrop)'!$S:$S,Indicators!$B12,'Data(perSeason,perCrop)'!$O:$O,Indicators!N$7,'Data(perSeason,perCrop)'!$C:$C,Indicators!N$3)</f>
        <v>708.97697545862104</v>
      </c>
      <c r="O12" s="7">
        <f>SUMIFS('Data(perSeason,perCrop)'!$A:$A,'Data(perSeason,perCrop)'!$S:$S,Indicators!$B12,'Data(perSeason,perCrop)'!$O:$O,Indicators!O$7,'Data(perSeason,perCrop)'!$C:$C,Indicators!O$3)</f>
        <v>8199.9696360880189</v>
      </c>
      <c r="P12" s="7">
        <f>SUMIFS('Data(perSeason,perCrop)'!$A:$A,'Data(perSeason,perCrop)'!$S:$S,Indicators!$B12,'Data(perSeason,perCrop)'!$O:$O,Indicators!P$7,'Data(perSeason,perCrop)'!$C:$C,Indicators!P$3)</f>
        <v>0</v>
      </c>
      <c r="Q12" s="7">
        <f>SUMIFS('Data(perSeason,perCrop)'!$A:$A,'Data(perSeason,perCrop)'!$S:$S,Indicators!$B12,'Data(perSeason,perCrop)'!$O:$O,Indicators!Q$7,'Data(perSeason,perCrop)'!$C:$C,Indicators!Q$3)</f>
        <v>4402.2662681174843</v>
      </c>
      <c r="R12" s="7">
        <f>SUMIFS('Data(perSeason,perCrop)'!$A:$A,'Data(perSeason,perCrop)'!$S:$S,Indicators!$B12,'Data(perSeason,perCrop)'!$O:$O,Indicators!R$7,'Data(perSeason,perCrop)'!$C:$C,Indicators!R$3)</f>
        <v>0</v>
      </c>
      <c r="S12" s="62">
        <f>SUMIFS('Data(perSeason,perCrop)'!$A:$A,'Data(perSeason,perCrop)'!$S:$S,Indicators!$B12,'Data(perSeason,perCrop)'!$O:$O,Indicators!S$7,'Data(perSeason,perCrop)'!$C:$C,Indicators!S$3)</f>
        <v>0</v>
      </c>
      <c r="T12" s="62">
        <f>SUMIFS('Data(perSeason,perCrop)'!$A:$A,'Data(perSeason,perCrop)'!$S:$S,Indicators!$B12,'Data(perSeason,perCrop)'!$O:$O,Indicators!T$7,'Data(perSeason,perCrop)'!$C:$C,Indicators!T$3)</f>
        <v>7522.8645729628297</v>
      </c>
      <c r="U12" s="62">
        <f>SUMIFS('Data(perSeason,perCrop)'!$A:$A,'Data(perSeason,perCrop)'!$S:$S,Indicators!$B12,'Data(perSeason,perCrop)'!$O:$O,Indicators!U$7,'Data(perSeason,perCrop)'!$C:$C,Indicators!U$3)</f>
        <v>0</v>
      </c>
      <c r="V12" s="62">
        <f>SUMIFS('Data(perSeason,perCrop)'!$A:$A,'Data(perSeason,perCrop)'!$S:$S,Indicators!$B12,'Data(perSeason,perCrop)'!$O:$O,Indicators!V$7,'Data(perSeason,perCrop)'!$C:$C,Indicators!V$3)</f>
        <v>0</v>
      </c>
      <c r="W12" s="62">
        <f>SUMIFS('Data(perSeason,perCrop)'!$A:$A,'Data(perSeason,perCrop)'!$S:$S,Indicators!$B12,'Data(perSeason,perCrop)'!$O:$O,Indicators!W$7,'Data(perSeason,perCrop)'!$C:$C,Indicators!W$3)</f>
        <v>0</v>
      </c>
      <c r="X12" s="62">
        <f>SUMIFS('Data(perSeason,perCrop)'!$A:$A,'Data(perSeason,perCrop)'!$S:$S,Indicators!$B12,'Data(perSeason,perCrop)'!$O:$O,Indicators!X$7,'Data(perSeason,perCrop)'!$C:$C,Indicators!X$3)</f>
        <v>0</v>
      </c>
      <c r="Y12" s="62">
        <f>SUMIFS('Data(perSeason,perCrop)'!$A:$A,'Data(perSeason,perCrop)'!$S:$S,Indicators!$B12,'Data(perSeason,perCrop)'!$O:$O,Indicators!Y$7,'Data(perSeason,perCrop)'!$C:$C,Indicators!Y$3)</f>
        <v>0</v>
      </c>
      <c r="Z12" s="62">
        <f>SUMIFS('Data(perSeason,perCrop)'!$A:$A,'Data(perSeason,perCrop)'!$S:$S,Indicators!$B12,'Data(perSeason,perCrop)'!$O:$O,Indicators!Z$7,'Data(perSeason,perCrop)'!$C:$C,Indicators!Z$3)</f>
        <v>0</v>
      </c>
      <c r="AA12" s="62">
        <f>SUMIFS('Data(perSeason,perCrop)'!$A:$A,'Data(perSeason,perCrop)'!$S:$S,Indicators!$B12,'Data(perSeason,perCrop)'!$O:$O,Indicators!AA$7,'Data(perSeason,perCrop)'!$C:$C,Indicators!AA$3)</f>
        <v>0</v>
      </c>
      <c r="AB12" s="62">
        <f>SUMIFS('Data(perSeason,perCrop)'!$A:$A,'Data(perSeason,perCrop)'!$S:$S,Indicators!$B12,'Data(perSeason,perCrop)'!$O:$O,Indicators!AB$7,'Data(perSeason,perCrop)'!$C:$C,Indicators!AB$3)</f>
        <v>0</v>
      </c>
      <c r="AC12" s="62">
        <f>SUMIFS('Data(perSeason,perCrop)'!$A:$A,'Data(perSeason,perCrop)'!$S:$S,Indicators!$B12,'Data(perSeason,perCrop)'!$O:$O,Indicators!AC$7,'Data(perSeason,perCrop)'!$C:$C,Indicators!AC$3)</f>
        <v>0</v>
      </c>
      <c r="AD12" s="62">
        <f>SUMIFS('Data(perSeason,perCrop)'!$A:$A,'Data(perSeason,perCrop)'!$S:$S,Indicators!$B12,'Data(perSeason,perCrop)'!$O:$O,Indicators!AD$7,'Data(perSeason,perCrop)'!$C:$C,Indicators!AD$3)</f>
        <v>0</v>
      </c>
      <c r="AE12" s="62">
        <f>SUMIFS('Data(perSeason,perCrop)'!$A:$A,'Data(perSeason,perCrop)'!$S:$S,Indicators!$B12,'Data(perSeason,perCrop)'!$O:$O,Indicators!AE$7,'Data(perSeason,perCrop)'!$C:$C,Indicators!AE$3)</f>
        <v>0</v>
      </c>
      <c r="AF12" s="62">
        <f>SUMIFS('Data(perSeason,perCrop)'!$A:$A,'Data(perSeason,perCrop)'!$S:$S,Indicators!$B12,'Data(perSeason,perCrop)'!$O:$O,Indicators!AF$7,'Data(perSeason,perCrop)'!$C:$C,Indicators!AF$3)</f>
        <v>20.909661400376802</v>
      </c>
      <c r="AG12" s="62">
        <f>SUMIFS('Data(perSeason,perCrop)'!$A:$A,'Data(perSeason,perCrop)'!$S:$S,Indicators!$B12,'Data(perSeason,perCrop)'!$O:$O,Indicators!AG$7,'Data(perSeason,perCrop)'!$C:$C,Indicators!AG$3)</f>
        <v>270.70706662826768</v>
      </c>
      <c r="AH12" s="62">
        <f>SUMIFS('Data(perSeason,perCrop)'!$A:$A,'Data(perSeason,perCrop)'!$S:$S,Indicators!$B12,'Data(perSeason,perCrop)'!$O:$O,Indicators!AH$7,'Data(perSeason,perCrop)'!$C:$C,Indicators!AH$3)</f>
        <v>0</v>
      </c>
      <c r="AI12" s="62">
        <f>SUMIFS('Data(perSeason,perCrop)'!$A:$A,'Data(perSeason,perCrop)'!$S:$S,Indicators!$B12,'Data(perSeason,perCrop)'!$O:$O,Indicators!AI$7,'Data(perSeason,perCrop)'!$C:$C,Indicators!AI$3)</f>
        <v>1385.829205689038</v>
      </c>
      <c r="AJ12" s="62">
        <f>SUMIFS('Data(perSeason,perCrop)'!$A:$A,'Data(perSeason,perCrop)'!$S:$S,Indicators!$B12,'Data(perSeason,perCrop)'!$O:$O,Indicators!AJ$7,'Data(perSeason,perCrop)'!$C:$C,Indicators!AJ$3)</f>
        <v>0</v>
      </c>
      <c r="AK12" s="62">
        <f>SUMIFS('Data(perSeason,perCrop)'!$A:$A,'Data(perSeason,perCrop)'!$S:$S,Indicators!$B12,'Data(perSeason,perCrop)'!$O:$O,Indicators!AK$7,'Data(perSeason,perCrop)'!$C:$C,Indicators!AK$3)</f>
        <v>0</v>
      </c>
      <c r="AL12" s="62">
        <f>SUMIFS('Data(perSeason,perCrop)'!$A:$A,'Data(perSeason,perCrop)'!$S:$S,Indicators!$B12,'Data(perSeason,perCrop)'!$O:$O,Indicators!AL$7,'Data(perSeason,perCrop)'!$C:$C,Indicators!AL$3)</f>
        <v>1950.9505651082811</v>
      </c>
      <c r="AM12" s="62">
        <f>SUMIFS('Data(perSeason,perCrop)'!$A:$A,'Data(perSeason,perCrop)'!$S:$S,Indicators!$B12,'Data(perSeason,perCrop)'!$O:$O,Indicators!AM$7,'Data(perSeason,perCrop)'!$C:$C,Indicators!AM$3)</f>
        <v>0</v>
      </c>
      <c r="AN12" s="62">
        <f>SUMIFS('Data(perSeason,perCrop)'!$A:$A,'Data(perSeason,perCrop)'!$S:$S,Indicators!$B12,'Data(perSeason,perCrop)'!$O:$O,Indicators!AN$7,'Data(perSeason,perCrop)'!$C:$C,Indicators!AN$3)</f>
        <v>0</v>
      </c>
      <c r="AO12" s="62">
        <f>SUMIFS('Data(perSeason,perCrop)'!$A:$A,'Data(perSeason,perCrop)'!$S:$S,Indicators!$B12,'Data(perSeason,perCrop)'!$O:$O,Indicators!AO$7,'Data(perSeason,perCrop)'!$C:$C,Indicators!AO$3)</f>
        <v>0</v>
      </c>
      <c r="AP12" s="62">
        <f>SUMIFS('Data(perSeason,perCrop)'!$A:$A,'Data(perSeason,perCrop)'!$S:$S,Indicators!$B12,'Data(perSeason,perCrop)'!$O:$O,Indicators!AP$7,'Data(perSeason,perCrop)'!$C:$C,Indicators!AP$3)</f>
        <v>0</v>
      </c>
      <c r="AQ12" s="62">
        <f>SUMIFS('Data(perSeason,perCrop)'!$A:$A,'Data(perSeason,perCrop)'!$S:$S,Indicators!$B12,'Data(perSeason,perCrop)'!$O:$O,Indicators!AQ$7,'Data(perSeason,perCrop)'!$C:$C,Indicators!AQ$3)</f>
        <v>0</v>
      </c>
      <c r="AR12" s="62">
        <f>SUMIFS('Data(perSeason,perCrop)'!$A:$A,'Data(perSeason,perCrop)'!$S:$S,Indicators!$B12,'Data(perSeason,perCrop)'!$O:$O,Indicators!AR$7,'Data(perSeason,perCrop)'!$C:$C,Indicators!AR$3)</f>
        <v>0</v>
      </c>
      <c r="AS12" s="62">
        <f>SUMIFS('Data(perSeason,perCrop)'!$A:$A,'Data(perSeason,perCrop)'!$S:$S,Indicators!$B12,'Data(perSeason,perCrop)'!$O:$O,Indicators!AS$7,'Data(perSeason,perCrop)'!$C:$C,Indicators!AS$3)</f>
        <v>0</v>
      </c>
      <c r="AT12" s="62">
        <f>SUMIFS('Data(perSeason,perCrop)'!$A:$A,'Data(perSeason,perCrop)'!$S:$S,Indicators!$B12,'Data(perSeason,perCrop)'!$O:$O,Indicators!AT$7,'Data(perSeason,perCrop)'!$C:$C,Indicators!AT$3)</f>
        <v>0</v>
      </c>
      <c r="AU12" s="62">
        <f>SUMIFS('Data(perSeason,perCrop)'!$A:$A,'Data(perSeason,perCrop)'!$S:$S,Indicators!$B12,'Data(perSeason,perCrop)'!$O:$O,Indicators!AU$7,'Data(perSeason,perCrop)'!$C:$C,Indicators!AU$3)</f>
        <v>0</v>
      </c>
      <c r="AV12" s="62">
        <f>SUMIFS('Data(perSeason,perCrop)'!$A:$A,'Data(perSeason,perCrop)'!$S:$S,Indicators!$B12,'Data(perSeason,perCrop)'!$O:$O,Indicators!AV$7,'Data(perSeason,perCrop)'!$C:$C,Indicators!AV$3)</f>
        <v>0</v>
      </c>
      <c r="AW12" s="62">
        <f>SUMIFS('Data(perSeason,perCrop)'!$A:$A,'Data(perSeason,perCrop)'!$S:$S,Indicators!$B12,'Data(perSeason,perCrop)'!$O:$O,Indicators!AW$7,'Data(perSeason,perCrop)'!$C:$C,Indicators!AW$3)</f>
        <v>0</v>
      </c>
      <c r="AX12" s="7">
        <f>SUMIFS('Data(perSeason,perCrop)'!$A:$A,'Data(perSeason,perCrop)'!$S:$S,Indicators!$B12,'Data(perSeason,perCrop)'!$O:$O,Indicators!AX$7,'Data(perSeason,perCrop)'!$C:$C,Indicators!AX$3)</f>
        <v>0</v>
      </c>
      <c r="AY12" s="7">
        <f>SUMIFS('Data(perSeason,perCrop)'!$A:$A,'Data(perSeason,perCrop)'!$S:$S,Indicators!$B12,'Data(perSeason,perCrop)'!$O:$O,Indicators!AY$7,'Data(perSeason,perCrop)'!$C:$C,Indicators!AY$3)</f>
        <v>7493.0894232229002</v>
      </c>
      <c r="AZ12" s="7">
        <f>SUMIFS('Data(perSeason,perCrop)'!$A:$A,'Data(perSeason,perCrop)'!$S:$S,Indicators!$B12,'Data(perSeason,perCrop)'!$O:$O,Indicators!AZ$7,'Data(perSeason,perCrop)'!$C:$C,Indicators!AZ$3)</f>
        <v>0</v>
      </c>
      <c r="BA12" s="7">
        <f>SUMIFS('Data(perSeason,perCrop)'!$A:$A,'Data(perSeason,perCrop)'!$S:$S,Indicators!$B12,'Data(perSeason,perCrop)'!$O:$O,Indicators!BA$7,'Data(perSeason,perCrop)'!$C:$C,Indicators!BA$3)</f>
        <v>0</v>
      </c>
      <c r="BB12" s="7">
        <f>SUMIFS('Data(perSeason,perCrop)'!$A:$A,'Data(perSeason,perCrop)'!$S:$S,Indicators!$B12,'Data(perSeason,perCrop)'!$O:$O,Indicators!BB$7,'Data(perSeason,perCrop)'!$C:$C,Indicators!BB$3)</f>
        <v>0</v>
      </c>
      <c r="BC12" s="7">
        <f>SUMIFS('Data(perSeason,perCrop)'!$A:$A,'Data(perSeason,perCrop)'!$S:$S,Indicators!$B12,'Data(perSeason,perCrop)'!$O:$O,Indicators!BC$7,'Data(perSeason,perCrop)'!$C:$C,Indicators!BC$3)</f>
        <v>0</v>
      </c>
      <c r="BD12" s="7">
        <f>SUMIFS('Data(perSeason,perCrop)'!$A:$A,'Data(perSeason,perCrop)'!$S:$S,Indicators!$B12,'Data(perSeason,perCrop)'!$O:$O,Indicators!BD$7,'Data(perSeason,perCrop)'!$C:$C,Indicators!BD$3)</f>
        <v>0</v>
      </c>
      <c r="BE12" s="7">
        <f>SUMIFS('Data(perSeason,perCrop)'!$A:$A,'Data(perSeason,perCrop)'!$S:$S,Indicators!$B12,'Data(perSeason,perCrop)'!$O:$O,Indicators!BE$7,'Data(perSeason,perCrop)'!$C:$C,Indicators!BE$3)</f>
        <v>0</v>
      </c>
      <c r="BF12" s="7">
        <f>SUMIFS('Data(perSeason,perCrop)'!$A:$A,'Data(perSeason,perCrop)'!$S:$S,Indicators!$B12,'Data(perSeason,perCrop)'!$O:$O,Indicators!BF$7,'Data(perSeason,perCrop)'!$C:$C,Indicators!BF$3)</f>
        <v>0</v>
      </c>
      <c r="BG12" s="7">
        <f>SUMIFS('Data(perSeason,perCrop)'!$A:$A,'Data(perSeason,perCrop)'!$S:$S,Indicators!$B12,'Data(perSeason,perCrop)'!$O:$O,Indicators!BG$7,'Data(perSeason,perCrop)'!$C:$C,Indicators!BG$3)</f>
        <v>0</v>
      </c>
      <c r="BH12" s="7">
        <f>SUMIFS('Data(perSeason,perCrop)'!$A:$A,'Data(perSeason,perCrop)'!$S:$S,Indicators!$B12,'Data(perSeason,perCrop)'!$O:$O,Indicators!BH$7,'Data(perSeason,perCrop)'!$C:$C,Indicators!BH$3)</f>
        <v>0</v>
      </c>
      <c r="BI12" s="7">
        <f>SUMIFS('Data(perSeason,perCrop)'!$A:$A,'Data(perSeason,perCrop)'!$S:$S,Indicators!$B12,'Data(perSeason,perCrop)'!$O:$O,Indicators!BI$7,'Data(perSeason,perCrop)'!$C:$C,Indicators!BI$3)</f>
        <v>0</v>
      </c>
      <c r="BJ12" s="7">
        <f>SUMIFS('Data(perSeason,perCrop)'!$A:$A,'Data(perSeason,perCrop)'!$S:$S,Indicators!$B12,'Data(perSeason,perCrop)'!$O:$O,Indicators!BJ$7,'Data(perSeason,perCrop)'!$C:$C,Indicators!BJ$3)</f>
        <v>0</v>
      </c>
      <c r="BK12" s="7">
        <f>SUMIFS('Data(perSeason,perCrop)'!$A:$A,'Data(perSeason,perCrop)'!$S:$S,Indicators!$B12,'Data(perSeason,perCrop)'!$O:$O,Indicators!BK$7,'Data(perSeason,perCrop)'!$C:$C,Indicators!BK$3)</f>
        <v>0</v>
      </c>
      <c r="BL12" s="7">
        <f>SUMIFS('Data(perSeason,perCrop)'!$A:$A,'Data(perSeason,perCrop)'!$S:$S,Indicators!$B12,'Data(perSeason,perCrop)'!$O:$O,Indicators!BL$7,'Data(perSeason,perCrop)'!$C:$C,Indicators!BL$3)</f>
        <v>72.987145522547607</v>
      </c>
      <c r="BM12" s="7">
        <f>SUMIFS('Data(perSeason,perCrop)'!$A:$A,'Data(perSeason,perCrop)'!$S:$S,Indicators!$B12,'Data(perSeason,perCrop)'!$O:$O,Indicators!BM$7,'Data(perSeason,perCrop)'!$C:$C,Indicators!BM$3)</f>
        <v>0</v>
      </c>
      <c r="BN12" s="7">
        <f>SUMIFS('Data(perSeason,perCrop)'!$A:$A,'Data(perSeason,perCrop)'!$S:$S,Indicators!$B12,'Data(perSeason,perCrop)'!$O:$O,Indicators!BN$7,'Data(perSeason,perCrop)'!$C:$C,Indicators!BN$3)</f>
        <v>1228.402178705611</v>
      </c>
      <c r="BO12" s="7">
        <f>SUMIFS('Data(perSeason,perCrop)'!$A:$A,'Data(perSeason,perCrop)'!$S:$S,Indicators!$B12,'Data(perSeason,perCrop)'!$O:$O,Indicators!BO$7,'Data(perSeason,perCrop)'!$C:$C,Indicators!BO$3)</f>
        <v>0</v>
      </c>
      <c r="BP12" s="7">
        <f>SUMIFS('Data(perSeason,perCrop)'!$A:$A,'Data(perSeason,perCrop)'!$S:$S,Indicators!$B12,'Data(perSeason,perCrop)'!$O:$O,Indicators!BP$7,'Data(perSeason,perCrop)'!$C:$C,Indicators!BP$3)</f>
        <v>0</v>
      </c>
      <c r="BQ12" s="7">
        <f>SUMIFS('Data(perSeason,perCrop)'!$A:$A,'Data(perSeason,perCrop)'!$S:$S,Indicators!$B12,'Data(perSeason,perCrop)'!$O:$O,Indicators!BQ$7,'Data(perSeason,perCrop)'!$C:$C,Indicators!BQ$3)</f>
        <v>1926.161871611489</v>
      </c>
      <c r="BR12" s="7">
        <f>SUMIFS('Data(perSeason,perCrop)'!$A:$A,'Data(perSeason,perCrop)'!$S:$S,Indicators!$B12,'Data(perSeason,perCrop)'!$O:$O,Indicators!BR$7,'Data(perSeason,perCrop)'!$C:$C,Indicators!BR$3)</f>
        <v>0</v>
      </c>
      <c r="BS12" s="7">
        <f>SUMIFS('Data(perSeason,perCrop)'!$A:$A,'Data(perSeason,perCrop)'!$S:$S,Indicators!$B12,'Data(perSeason,perCrop)'!$O:$O,Indicators!BS$7,'Data(perSeason,perCrop)'!$C:$C,Indicators!BS$3)</f>
        <v>0</v>
      </c>
      <c r="BT12" s="7">
        <f>SUMIFS('Data(perSeason,perCrop)'!$A:$A,'Data(perSeason,perCrop)'!$S:$S,Indicators!$B12,'Data(perSeason,perCrop)'!$O:$O,Indicators!BT$7,'Data(perSeason,perCrop)'!$C:$C,Indicators!BT$3)</f>
        <v>0</v>
      </c>
      <c r="BU12" s="7">
        <f>SUMIFS('Data(perSeason,perCrop)'!$A:$A,'Data(perSeason,perCrop)'!$S:$S,Indicators!$B12,'Data(perSeason,perCrop)'!$O:$O,Indicators!BU$7,'Data(perSeason,perCrop)'!$C:$C,Indicators!BU$3)</f>
        <v>0</v>
      </c>
      <c r="BV12" s="7">
        <f>SUMIFS('Data(perSeason,perCrop)'!$A:$A,'Data(perSeason,perCrop)'!$S:$S,Indicators!$B12,'Data(perSeason,perCrop)'!$O:$O,Indicators!BV$7,'Data(perSeason,perCrop)'!$C:$C,Indicators!BV$3)</f>
        <v>0</v>
      </c>
      <c r="BW12" s="7">
        <f>SUMIFS('Data(perSeason,perCrop)'!$A:$A,'Data(perSeason,perCrop)'!$S:$S,Indicators!$B12,'Data(perSeason,perCrop)'!$O:$O,Indicators!BW$7,'Data(perSeason,perCrop)'!$C:$C,Indicators!BW$3)</f>
        <v>0</v>
      </c>
      <c r="BX12" s="7">
        <f>SUMIFS('Data(perSeason,perCrop)'!$A:$A,'Data(perSeason,perCrop)'!$S:$S,Indicators!$B12,'Data(perSeason,perCrop)'!$O:$O,Indicators!BX$7,'Data(perSeason,perCrop)'!$C:$C,Indicators!BX$3)</f>
        <v>0</v>
      </c>
      <c r="BY12" s="7">
        <f>SUMIFS('Data(perSeason,perCrop)'!$A:$A,'Data(perSeason,perCrop)'!$S:$S,Indicators!$B12,'Data(perSeason,perCrop)'!$O:$O,Indicators!BY$7,'Data(perSeason,perCrop)'!$C:$C,Indicators!BY$3)</f>
        <v>0</v>
      </c>
      <c r="BZ12" s="7">
        <f>SUMIFS('Data(perSeason,perCrop)'!$A:$A,'Data(perSeason,perCrop)'!$S:$S,Indicators!$B12,'Data(perSeason,perCrop)'!$O:$O,Indicators!BZ$7,'Data(perSeason,perCrop)'!$C:$C,Indicators!BZ$3)</f>
        <v>0</v>
      </c>
      <c r="CA12" s="7">
        <f>SUMIFS('Data(perSeason,perCrop)'!$A:$A,'Data(perSeason,perCrop)'!$S:$S,Indicators!$B12,'Data(perSeason,perCrop)'!$O:$O,Indicators!CA$7,'Data(perSeason,perCrop)'!$C:$C,Indicators!CA$3)</f>
        <v>0</v>
      </c>
      <c r="CB12" s="7">
        <f>SUMIFS('Data(perSeason,perCrop)'!$A:$A,'Data(perSeason,perCrop)'!$S:$S,Indicators!$B12,'Data(perSeason,perCrop)'!$O:$O,Indicators!CB$7,'Data(perSeason,perCrop)'!$C:$C,Indicators!CB$3)</f>
        <v>0</v>
      </c>
      <c r="CC12" s="7">
        <f>SUMIFS('Data(perSeason,perCrop)'!$A:$A,'Data(perSeason,perCrop)'!$S:$S,Indicators!$B12,'Data(perSeason,perCrop)'!$O:$O,Indicators!CC$7,'Data(perSeason,perCrop)'!$C:$C,Indicators!CC$3)</f>
        <v>0</v>
      </c>
      <c r="CD12" s="7">
        <f>SUMIFS('Data(perSeason,perCrop)'!$A:$A,'Data(perSeason,perCrop)'!$S:$S,Indicators!$B12,'Data(perSeason,perCrop)'!$O:$O,Indicators!CD$7,'Data(perSeason,perCrop)'!$C:$C,Indicators!CD$3)</f>
        <v>0</v>
      </c>
      <c r="CE12" s="7">
        <f>SUMIFS('Data(perSeason,perCrop)'!$A:$A,'Data(perSeason,perCrop)'!$S:$S,Indicators!$B12,'Data(perSeason,perCrop)'!$O:$O,Indicators!CE$7,'Data(perSeason,perCrop)'!$C:$C,Indicators!CE$3)</f>
        <v>0</v>
      </c>
      <c r="CF12" s="7">
        <f>SUMIFS('Data(perSeason,perCrop)'!$A:$A,'Data(perSeason,perCrop)'!$S:$S,Indicators!$B12,'Data(perSeason,perCrop)'!$O:$O,Indicators!CF$7,'Data(perSeason,perCrop)'!$C:$C,Indicators!CF$3)</f>
        <v>0</v>
      </c>
      <c r="CG12" s="7">
        <f>SUMIFS('Data(perSeason,perCrop)'!$A:$A,'Data(perSeason,perCrop)'!$S:$S,Indicators!$B12,'Data(perSeason,perCrop)'!$O:$O,Indicators!CG$7,'Data(perSeason,perCrop)'!$C:$C,Indicators!CG$3)</f>
        <v>0</v>
      </c>
      <c r="CH12" s="7">
        <f>SUMIFS('Data(perSeason,perCrop)'!$A:$A,'Data(perSeason,perCrop)'!$S:$S,Indicators!$B12,'Data(perSeason,perCrop)'!$O:$O,Indicators!CH$7,'Data(perSeason,perCrop)'!$C:$C,Indicators!CH$3)</f>
        <v>0</v>
      </c>
      <c r="CI12" s="7">
        <f>SUMIFS('Data(perSeason,perCrop)'!$A:$A,'Data(perSeason,perCrop)'!$S:$S,Indicators!$B12,'Data(perSeason,perCrop)'!$O:$O,Indicators!CI$7,'Data(perSeason,perCrop)'!$C:$C,Indicators!CI$3)</f>
        <v>0</v>
      </c>
      <c r="CJ12" s="7">
        <f>SUMIFS('Data(perSeason,perCrop)'!$A:$A,'Data(perSeason,perCrop)'!$S:$S,Indicators!$B12,'Data(perSeason,perCrop)'!$O:$O,Indicators!CJ$7,'Data(perSeason,perCrop)'!$C:$C,Indicators!CJ$3)</f>
        <v>0</v>
      </c>
      <c r="CK12" s="7">
        <f>SUMIFS('Data(perSeason,perCrop)'!$A:$A,'Data(perSeason,perCrop)'!$S:$S,Indicators!$B12,'Data(perSeason,perCrop)'!$O:$O,Indicators!CK$7,'Data(perSeason,perCrop)'!$C:$C,Indicators!CK$3)</f>
        <v>0</v>
      </c>
      <c r="CL12" s="7">
        <f>SUMIFS('Data(perSeason,perCrop)'!$A:$A,'Data(perSeason,perCrop)'!$S:$S,Indicators!$B12,'Data(perSeason,perCrop)'!$O:$O,Indicators!CL$7,'Data(perSeason,perCrop)'!$C:$C,Indicators!CL$3)</f>
        <v>0</v>
      </c>
      <c r="CM12" s="7">
        <f>SUMIFS('Data(perSeason,perCrop)'!$A:$A,'Data(perSeason,perCrop)'!$S:$S,Indicators!$B12,'Data(perSeason,perCrop)'!$O:$O,Indicators!CM$7,'Data(perSeason,perCrop)'!$C:$C,Indicators!CM$3)</f>
        <v>0</v>
      </c>
      <c r="CN12" s="7">
        <f>SUMIFS('Data(perSeason,perCrop)'!$A:$A,'Data(perSeason,perCrop)'!$S:$S,Indicators!$B12,'Data(perSeason,perCrop)'!$O:$O,Indicators!CN$7,'Data(perSeason,perCrop)'!$C:$C,Indicators!CN$3)</f>
        <v>0</v>
      </c>
      <c r="CO12" s="7">
        <f>SUMIFS('Data(perSeason,perCrop)'!$A:$A,'Data(perSeason,perCrop)'!$S:$S,Indicators!$B12,'Data(perSeason,perCrop)'!$O:$O,Indicators!CO$7,'Data(perSeason,perCrop)'!$C:$C,Indicators!CO$3)</f>
        <v>0</v>
      </c>
      <c r="CP12" s="7">
        <f>SUMIFS('Data(perSeason,perCrop)'!$A:$A,'Data(perSeason,perCrop)'!$S:$S,Indicators!$B12,'Data(perSeason,perCrop)'!$O:$O,Indicators!CP$7,'Data(perSeason,perCrop)'!$C:$C,Indicators!CP$3)</f>
        <v>2561.8309239978885</v>
      </c>
      <c r="CQ12" s="7">
        <f>SUMIFS('Data(perSeason,perCrop)'!$A:$A,'Data(perSeason,perCrop)'!$S:$S,Indicators!$B12,'Data(perSeason,perCrop)'!$O:$O,Indicators!CQ$7,'Data(perSeason,perCrop)'!$C:$C,Indicators!CQ$3)</f>
        <v>285.76802925499601</v>
      </c>
      <c r="CR12" s="7">
        <f>SUMIFS('Data(perSeason,perCrop)'!$A:$A,'Data(perSeason,perCrop)'!$S:$S,Indicators!$B12,'Data(perSeason,perCrop)'!$O:$O,Indicators!CR$7,'Data(perSeason,perCrop)'!$C:$C,Indicators!CR$3)</f>
        <v>0</v>
      </c>
      <c r="CS12" s="7">
        <f>SUMIFS('Data(perSeason,perCrop)'!$A:$A,'Data(perSeason,perCrop)'!$S:$S,Indicators!$B12,'Data(perSeason,perCrop)'!$O:$O,Indicators!CS$7,'Data(perSeason,perCrop)'!$C:$C,Indicators!CS$3)</f>
        <v>176.10449268907951</v>
      </c>
      <c r="CT12" s="7">
        <f>SUMIFS('Data(perSeason,perCrop)'!$A:$A,'Data(perSeason,perCrop)'!$S:$S,Indicators!$B12,'Data(perSeason,perCrop)'!$O:$O,Indicators!CT$7,'Data(perSeason,perCrop)'!$C:$C,Indicators!CT$3)</f>
        <v>0</v>
      </c>
      <c r="CU12" s="7">
        <f>SUMIFS('Data(perSeason,perCrop)'!$A:$A,'Data(perSeason,perCrop)'!$S:$S,Indicators!$B12,'Data(perSeason,perCrop)'!$O:$O,Indicators!CU$7,'Data(perSeason,perCrop)'!$C:$C,Indicators!CU$3)</f>
        <v>0</v>
      </c>
      <c r="CV12" s="7">
        <f>SUMIFS('Data(perSeason,perCrop)'!$A:$A,'Data(perSeason,perCrop)'!$S:$S,Indicators!$B12,'Data(perSeason,perCrop)'!$O:$O,Indicators!CV$7,'Data(perSeason,perCrop)'!$C:$C,Indicators!CV$3)</f>
        <v>1522.380898346353</v>
      </c>
      <c r="CW12" s="7">
        <f>SUMIFS('Data(perSeason,perCrop)'!$A:$A,'Data(perSeason,perCrop)'!$S:$S,Indicators!$B12,'Data(perSeason,perCrop)'!$O:$O,Indicators!CW$7,'Data(perSeason,perCrop)'!$C:$C,Indicators!CW$3)</f>
        <v>0</v>
      </c>
      <c r="CX12" s="7">
        <f>SUMIFS('Data(perSeason,perCrop)'!$A:$A,'Data(perSeason,perCrop)'!$S:$S,Indicators!$B12,'Data(perSeason,perCrop)'!$O:$O,Indicators!CX$7,'Data(perSeason,perCrop)'!$C:$C,Indicators!CX$3)</f>
        <v>0</v>
      </c>
      <c r="CY12" s="7">
        <f>SUMIFS('Data(perSeason,perCrop)'!$A:$A,'Data(perSeason,perCrop)'!$S:$S,Indicators!$B12,'Data(perSeason,perCrop)'!$O:$O,Indicators!CY$7,'Data(perSeason,perCrop)'!$C:$C,Indicators!CY$3)</f>
        <v>0</v>
      </c>
      <c r="CZ12" s="7">
        <f>SUMIFS('Data(perSeason,perCrop)'!$A:$A,'Data(perSeason,perCrop)'!$S:$S,Indicators!$B12,'Data(perSeason,perCrop)'!$O:$O,Indicators!CZ$7,'Data(perSeason,perCrop)'!$C:$C,Indicators!CZ$3)</f>
        <v>0</v>
      </c>
      <c r="DA12" s="7">
        <f>SUMIFS('Data(perSeason,perCrop)'!$A:$A,'Data(perSeason,perCrop)'!$S:$S,Indicators!$B12,'Data(perSeason,perCrop)'!$O:$O,Indicators!DA$7,'Data(perSeason,perCrop)'!$C:$C,Indicators!DA$3)</f>
        <v>0</v>
      </c>
      <c r="DB12" s="7">
        <f>SUMIFS('Data(perSeason,perCrop)'!$A:$A,'Data(perSeason,perCrop)'!$S:$S,Indicators!$B12,'Data(perSeason,perCrop)'!$O:$O,Indicators!DB$7,'Data(perSeason,perCrop)'!$C:$C,Indicators!DB$3)</f>
        <v>0</v>
      </c>
      <c r="DC12" s="7">
        <f>SUMIFS('Data(perSeason,perCrop)'!$A:$A,'Data(perSeason,perCrop)'!$S:$S,Indicators!$B12,'Data(perSeason,perCrop)'!$O:$O,Indicators!DC$7,'Data(perSeason,perCrop)'!$C:$C,Indicators!DC$3)</f>
        <v>0</v>
      </c>
      <c r="DD12" s="7">
        <f>SUMIFS('Data(perSeason,perCrop)'!$A:$A,'Data(perSeason,perCrop)'!$S:$S,Indicators!$B12,'Data(perSeason,perCrop)'!$O:$O,Indicators!DD$7,'Data(perSeason,perCrop)'!$C:$C,Indicators!DD$3)</f>
        <v>0</v>
      </c>
      <c r="DE12" s="7">
        <f>SUMIFS('Data(perSeason,perCrop)'!$A:$A,'Data(perSeason,perCrop)'!$S:$S,Indicators!$B12,'Data(perSeason,perCrop)'!$O:$O,Indicators!DE$7,'Data(perSeason,perCrop)'!$C:$C,Indicators!DE$3)</f>
        <v>0</v>
      </c>
      <c r="DF12" s="7">
        <f>SUMIFS('Data(perSeason,perCrop)'!$A:$A,'Data(perSeason,perCrop)'!$S:$S,Indicators!$B12,'Data(perSeason,perCrop)'!$O:$O,Indicators!DF$7,'Data(perSeason,perCrop)'!$C:$C,Indicators!DF$3)</f>
        <v>0</v>
      </c>
      <c r="DG12" s="7">
        <f>SUMIFS('Data(perSeason,perCrop)'!$A:$A,'Data(perSeason,perCrop)'!$S:$S,Indicators!$B12,'Data(perSeason,perCrop)'!$O:$O,Indicators!DG$7,'Data(perSeason,perCrop)'!$C:$C,Indicators!DG$3)</f>
        <v>0</v>
      </c>
    </row>
    <row r="13" spans="1:111" x14ac:dyDescent="0.25">
      <c r="B13" s="5" t="s">
        <v>66</v>
      </c>
      <c r="C13" s="9">
        <f>AVERAGE(C8:C12)</f>
        <v>11544.412628736482</v>
      </c>
      <c r="D13" s="9">
        <f t="shared" ref="D13:F13" si="0">AVERAGE(D8:D12)</f>
        <v>10802.365602422748</v>
      </c>
      <c r="E13" s="9">
        <f t="shared" si="0"/>
        <v>4058.2458937542942</v>
      </c>
      <c r="F13" s="9">
        <f t="shared" si="0"/>
        <v>11660.411494312268</v>
      </c>
      <c r="G13" s="9"/>
      <c r="H13" s="9"/>
      <c r="I13" s="5"/>
      <c r="J13" s="2" t="s">
        <v>209</v>
      </c>
      <c r="K13" s="9">
        <f t="shared" ref="K13:AF13" si="1">AVERAGE(K8:K12)</f>
        <v>75.013509013280412</v>
      </c>
      <c r="L13" s="9">
        <f t="shared" si="1"/>
        <v>15.81490821171538</v>
      </c>
      <c r="M13" s="9">
        <f t="shared" si="1"/>
        <v>25.157964263960114</v>
      </c>
      <c r="N13" s="9">
        <f t="shared" si="1"/>
        <v>1247.2369007320242</v>
      </c>
      <c r="O13" s="9">
        <f t="shared" si="1"/>
        <v>7068.4645262498689</v>
      </c>
      <c r="P13" s="9">
        <f t="shared" si="1"/>
        <v>43.114800711238459</v>
      </c>
      <c r="Q13" s="9">
        <f t="shared" si="1"/>
        <v>3184.0310413419061</v>
      </c>
      <c r="R13" s="9">
        <f t="shared" si="1"/>
        <v>1.577843788276224</v>
      </c>
      <c r="S13" s="63">
        <f t="shared" si="1"/>
        <v>0</v>
      </c>
      <c r="T13" s="63">
        <f t="shared" si="1"/>
        <v>5559.34513290006</v>
      </c>
      <c r="U13" s="63">
        <f t="shared" si="1"/>
        <v>0</v>
      </c>
      <c r="V13" s="63">
        <f t="shared" si="1"/>
        <v>0</v>
      </c>
      <c r="W13" s="63">
        <f t="shared" si="1"/>
        <v>0</v>
      </c>
      <c r="X13" s="63">
        <f t="shared" si="1"/>
        <v>0</v>
      </c>
      <c r="Y13" s="63">
        <f t="shared" si="1"/>
        <v>0</v>
      </c>
      <c r="Z13" s="63">
        <f t="shared" si="1"/>
        <v>0</v>
      </c>
      <c r="AA13" s="63">
        <f t="shared" si="1"/>
        <v>0</v>
      </c>
      <c r="AB13" s="63">
        <f t="shared" si="1"/>
        <v>0</v>
      </c>
      <c r="AC13" s="63">
        <f t="shared" si="1"/>
        <v>0</v>
      </c>
      <c r="AD13" s="63">
        <f t="shared" si="1"/>
        <v>0</v>
      </c>
      <c r="AE13" s="63">
        <f t="shared" si="1"/>
        <v>0</v>
      </c>
      <c r="AF13" s="63">
        <f t="shared" si="1"/>
        <v>111.46386189100824</v>
      </c>
      <c r="AG13" s="63">
        <f t="shared" ref="AG13:BK13" si="2">AVERAGE(AG8:AG12)</f>
        <v>353.52696987139984</v>
      </c>
      <c r="AH13" s="63">
        <f t="shared" si="2"/>
        <v>0</v>
      </c>
      <c r="AI13" s="63">
        <f t="shared" si="2"/>
        <v>1521.6522847637582</v>
      </c>
      <c r="AJ13" s="63">
        <f t="shared" si="2"/>
        <v>0</v>
      </c>
      <c r="AK13" s="63">
        <f t="shared" si="2"/>
        <v>0</v>
      </c>
      <c r="AL13" s="63">
        <f t="shared" si="2"/>
        <v>2233.5049159817759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0</v>
      </c>
      <c r="AR13" s="63">
        <f t="shared" si="2"/>
        <v>0</v>
      </c>
      <c r="AS13" s="63">
        <f t="shared" si="2"/>
        <v>0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9">
        <f t="shared" si="2"/>
        <v>0</v>
      </c>
      <c r="AY13" s="9">
        <f t="shared" si="2"/>
        <v>5558.1002976272539</v>
      </c>
      <c r="AZ13" s="9">
        <f t="shared" si="2"/>
        <v>0</v>
      </c>
      <c r="BA13" s="9">
        <f t="shared" si="2"/>
        <v>0</v>
      </c>
      <c r="BB13" s="9">
        <f t="shared" si="2"/>
        <v>0</v>
      </c>
      <c r="BC13" s="9">
        <f t="shared" si="2"/>
        <v>0</v>
      </c>
      <c r="BD13" s="9">
        <f t="shared" si="2"/>
        <v>0</v>
      </c>
      <c r="BE13" s="9">
        <f t="shared" si="2"/>
        <v>0</v>
      </c>
      <c r="BF13" s="9">
        <f t="shared" si="2"/>
        <v>0</v>
      </c>
      <c r="BG13" s="9">
        <f t="shared" si="2"/>
        <v>0</v>
      </c>
      <c r="BH13" s="9">
        <f t="shared" si="2"/>
        <v>0</v>
      </c>
      <c r="BI13" s="9">
        <f t="shared" si="2"/>
        <v>0</v>
      </c>
      <c r="BJ13" s="9">
        <f t="shared" si="2"/>
        <v>0</v>
      </c>
      <c r="BK13" s="9">
        <f t="shared" si="2"/>
        <v>0</v>
      </c>
      <c r="BL13" s="9">
        <f t="shared" ref="BL13:CO13" si="3">AVERAGE(BL8:BL12)</f>
        <v>112.26929812071248</v>
      </c>
      <c r="BM13" s="9">
        <f t="shared" si="3"/>
        <v>0</v>
      </c>
      <c r="BN13" s="9">
        <f t="shared" si="3"/>
        <v>1332.3396279926083</v>
      </c>
      <c r="BO13" s="9">
        <f t="shared" si="3"/>
        <v>0</v>
      </c>
      <c r="BP13" s="9">
        <f t="shared" si="3"/>
        <v>0</v>
      </c>
      <c r="BQ13" s="9">
        <f t="shared" si="3"/>
        <v>2219.0828644182352</v>
      </c>
      <c r="BR13" s="9">
        <f t="shared" si="3"/>
        <v>0</v>
      </c>
      <c r="BS13" s="9">
        <f t="shared" si="3"/>
        <v>0</v>
      </c>
      <c r="BT13" s="9">
        <f t="shared" si="3"/>
        <v>0</v>
      </c>
      <c r="BU13" s="9">
        <f t="shared" si="3"/>
        <v>0</v>
      </c>
      <c r="BV13" s="9">
        <f t="shared" si="3"/>
        <v>0</v>
      </c>
      <c r="BW13" s="9">
        <f t="shared" si="3"/>
        <v>0</v>
      </c>
      <c r="BX13" s="9">
        <f t="shared" si="3"/>
        <v>0</v>
      </c>
      <c r="BY13" s="9">
        <f t="shared" si="3"/>
        <v>0</v>
      </c>
      <c r="BZ13" s="9">
        <f t="shared" si="3"/>
        <v>0</v>
      </c>
      <c r="CA13" s="9">
        <f t="shared" si="3"/>
        <v>0</v>
      </c>
      <c r="CB13" s="9">
        <f t="shared" si="3"/>
        <v>0</v>
      </c>
      <c r="CC13" s="9">
        <f t="shared" si="3"/>
        <v>0</v>
      </c>
      <c r="CD13" s="9">
        <f t="shared" si="3"/>
        <v>0</v>
      </c>
      <c r="CE13" s="9">
        <f t="shared" si="3"/>
        <v>0</v>
      </c>
      <c r="CF13" s="9">
        <f t="shared" si="3"/>
        <v>0</v>
      </c>
      <c r="CG13" s="9">
        <f t="shared" si="3"/>
        <v>0</v>
      </c>
      <c r="CH13" s="9">
        <f t="shared" si="3"/>
        <v>0</v>
      </c>
      <c r="CI13" s="9">
        <f t="shared" si="3"/>
        <v>0</v>
      </c>
      <c r="CJ13" s="9">
        <f t="shared" si="3"/>
        <v>0</v>
      </c>
      <c r="CK13" s="9">
        <f t="shared" si="3"/>
        <v>0</v>
      </c>
      <c r="CL13" s="9">
        <f t="shared" si="3"/>
        <v>0</v>
      </c>
      <c r="CM13" s="9">
        <f t="shared" si="3"/>
        <v>0</v>
      </c>
      <c r="CN13" s="9">
        <f t="shared" si="3"/>
        <v>0</v>
      </c>
      <c r="CO13" s="9">
        <f t="shared" si="3"/>
        <v>0</v>
      </c>
      <c r="CP13" s="9">
        <f t="shared" ref="CP13:DG13" si="4">AVERAGE(CP8:CP12)</f>
        <v>1842.9603381322602</v>
      </c>
      <c r="CQ13" s="9">
        <f t="shared" si="4"/>
        <v>248.04356615038532</v>
      </c>
      <c r="CR13" s="9">
        <f t="shared" si="4"/>
        <v>0</v>
      </c>
      <c r="CS13" s="9">
        <f t="shared" si="4"/>
        <v>140.87480150593754</v>
      </c>
      <c r="CT13" s="9">
        <f t="shared" si="4"/>
        <v>0</v>
      </c>
      <c r="CU13" s="9">
        <f t="shared" si="4"/>
        <v>0</v>
      </c>
      <c r="CV13" s="9">
        <f t="shared" si="4"/>
        <v>1755.3875622620242</v>
      </c>
      <c r="CW13" s="9">
        <f t="shared" si="4"/>
        <v>0</v>
      </c>
      <c r="CX13" s="9">
        <f t="shared" si="4"/>
        <v>0</v>
      </c>
      <c r="CY13" s="9">
        <f t="shared" si="4"/>
        <v>0</v>
      </c>
      <c r="CZ13" s="9">
        <f t="shared" si="4"/>
        <v>0</v>
      </c>
      <c r="DA13" s="9">
        <f t="shared" si="4"/>
        <v>0</v>
      </c>
      <c r="DB13" s="9">
        <f t="shared" si="4"/>
        <v>0</v>
      </c>
      <c r="DC13" s="9">
        <f t="shared" si="4"/>
        <v>0</v>
      </c>
      <c r="DD13" s="9">
        <f t="shared" si="4"/>
        <v>0</v>
      </c>
      <c r="DE13" s="9">
        <f t="shared" si="4"/>
        <v>0</v>
      </c>
      <c r="DF13" s="9">
        <f t="shared" si="4"/>
        <v>0</v>
      </c>
      <c r="DG13" s="9">
        <f t="shared" si="4"/>
        <v>0</v>
      </c>
    </row>
    <row r="14" spans="1:111" x14ac:dyDescent="0.25">
      <c r="B14" s="5"/>
      <c r="C14" s="9"/>
      <c r="D14" s="9"/>
      <c r="E14" s="9"/>
      <c r="F14" s="9"/>
      <c r="G14" s="9"/>
      <c r="H14" s="9"/>
      <c r="I14" s="5"/>
      <c r="K14" s="10">
        <f>K13/SUM($K13:$R13)</f>
        <v>6.4331785417582037E-3</v>
      </c>
      <c r="L14" s="10">
        <f t="shared" ref="L14" si="5">L13/SUM($K13:$R13)</f>
        <v>1.3562907466369942E-3</v>
      </c>
      <c r="M14" s="10">
        <f t="shared" ref="M14:R14" si="6">M13/SUM($K13:$R13)</f>
        <v>2.1575537258039044E-3</v>
      </c>
      <c r="N14" s="10">
        <f t="shared" si="6"/>
        <v>0.10696336928936023</v>
      </c>
      <c r="O14" s="10">
        <f t="shared" si="6"/>
        <v>0.60619340318287507</v>
      </c>
      <c r="P14" s="10">
        <f t="shared" si="6"/>
        <v>3.6975368092514614E-3</v>
      </c>
      <c r="Q14" s="10">
        <f t="shared" si="6"/>
        <v>0.27306335140016424</v>
      </c>
      <c r="R14" s="10">
        <f t="shared" si="6"/>
        <v>1.353163041498035E-4</v>
      </c>
      <c r="S14" s="64">
        <f t="shared" ref="S14:AF14" si="7">S13/SUM($S13:$AH13)</f>
        <v>0</v>
      </c>
      <c r="T14" s="64">
        <f t="shared" si="7"/>
        <v>0.92281459160147272</v>
      </c>
      <c r="U14" s="64">
        <f t="shared" si="7"/>
        <v>0</v>
      </c>
      <c r="V14" s="64">
        <f t="shared" si="7"/>
        <v>0</v>
      </c>
      <c r="W14" s="64">
        <f t="shared" si="7"/>
        <v>0</v>
      </c>
      <c r="X14" s="64">
        <f t="shared" si="7"/>
        <v>0</v>
      </c>
      <c r="Y14" s="64">
        <f t="shared" si="7"/>
        <v>0</v>
      </c>
      <c r="Z14" s="64">
        <f t="shared" si="7"/>
        <v>0</v>
      </c>
      <c r="AA14" s="64">
        <f t="shared" si="7"/>
        <v>0</v>
      </c>
      <c r="AB14" s="64">
        <f t="shared" si="7"/>
        <v>0</v>
      </c>
      <c r="AC14" s="64">
        <f t="shared" si="7"/>
        <v>0</v>
      </c>
      <c r="AD14" s="64">
        <f t="shared" si="7"/>
        <v>0</v>
      </c>
      <c r="AE14" s="64">
        <f t="shared" si="7"/>
        <v>0</v>
      </c>
      <c r="AF14" s="64">
        <f t="shared" si="7"/>
        <v>1.8502265236340174E-2</v>
      </c>
      <c r="AG14" s="64">
        <f t="shared" ref="AG14:AW14" si="8">AG13/SUM($S13:$AH13)</f>
        <v>5.8683143162187049E-2</v>
      </c>
      <c r="AH14" s="64">
        <f t="shared" si="8"/>
        <v>0</v>
      </c>
      <c r="AI14" s="64">
        <f t="shared" si="8"/>
        <v>0.25258423396196056</v>
      </c>
      <c r="AJ14" s="64">
        <f t="shared" si="8"/>
        <v>0</v>
      </c>
      <c r="AK14" s="64">
        <f t="shared" si="8"/>
        <v>0</v>
      </c>
      <c r="AL14" s="64">
        <f t="shared" si="8"/>
        <v>0.37074707139227664</v>
      </c>
      <c r="AM14" s="64">
        <f t="shared" si="8"/>
        <v>0</v>
      </c>
      <c r="AN14" s="64">
        <f t="shared" si="8"/>
        <v>0</v>
      </c>
      <c r="AO14" s="64">
        <f t="shared" si="8"/>
        <v>0</v>
      </c>
      <c r="AP14" s="64">
        <f t="shared" si="8"/>
        <v>0</v>
      </c>
      <c r="AQ14" s="64">
        <f t="shared" si="8"/>
        <v>0</v>
      </c>
      <c r="AR14" s="64">
        <f t="shared" si="8"/>
        <v>0</v>
      </c>
      <c r="AS14" s="64">
        <f t="shared" si="8"/>
        <v>0</v>
      </c>
      <c r="AT14" s="64">
        <f t="shared" si="8"/>
        <v>0</v>
      </c>
      <c r="AU14" s="64">
        <f t="shared" si="8"/>
        <v>0</v>
      </c>
      <c r="AV14" s="64">
        <f t="shared" si="8"/>
        <v>0</v>
      </c>
      <c r="AW14" s="64">
        <f t="shared" si="8"/>
        <v>0</v>
      </c>
      <c r="AX14" s="10">
        <f t="shared" ref="AX14:BK14" si="9">AX13/SUM($AY13:$BM13)</f>
        <v>0</v>
      </c>
      <c r="AY14" s="10">
        <f t="shared" si="9"/>
        <v>0.98020070892646927</v>
      </c>
      <c r="AZ14" s="10">
        <f t="shared" si="9"/>
        <v>0</v>
      </c>
      <c r="BA14" s="10">
        <f t="shared" si="9"/>
        <v>0</v>
      </c>
      <c r="BB14" s="10">
        <f t="shared" si="9"/>
        <v>0</v>
      </c>
      <c r="BC14" s="10">
        <f t="shared" si="9"/>
        <v>0</v>
      </c>
      <c r="BD14" s="10">
        <f t="shared" si="9"/>
        <v>0</v>
      </c>
      <c r="BE14" s="10">
        <f t="shared" si="9"/>
        <v>0</v>
      </c>
      <c r="BF14" s="10">
        <f t="shared" si="9"/>
        <v>0</v>
      </c>
      <c r="BG14" s="10">
        <f t="shared" si="9"/>
        <v>0</v>
      </c>
      <c r="BH14" s="10">
        <f t="shared" si="9"/>
        <v>0</v>
      </c>
      <c r="BI14" s="10">
        <f t="shared" si="9"/>
        <v>0</v>
      </c>
      <c r="BJ14" s="10">
        <f t="shared" si="9"/>
        <v>0</v>
      </c>
      <c r="BK14" s="10">
        <f t="shared" si="9"/>
        <v>0</v>
      </c>
      <c r="BL14" s="10">
        <f t="shared" ref="BL14:CB14" si="10">BL13/SUM($AY13:$BM13)</f>
        <v>1.9799291073530678E-2</v>
      </c>
      <c r="BM14" s="10">
        <f t="shared" si="10"/>
        <v>0</v>
      </c>
      <c r="BN14" s="10">
        <f t="shared" si="10"/>
        <v>0.23496521796245665</v>
      </c>
      <c r="BO14" s="10">
        <f t="shared" si="10"/>
        <v>0</v>
      </c>
      <c r="BP14" s="10">
        <f t="shared" si="10"/>
        <v>0</v>
      </c>
      <c r="BQ14" s="10">
        <f t="shared" si="10"/>
        <v>0.39134712948557288</v>
      </c>
      <c r="BR14" s="10">
        <f t="shared" si="10"/>
        <v>0</v>
      </c>
      <c r="BS14" s="10">
        <f t="shared" si="10"/>
        <v>0</v>
      </c>
      <c r="BT14" s="10">
        <f t="shared" si="10"/>
        <v>0</v>
      </c>
      <c r="BU14" s="10">
        <f t="shared" si="10"/>
        <v>0</v>
      </c>
      <c r="BV14" s="10">
        <f t="shared" si="10"/>
        <v>0</v>
      </c>
      <c r="BW14" s="10">
        <f t="shared" si="10"/>
        <v>0</v>
      </c>
      <c r="BX14" s="10">
        <f t="shared" si="10"/>
        <v>0</v>
      </c>
      <c r="BY14" s="10">
        <f t="shared" si="10"/>
        <v>0</v>
      </c>
      <c r="BZ14" s="10">
        <f t="shared" si="10"/>
        <v>0</v>
      </c>
      <c r="CA14" s="10">
        <f t="shared" si="10"/>
        <v>0</v>
      </c>
      <c r="CB14" s="10">
        <f t="shared" si="10"/>
        <v>0</v>
      </c>
      <c r="CC14" s="10">
        <f t="shared" ref="CC14:CO14" si="11">CC13/SUM($CD13:$CR13)</f>
        <v>0</v>
      </c>
      <c r="CD14" s="10">
        <f t="shared" si="11"/>
        <v>0</v>
      </c>
      <c r="CE14" s="10">
        <f t="shared" si="11"/>
        <v>0</v>
      </c>
      <c r="CF14" s="10">
        <f t="shared" si="11"/>
        <v>0</v>
      </c>
      <c r="CG14" s="10">
        <f t="shared" si="11"/>
        <v>0</v>
      </c>
      <c r="CH14" s="10">
        <f t="shared" si="11"/>
        <v>0</v>
      </c>
      <c r="CI14" s="10">
        <f t="shared" si="11"/>
        <v>0</v>
      </c>
      <c r="CJ14" s="10">
        <f t="shared" si="11"/>
        <v>0</v>
      </c>
      <c r="CK14" s="10">
        <f t="shared" si="11"/>
        <v>0</v>
      </c>
      <c r="CL14" s="10">
        <f t="shared" si="11"/>
        <v>0</v>
      </c>
      <c r="CM14" s="10">
        <f t="shared" si="11"/>
        <v>0</v>
      </c>
      <c r="CN14" s="10">
        <f t="shared" si="11"/>
        <v>0</v>
      </c>
      <c r="CO14" s="10">
        <f t="shared" si="11"/>
        <v>0</v>
      </c>
      <c r="CP14" s="10">
        <f t="shared" ref="CP14:DG14" si="12">CP13/SUM($CD13:$CR13)</f>
        <v>0.88137584743751063</v>
      </c>
      <c r="CQ14" s="10">
        <f t="shared" si="12"/>
        <v>0.11862415256248929</v>
      </c>
      <c r="CR14" s="10">
        <f t="shared" si="12"/>
        <v>0</v>
      </c>
      <c r="CS14" s="10">
        <f t="shared" si="12"/>
        <v>6.7371850056046179E-2</v>
      </c>
      <c r="CT14" s="10">
        <f t="shared" si="12"/>
        <v>0</v>
      </c>
      <c r="CU14" s="10">
        <f t="shared" si="12"/>
        <v>0</v>
      </c>
      <c r="CV14" s="10">
        <f t="shared" si="12"/>
        <v>0.8394951146034515</v>
      </c>
      <c r="CW14" s="10">
        <f t="shared" si="12"/>
        <v>0</v>
      </c>
      <c r="CX14" s="10">
        <f t="shared" si="12"/>
        <v>0</v>
      </c>
      <c r="CY14" s="10">
        <f t="shared" si="12"/>
        <v>0</v>
      </c>
      <c r="CZ14" s="10">
        <f t="shared" si="12"/>
        <v>0</v>
      </c>
      <c r="DA14" s="10">
        <f t="shared" si="12"/>
        <v>0</v>
      </c>
      <c r="DB14" s="10">
        <f t="shared" si="12"/>
        <v>0</v>
      </c>
      <c r="DC14" s="10">
        <f t="shared" si="12"/>
        <v>0</v>
      </c>
      <c r="DD14" s="10">
        <f t="shared" si="12"/>
        <v>0</v>
      </c>
      <c r="DE14" s="10">
        <f t="shared" si="12"/>
        <v>0</v>
      </c>
      <c r="DF14" s="10">
        <f t="shared" si="12"/>
        <v>0</v>
      </c>
      <c r="DG14" s="10">
        <f t="shared" si="12"/>
        <v>0</v>
      </c>
    </row>
    <row r="15" spans="1:111" ht="18.75" x14ac:dyDescent="0.3">
      <c r="A15" s="12" t="s">
        <v>6</v>
      </c>
      <c r="B15">
        <v>2018</v>
      </c>
      <c r="C15" s="7">
        <f>IF(COUNTIFS('Data(perSeason,perCrop)'!$S:$S,Indicators!$B15)&gt;0,SUMIFS('Data(perSeason,perCrop)'!$A:$A,'Data(perSeason,perCrop)'!$S:$S,Indicators!$B15,'Data(perSeason,perCrop)'!$O:$O,Indicators!C$7,'Data(perSeason,perCrop)'!$R:$R,"IRRIGATED"),"")</f>
        <v>7689.8545293908064</v>
      </c>
      <c r="D15" s="7">
        <f>IF(COUNTIFS('Data(perSeason,perCrop)'!$S:$S,Indicators!$B15)&gt;0,SUMIFS('Data(perSeason,perCrop)'!$A:$A,'Data(perSeason,perCrop)'!$S:$S,Indicators!$B15,'Data(perSeason,perCrop)'!$O:$O,Indicators!D$7,'Data(perSeason,perCrop)'!$R:$R,"IRRIGATED"),"")</f>
        <v>7568.4326319272632</v>
      </c>
      <c r="E15" s="7">
        <f>IF(COUNTIFS('Data(perSeason,perCrop)'!$S:$S,Indicators!$B15)&gt;0,SUMIFS('Data(perSeason,perCrop)'!$A:$A,'Data(perSeason,perCrop)'!$S:$S,Indicators!$B15,'Data(perSeason,perCrop)'!$O:$O,Indicators!E$7,'Data(perSeason,perCrop)'!$R:$R,"IRRIGATED"),"")</f>
        <v>2487.8554875224127</v>
      </c>
      <c r="F15" s="7">
        <f>IF(COUNTIFS('Data(perSeason,perCrop)'!$S:$S,Indicators!$B15)&gt;0,SUM(K15:R15),"")</f>
        <v>9367.6969716096628</v>
      </c>
      <c r="G15" s="7"/>
      <c r="H15" s="7"/>
      <c r="J15" s="2" t="s">
        <v>209</v>
      </c>
      <c r="K15" s="7">
        <f>SUMIFS('Data(perSeason,perCrop)'!$A:$A,'Data(perSeason,perCrop)'!$S:$S,Indicators!$B15,'Data(perSeason,perCrop)'!$O:$O,Indicators!K$7,'Data(perSeason,perCrop)'!$C:$C,Indicators!K$3,'Data(perSeason,perCrop)'!$R:$R,"IRRIGATED")</f>
        <v>59.843343867378898</v>
      </c>
      <c r="L15" s="7">
        <f>SUMIFS('Data(perSeason,perCrop)'!$A:$A,'Data(perSeason,perCrop)'!$S:$S,Indicators!$B15,'Data(perSeason,perCrop)'!$O:$O,Indicators!L$7,'Data(perSeason,perCrop)'!$C:$C,Indicators!L$3,'Data(perSeason,perCrop)'!$R:$R,"IRRIGATED")</f>
        <v>0</v>
      </c>
      <c r="M15" s="7">
        <f>SUMIFS('Data(perSeason,perCrop)'!$A:$A,'Data(perSeason,perCrop)'!$S:$S,Indicators!$B15,'Data(perSeason,perCrop)'!$O:$O,Indicators!M$7,'Data(perSeason,perCrop)'!$C:$C,Indicators!M$3,'Data(perSeason,perCrop)'!$R:$R,"IRRIGATED")</f>
        <v>0</v>
      </c>
      <c r="N15" s="7">
        <f>SUMIFS('Data(perSeason,perCrop)'!$A:$A,'Data(perSeason,perCrop)'!$S:$S,Indicators!$B15,'Data(perSeason,perCrop)'!$O:$O,Indicators!N$7,'Data(perSeason,perCrop)'!$C:$C,Indicators!N$3,'Data(perSeason,perCrop)'!$R:$R,"IRRIGATED")</f>
        <v>674.82990028568304</v>
      </c>
      <c r="O15" s="7">
        <f>SUMIFS('Data(perSeason,perCrop)'!$A:$A,'Data(perSeason,perCrop)'!$S:$S,Indicators!$B15,'Data(perSeason,perCrop)'!$O:$O,Indicators!O$7,'Data(perSeason,perCrop)'!$C:$C,Indicators!O$3,'Data(perSeason,perCrop)'!$R:$R,"IRRIGATED")</f>
        <v>6429.0185732130503</v>
      </c>
      <c r="P15" s="7">
        <f>SUMIFS('Data(perSeason,perCrop)'!$A:$A,'Data(perSeason,perCrop)'!$S:$S,Indicators!$B15,'Data(perSeason,perCrop)'!$O:$O,Indicators!P$7,'Data(perSeason,perCrop)'!$C:$C,Indicators!P$3,'Data(perSeason,perCrop)'!$R:$R,"IRRIGATED")</f>
        <v>0</v>
      </c>
      <c r="Q15" s="7">
        <f>SUMIFS('Data(perSeason,perCrop)'!$A:$A,'Data(perSeason,perCrop)'!$S:$S,Indicators!$B15,'Data(perSeason,perCrop)'!$O:$O,Indicators!Q$7,'Data(perSeason,perCrop)'!$C:$C,Indicators!Q$3,'Data(perSeason,perCrop)'!$R:$R,"IRRIGATED")</f>
        <v>2204.0051542435499</v>
      </c>
      <c r="R15" s="7">
        <f>SUMIFS('Data(perSeason,perCrop)'!$A:$A,'Data(perSeason,perCrop)'!$S:$S,Indicators!$B15,'Data(perSeason,perCrop)'!$O:$O,Indicators!R$7,'Data(perSeason,perCrop)'!$C:$C,Indicators!R$3,'Data(perSeason,perCrop)'!$R:$R,"IRRIGATED")</f>
        <v>0</v>
      </c>
      <c r="S15" s="62">
        <f>SUMIFS('Data(perSeason,perCrop)'!$A:$A,'Data(perSeason,perCrop)'!$S:$S,Indicators!$B15,'Data(perSeason,perCrop)'!$O:$O,Indicators!S$7,'Data(perSeason,perCrop)'!$C:$C,Indicators!S$3,'Data(perSeason,perCrop)'!$R:$R,"IRRIGATED")</f>
        <v>0</v>
      </c>
      <c r="T15" s="62">
        <f>SUMIFS('Data(perSeason,perCrop)'!$A:$A,'Data(perSeason,perCrop)'!$S:$S,Indicators!$B15,'Data(perSeason,perCrop)'!$O:$O,Indicators!T$7,'Data(perSeason,perCrop)'!$C:$C,Indicators!T$3,'Data(perSeason,perCrop)'!$R:$R,"IRRIGATED")</f>
        <v>5050.8789496593199</v>
      </c>
      <c r="U15" s="62">
        <f>SUMIFS('Data(perSeason,perCrop)'!$A:$A,'Data(perSeason,perCrop)'!$S:$S,Indicators!$B15,'Data(perSeason,perCrop)'!$O:$O,Indicators!U$7,'Data(perSeason,perCrop)'!$C:$C,Indicators!U$3,'Data(perSeason,perCrop)'!$R:$R,"IRRIGATED")</f>
        <v>0</v>
      </c>
      <c r="V15" s="62">
        <f>SUMIFS('Data(perSeason,perCrop)'!$A:$A,'Data(perSeason,perCrop)'!$S:$S,Indicators!$B15,'Data(perSeason,perCrop)'!$O:$O,Indicators!V$7,'Data(perSeason,perCrop)'!$C:$C,Indicators!V$3,'Data(perSeason,perCrop)'!$R:$R,"IRRIGATED")</f>
        <v>0</v>
      </c>
      <c r="W15" s="62">
        <f>SUMIFS('Data(perSeason,perCrop)'!$A:$A,'Data(perSeason,perCrop)'!$S:$S,Indicators!$B15,'Data(perSeason,perCrop)'!$O:$O,Indicators!W$7,'Data(perSeason,perCrop)'!$C:$C,Indicators!W$3,'Data(perSeason,perCrop)'!$R:$R,"IRRIGATED")</f>
        <v>0</v>
      </c>
      <c r="X15" s="62">
        <f>SUMIFS('Data(perSeason,perCrop)'!$A:$A,'Data(perSeason,perCrop)'!$S:$S,Indicators!$B15,'Data(perSeason,perCrop)'!$O:$O,Indicators!X$7,'Data(perSeason,perCrop)'!$C:$C,Indicators!X$3,'Data(perSeason,perCrop)'!$R:$R,"IRRIGATED")</f>
        <v>0</v>
      </c>
      <c r="Y15" s="62">
        <f>SUMIFS('Data(perSeason,perCrop)'!$A:$A,'Data(perSeason,perCrop)'!$S:$S,Indicators!$B15,'Data(perSeason,perCrop)'!$O:$O,Indicators!Y$7,'Data(perSeason,perCrop)'!$C:$C,Indicators!Y$3,'Data(perSeason,perCrop)'!$R:$R,"IRRIGATED")</f>
        <v>0</v>
      </c>
      <c r="Z15" s="62">
        <f>SUMIFS('Data(perSeason,perCrop)'!$A:$A,'Data(perSeason,perCrop)'!$S:$S,Indicators!$B15,'Data(perSeason,perCrop)'!$O:$O,Indicators!Z$7,'Data(perSeason,perCrop)'!$C:$C,Indicators!Z$3,'Data(perSeason,perCrop)'!$R:$R,"IRRIGATED")</f>
        <v>0</v>
      </c>
      <c r="AA15" s="62">
        <f>SUMIFS('Data(perSeason,perCrop)'!$A:$A,'Data(perSeason,perCrop)'!$S:$S,Indicators!$B15,'Data(perSeason,perCrop)'!$O:$O,Indicators!AA$7,'Data(perSeason,perCrop)'!$C:$C,Indicators!AA$3,'Data(perSeason,perCrop)'!$R:$R,"IRRIGATED")</f>
        <v>0</v>
      </c>
      <c r="AB15" s="62">
        <f>SUMIFS('Data(perSeason,perCrop)'!$A:$A,'Data(perSeason,perCrop)'!$S:$S,Indicators!$B15,'Data(perSeason,perCrop)'!$O:$O,Indicators!AB$7,'Data(perSeason,perCrop)'!$C:$C,Indicators!AB$3,'Data(perSeason,perCrop)'!$R:$R,"IRRIGATED")</f>
        <v>0</v>
      </c>
      <c r="AC15" s="62">
        <f>SUMIFS('Data(perSeason,perCrop)'!$A:$A,'Data(perSeason,perCrop)'!$S:$S,Indicators!$B15,'Data(perSeason,perCrop)'!$O:$O,Indicators!AC$7,'Data(perSeason,perCrop)'!$C:$C,Indicators!AC$3,'Data(perSeason,perCrop)'!$R:$R,"IRRIGATED")</f>
        <v>0</v>
      </c>
      <c r="AD15" s="62">
        <f>SUMIFS('Data(perSeason,perCrop)'!$A:$A,'Data(perSeason,perCrop)'!$S:$S,Indicators!$B15,'Data(perSeason,perCrop)'!$O:$O,Indicators!AD$7,'Data(perSeason,perCrop)'!$C:$C,Indicators!AD$3,'Data(perSeason,perCrop)'!$R:$R,"IRRIGATED")</f>
        <v>0</v>
      </c>
      <c r="AE15" s="62">
        <f>SUMIFS('Data(perSeason,perCrop)'!$A:$A,'Data(perSeason,perCrop)'!$S:$S,Indicators!$B15,'Data(perSeason,perCrop)'!$O:$O,Indicators!AE$7,'Data(perSeason,perCrop)'!$C:$C,Indicators!AE$3,'Data(perSeason,perCrop)'!$R:$R,"IRRIGATED")</f>
        <v>0</v>
      </c>
      <c r="AF15" s="62">
        <f>SUMIFS('Data(perSeason,perCrop)'!$A:$A,'Data(perSeason,perCrop)'!$S:$S,Indicators!$B15,'Data(perSeason,perCrop)'!$O:$O,Indicators!AF$7,'Data(perSeason,perCrop)'!$C:$C,Indicators!AF$3,'Data(perSeason,perCrop)'!$R:$R,"IRRIGATED")</f>
        <v>141.06024110038501</v>
      </c>
      <c r="AG15" s="62">
        <f>SUMIFS('Data(perSeason,perCrop)'!$A:$A,'Data(perSeason,perCrop)'!$S:$S,Indicators!$B15,'Data(perSeason,perCrop)'!$O:$O,Indicators!AG$7,'Data(perSeason,perCrop)'!$C:$C,Indicators!AG$3,'Data(perSeason,perCrop)'!$R:$R,"IRRIGATED")</f>
        <v>501.66725891546099</v>
      </c>
      <c r="AH15" s="62">
        <f>SUMIFS('Data(perSeason,perCrop)'!$A:$A,'Data(perSeason,perCrop)'!$S:$S,Indicators!$B15,'Data(perSeason,perCrop)'!$O:$O,Indicators!AH$7,'Data(perSeason,perCrop)'!$C:$C,Indicators!AH$3,'Data(perSeason,perCrop)'!$R:$R,"IRRIGATED")</f>
        <v>0</v>
      </c>
      <c r="AI15" s="62">
        <f>SUMIFS('Data(perSeason,perCrop)'!$A:$A,'Data(perSeason,perCrop)'!$S:$S,Indicators!$B15,'Data(perSeason,perCrop)'!$O:$O,Indicators!AI$7,'Data(perSeason,perCrop)'!$C:$C,Indicators!AI$3,'Data(perSeason,perCrop)'!$R:$R,"IRRIGATED")</f>
        <v>892.75171087141996</v>
      </c>
      <c r="AJ15" s="62">
        <f>SUMIFS('Data(perSeason,perCrop)'!$A:$A,'Data(perSeason,perCrop)'!$S:$S,Indicators!$B15,'Data(perSeason,perCrop)'!$O:$O,Indicators!AJ$7,'Data(perSeason,perCrop)'!$C:$C,Indicators!AJ$3,'Data(perSeason,perCrop)'!$R:$R,"IRRIGATED")</f>
        <v>0</v>
      </c>
      <c r="AK15" s="62">
        <f>SUMIFS('Data(perSeason,perCrop)'!$A:$A,'Data(perSeason,perCrop)'!$S:$S,Indicators!$B15,'Data(perSeason,perCrop)'!$O:$O,Indicators!AK$7,'Data(perSeason,perCrop)'!$C:$C,Indicators!AK$3,'Data(perSeason,perCrop)'!$R:$R,"IRRIGATED")</f>
        <v>0</v>
      </c>
      <c r="AL15" s="62">
        <f>SUMIFS('Data(perSeason,perCrop)'!$A:$A,'Data(perSeason,perCrop)'!$S:$S,Indicators!$B15,'Data(perSeason,perCrop)'!$O:$O,Indicators!AL$7,'Data(perSeason,perCrop)'!$C:$C,Indicators!AL$3,'Data(perSeason,perCrop)'!$R:$R,"IRRIGATED")</f>
        <v>1103.4963688442199</v>
      </c>
      <c r="AM15" s="62">
        <f>SUMIFS('Data(perSeason,perCrop)'!$A:$A,'Data(perSeason,perCrop)'!$S:$S,Indicators!$B15,'Data(perSeason,perCrop)'!$O:$O,Indicators!AM$7,'Data(perSeason,perCrop)'!$C:$C,Indicators!AM$3,'Data(perSeason,perCrop)'!$R:$R,"IRRIGATED")</f>
        <v>0</v>
      </c>
      <c r="AN15" s="62">
        <f>SUMIFS('Data(perSeason,perCrop)'!$A:$A,'Data(perSeason,perCrop)'!$S:$S,Indicators!$B15,'Data(perSeason,perCrop)'!$O:$O,Indicators!AN$7,'Data(perSeason,perCrop)'!$C:$C,Indicators!AN$3,'Data(perSeason,perCrop)'!$R:$R,"IRRIGATED")</f>
        <v>0</v>
      </c>
      <c r="AO15" s="62">
        <f>SUMIFS('Data(perSeason,perCrop)'!$A:$A,'Data(perSeason,perCrop)'!$S:$S,Indicators!$B15,'Data(perSeason,perCrop)'!$O:$O,Indicators!AO$7,'Data(perSeason,perCrop)'!$C:$C,Indicators!AO$3,'Data(perSeason,perCrop)'!$R:$R,"IRRIGATED")</f>
        <v>0</v>
      </c>
      <c r="AP15" s="62">
        <f>SUMIFS('Data(perSeason,perCrop)'!$A:$A,'Data(perSeason,perCrop)'!$S:$S,Indicators!$B15,'Data(perSeason,perCrop)'!$O:$O,Indicators!AP$7,'Data(perSeason,perCrop)'!$C:$C,Indicators!AP$3,'Data(perSeason,perCrop)'!$R:$R,"IRRIGATED")</f>
        <v>0</v>
      </c>
      <c r="AQ15" s="62">
        <f>SUMIFS('Data(perSeason,perCrop)'!$A:$A,'Data(perSeason,perCrop)'!$S:$S,Indicators!$B15,'Data(perSeason,perCrop)'!$O:$O,Indicators!AQ$7,'Data(perSeason,perCrop)'!$C:$C,Indicators!AQ$3,'Data(perSeason,perCrop)'!$R:$R,"IRRIGATED")</f>
        <v>0</v>
      </c>
      <c r="AR15" s="62">
        <f>SUMIFS('Data(perSeason,perCrop)'!$A:$A,'Data(perSeason,perCrop)'!$S:$S,Indicators!$B15,'Data(perSeason,perCrop)'!$O:$O,Indicators!AR$7,'Data(perSeason,perCrop)'!$C:$C,Indicators!AR$3,'Data(perSeason,perCrop)'!$R:$R,"IRRIGATED")</f>
        <v>0</v>
      </c>
      <c r="AS15" s="62">
        <f>SUMIFS('Data(perSeason,perCrop)'!$A:$A,'Data(perSeason,perCrop)'!$S:$S,Indicators!$B15,'Data(perSeason,perCrop)'!$O:$O,Indicators!AS$7,'Data(perSeason,perCrop)'!$C:$C,Indicators!AS$3,'Data(perSeason,perCrop)'!$R:$R,"IRRIGATED")</f>
        <v>0</v>
      </c>
      <c r="AT15" s="62">
        <f>SUMIFS('Data(perSeason,perCrop)'!$A:$A,'Data(perSeason,perCrop)'!$S:$S,Indicators!$B15,'Data(perSeason,perCrop)'!$O:$O,Indicators!AT$7,'Data(perSeason,perCrop)'!$C:$C,Indicators!AT$3,'Data(perSeason,perCrop)'!$R:$R,"IRRIGATED")</f>
        <v>0</v>
      </c>
      <c r="AU15" s="62">
        <f>SUMIFS('Data(perSeason,perCrop)'!$A:$A,'Data(perSeason,perCrop)'!$S:$S,Indicators!$B15,'Data(perSeason,perCrop)'!$O:$O,Indicators!AU$7,'Data(perSeason,perCrop)'!$C:$C,Indicators!AU$3,'Data(perSeason,perCrop)'!$R:$R,"IRRIGATED")</f>
        <v>0</v>
      </c>
      <c r="AV15" s="62">
        <f>SUMIFS('Data(perSeason,perCrop)'!$A:$A,'Data(perSeason,perCrop)'!$S:$S,Indicators!$B15,'Data(perSeason,perCrop)'!$O:$O,Indicators!AV$7,'Data(perSeason,perCrop)'!$C:$C,Indicators!AV$3,'Data(perSeason,perCrop)'!$R:$R,"IRRIGATED")</f>
        <v>0</v>
      </c>
      <c r="AW15" s="62">
        <f>SUMIFS('Data(perSeason,perCrop)'!$A:$A,'Data(perSeason,perCrop)'!$S:$S,Indicators!$B15,'Data(perSeason,perCrop)'!$O:$O,Indicators!AW$7,'Data(perSeason,perCrop)'!$C:$C,Indicators!AW$3,'Data(perSeason,perCrop)'!$R:$R,"IRRIGATED")</f>
        <v>0</v>
      </c>
      <c r="AX15" s="7">
        <f>SUMIFS('Data(perSeason,perCrop)'!$A:$A,'Data(perSeason,perCrop)'!$S:$S,Indicators!$B15,'Data(perSeason,perCrop)'!$O:$O,Indicators!AX$7,'Data(perSeason,perCrop)'!$C:$C,Indicators!AX$3,'Data(perSeason,perCrop)'!$R:$R,"IRRIGATED")</f>
        <v>0</v>
      </c>
      <c r="AY15" s="7">
        <f>SUMIFS('Data(perSeason,perCrop)'!$A:$A,'Data(perSeason,perCrop)'!$S:$S,Indicators!$B15,'Data(perSeason,perCrop)'!$O:$O,Indicators!AY$7,'Data(perSeason,perCrop)'!$C:$C,Indicators!AY$3,'Data(perSeason,perCrop)'!$R:$R,"IRRIGATED")</f>
        <v>5992.4791311799099</v>
      </c>
      <c r="AZ15" s="7">
        <f>SUMIFS('Data(perSeason,perCrop)'!$A:$A,'Data(perSeason,perCrop)'!$S:$S,Indicators!$B15,'Data(perSeason,perCrop)'!$O:$O,Indicators!AZ$7,'Data(perSeason,perCrop)'!$C:$C,Indicators!AZ$3,'Data(perSeason,perCrop)'!$R:$R,"IRRIGATED")</f>
        <v>0</v>
      </c>
      <c r="BA15" s="7">
        <f>SUMIFS('Data(perSeason,perCrop)'!$A:$A,'Data(perSeason,perCrop)'!$S:$S,Indicators!$B15,'Data(perSeason,perCrop)'!$O:$O,Indicators!BA$7,'Data(perSeason,perCrop)'!$C:$C,Indicators!BA$3,'Data(perSeason,perCrop)'!$R:$R,"IRRIGATED")</f>
        <v>0</v>
      </c>
      <c r="BB15" s="7">
        <f>SUMIFS('Data(perSeason,perCrop)'!$A:$A,'Data(perSeason,perCrop)'!$S:$S,Indicators!$B15,'Data(perSeason,perCrop)'!$O:$O,Indicators!BB$7,'Data(perSeason,perCrop)'!$C:$C,Indicators!BB$3,'Data(perSeason,perCrop)'!$R:$R,"IRRIGATED")</f>
        <v>0</v>
      </c>
      <c r="BC15" s="7">
        <f>SUMIFS('Data(perSeason,perCrop)'!$A:$A,'Data(perSeason,perCrop)'!$S:$S,Indicators!$B15,'Data(perSeason,perCrop)'!$O:$O,Indicators!BC$7,'Data(perSeason,perCrop)'!$C:$C,Indicators!BC$3,'Data(perSeason,perCrop)'!$R:$R,"IRRIGATED")</f>
        <v>0</v>
      </c>
      <c r="BD15" s="7">
        <f>SUMIFS('Data(perSeason,perCrop)'!$A:$A,'Data(perSeason,perCrop)'!$S:$S,Indicators!$B15,'Data(perSeason,perCrop)'!$O:$O,Indicators!BD$7,'Data(perSeason,perCrop)'!$C:$C,Indicators!BD$3,'Data(perSeason,perCrop)'!$R:$R,"IRRIGATED")</f>
        <v>0</v>
      </c>
      <c r="BE15" s="7">
        <f>SUMIFS('Data(perSeason,perCrop)'!$A:$A,'Data(perSeason,perCrop)'!$S:$S,Indicators!$B15,'Data(perSeason,perCrop)'!$O:$O,Indicators!BE$7,'Data(perSeason,perCrop)'!$C:$C,Indicators!BE$3,'Data(perSeason,perCrop)'!$R:$R,"IRRIGATED")</f>
        <v>0</v>
      </c>
      <c r="BF15" s="7">
        <f>SUMIFS('Data(perSeason,perCrop)'!$A:$A,'Data(perSeason,perCrop)'!$S:$S,Indicators!$B15,'Data(perSeason,perCrop)'!$O:$O,Indicators!BF$7,'Data(perSeason,perCrop)'!$C:$C,Indicators!BF$3,'Data(perSeason,perCrop)'!$R:$R,"IRRIGATED")</f>
        <v>0</v>
      </c>
      <c r="BG15" s="7">
        <f>SUMIFS('Data(perSeason,perCrop)'!$A:$A,'Data(perSeason,perCrop)'!$S:$S,Indicators!$B15,'Data(perSeason,perCrop)'!$O:$O,Indicators!BG$7,'Data(perSeason,perCrop)'!$C:$C,Indicators!BG$3,'Data(perSeason,perCrop)'!$R:$R,"IRRIGATED")</f>
        <v>0</v>
      </c>
      <c r="BH15" s="7">
        <f>SUMIFS('Data(perSeason,perCrop)'!$A:$A,'Data(perSeason,perCrop)'!$S:$S,Indicators!$B15,'Data(perSeason,perCrop)'!$O:$O,Indicators!BH$7,'Data(perSeason,perCrop)'!$C:$C,Indicators!BH$3,'Data(perSeason,perCrop)'!$R:$R,"IRRIGATED")</f>
        <v>0</v>
      </c>
      <c r="BI15" s="7">
        <f>SUMIFS('Data(perSeason,perCrop)'!$A:$A,'Data(perSeason,perCrop)'!$S:$S,Indicators!$B15,'Data(perSeason,perCrop)'!$O:$O,Indicators!BI$7,'Data(perSeason,perCrop)'!$C:$C,Indicators!BI$3,'Data(perSeason,perCrop)'!$R:$R,"IRRIGATED")</f>
        <v>0</v>
      </c>
      <c r="BJ15" s="7">
        <f>SUMIFS('Data(perSeason,perCrop)'!$A:$A,'Data(perSeason,perCrop)'!$S:$S,Indicators!$B15,'Data(perSeason,perCrop)'!$O:$O,Indicators!BJ$7,'Data(perSeason,perCrop)'!$C:$C,Indicators!BJ$3,'Data(perSeason,perCrop)'!$R:$R,"IRRIGATED")</f>
        <v>0</v>
      </c>
      <c r="BK15" s="7">
        <f>SUMIFS('Data(perSeason,perCrop)'!$A:$A,'Data(perSeason,perCrop)'!$S:$S,Indicators!$B15,'Data(perSeason,perCrop)'!$O:$O,Indicators!BK$7,'Data(perSeason,perCrop)'!$C:$C,Indicators!BK$3,'Data(perSeason,perCrop)'!$R:$R,"IRRIGATED")</f>
        <v>0</v>
      </c>
      <c r="BL15" s="7">
        <f>SUMIFS('Data(perSeason,perCrop)'!$A:$A,'Data(perSeason,perCrop)'!$S:$S,Indicators!$B15,'Data(perSeason,perCrop)'!$O:$O,Indicators!BL$7,'Data(perSeason,perCrop)'!$C:$C,Indicators!BL$3,'Data(perSeason,perCrop)'!$R:$R,"IRRIGATED")</f>
        <v>54.598896247247403</v>
      </c>
      <c r="BM15" s="7">
        <f>SUMIFS('Data(perSeason,perCrop)'!$A:$A,'Data(perSeason,perCrop)'!$S:$S,Indicators!$B15,'Data(perSeason,perCrop)'!$O:$O,Indicators!BM$7,'Data(perSeason,perCrop)'!$C:$C,Indicators!BM$3,'Data(perSeason,perCrop)'!$R:$R,"IRRIGATED")</f>
        <v>0</v>
      </c>
      <c r="BN15" s="7">
        <f>SUMIFS('Data(perSeason,perCrop)'!$A:$A,'Data(perSeason,perCrop)'!$S:$S,Indicators!$B15,'Data(perSeason,perCrop)'!$O:$O,Indicators!BN$7,'Data(perSeason,perCrop)'!$C:$C,Indicators!BN$3,'Data(perSeason,perCrop)'!$R:$R,"IRRIGATED")</f>
        <v>493.768332635886</v>
      </c>
      <c r="BO15" s="7">
        <f>SUMIFS('Data(perSeason,perCrop)'!$A:$A,'Data(perSeason,perCrop)'!$S:$S,Indicators!$B15,'Data(perSeason,perCrop)'!$O:$O,Indicators!BO$7,'Data(perSeason,perCrop)'!$C:$C,Indicators!BO$3,'Data(perSeason,perCrop)'!$R:$R,"IRRIGATED")</f>
        <v>0</v>
      </c>
      <c r="BP15" s="7">
        <f>SUMIFS('Data(perSeason,perCrop)'!$A:$A,'Data(perSeason,perCrop)'!$S:$S,Indicators!$B15,'Data(perSeason,perCrop)'!$O:$O,Indicators!BP$7,'Data(perSeason,perCrop)'!$C:$C,Indicators!BP$3,'Data(perSeason,perCrop)'!$R:$R,"IRRIGATED")</f>
        <v>0</v>
      </c>
      <c r="BQ15" s="7">
        <f>SUMIFS('Data(perSeason,perCrop)'!$A:$A,'Data(perSeason,perCrop)'!$S:$S,Indicators!$B15,'Data(perSeason,perCrop)'!$O:$O,Indicators!BQ$7,'Data(perSeason,perCrop)'!$C:$C,Indicators!BQ$3,'Data(perSeason,perCrop)'!$R:$R,"IRRIGATED")</f>
        <v>1027.58627186422</v>
      </c>
      <c r="BR15" s="7">
        <f>SUMIFS('Data(perSeason,perCrop)'!$A:$A,'Data(perSeason,perCrop)'!$S:$S,Indicators!$B15,'Data(perSeason,perCrop)'!$O:$O,Indicators!BR$7,'Data(perSeason,perCrop)'!$C:$C,Indicators!BR$3,'Data(perSeason,perCrop)'!$R:$R,"IRRIGATED")</f>
        <v>0</v>
      </c>
      <c r="BS15" s="7">
        <f>SUMIFS('Data(perSeason,perCrop)'!$A:$A,'Data(perSeason,perCrop)'!$S:$S,Indicators!$B15,'Data(perSeason,perCrop)'!$O:$O,Indicators!BS$7,'Data(perSeason,perCrop)'!$C:$C,Indicators!BS$3,'Data(perSeason,perCrop)'!$R:$R,"IRRIGATED")</f>
        <v>0</v>
      </c>
      <c r="BT15" s="7">
        <f>SUMIFS('Data(perSeason,perCrop)'!$A:$A,'Data(perSeason,perCrop)'!$S:$S,Indicators!$B15,'Data(perSeason,perCrop)'!$O:$O,Indicators!BT$7,'Data(perSeason,perCrop)'!$C:$C,Indicators!BT$3,'Data(perSeason,perCrop)'!$R:$R,"IRRIGATED")</f>
        <v>0</v>
      </c>
      <c r="BU15" s="7">
        <f>SUMIFS('Data(perSeason,perCrop)'!$A:$A,'Data(perSeason,perCrop)'!$S:$S,Indicators!$B15,'Data(perSeason,perCrop)'!$O:$O,Indicators!BU$7,'Data(perSeason,perCrop)'!$C:$C,Indicators!BU$3,'Data(perSeason,perCrop)'!$R:$R,"IRRIGATED")</f>
        <v>0</v>
      </c>
      <c r="BV15" s="7">
        <f>SUMIFS('Data(perSeason,perCrop)'!$A:$A,'Data(perSeason,perCrop)'!$S:$S,Indicators!$B15,'Data(perSeason,perCrop)'!$O:$O,Indicators!BV$7,'Data(perSeason,perCrop)'!$C:$C,Indicators!BV$3,'Data(perSeason,perCrop)'!$R:$R,"IRRIGATED")</f>
        <v>0</v>
      </c>
      <c r="BW15" s="7">
        <f>SUMIFS('Data(perSeason,perCrop)'!$A:$A,'Data(perSeason,perCrop)'!$S:$S,Indicators!$B15,'Data(perSeason,perCrop)'!$O:$O,Indicators!BW$7,'Data(perSeason,perCrop)'!$C:$C,Indicators!BW$3,'Data(perSeason,perCrop)'!$R:$R,"IRRIGATED")</f>
        <v>0</v>
      </c>
      <c r="BX15" s="7">
        <f>SUMIFS('Data(perSeason,perCrop)'!$A:$A,'Data(perSeason,perCrop)'!$S:$S,Indicators!$B15,'Data(perSeason,perCrop)'!$O:$O,Indicators!BX$7,'Data(perSeason,perCrop)'!$C:$C,Indicators!BX$3,'Data(perSeason,perCrop)'!$R:$R,"IRRIGATED")</f>
        <v>0</v>
      </c>
      <c r="BY15" s="7">
        <f>SUMIFS('Data(perSeason,perCrop)'!$A:$A,'Data(perSeason,perCrop)'!$S:$S,Indicators!$B15,'Data(perSeason,perCrop)'!$O:$O,Indicators!BY$7,'Data(perSeason,perCrop)'!$C:$C,Indicators!BY$3,'Data(perSeason,perCrop)'!$R:$R,"IRRIGATED")</f>
        <v>0</v>
      </c>
      <c r="BZ15" s="7">
        <f>SUMIFS('Data(perSeason,perCrop)'!$A:$A,'Data(perSeason,perCrop)'!$S:$S,Indicators!$B15,'Data(perSeason,perCrop)'!$O:$O,Indicators!BZ$7,'Data(perSeason,perCrop)'!$C:$C,Indicators!BZ$3,'Data(perSeason,perCrop)'!$R:$R,"IRRIGATED")</f>
        <v>0</v>
      </c>
      <c r="CA15" s="7">
        <f>SUMIFS('Data(perSeason,perCrop)'!$A:$A,'Data(perSeason,perCrop)'!$S:$S,Indicators!$B15,'Data(perSeason,perCrop)'!$O:$O,Indicators!CA$7,'Data(perSeason,perCrop)'!$C:$C,Indicators!CA$3,'Data(perSeason,perCrop)'!$R:$R,"IRRIGATED")</f>
        <v>0</v>
      </c>
      <c r="CB15" s="7">
        <f>SUMIFS('Data(perSeason,perCrop)'!$A:$A,'Data(perSeason,perCrop)'!$S:$S,Indicators!$B15,'Data(perSeason,perCrop)'!$O:$O,Indicators!CB$7,'Data(perSeason,perCrop)'!$C:$C,Indicators!CB$3,'Data(perSeason,perCrop)'!$R:$R,"IRRIGATED")</f>
        <v>0</v>
      </c>
      <c r="CC15" s="7">
        <f>SUMIFS('Data(perSeason,perCrop)'!$A:$A,'Data(perSeason,perCrop)'!$S:$S,Indicators!$B15,'Data(perSeason,perCrop)'!$O:$O,Indicators!CC$7,'Data(perSeason,perCrop)'!$C:$C,Indicators!CC$3,'Data(perSeason,perCrop)'!$R:$R,"IRRIGATED")</f>
        <v>0</v>
      </c>
      <c r="CD15" s="7">
        <f>SUMIFS('Data(perSeason,perCrop)'!$A:$A,'Data(perSeason,perCrop)'!$S:$S,Indicators!$B15,'Data(perSeason,perCrop)'!$O:$O,Indicators!CD$7,'Data(perSeason,perCrop)'!$C:$C,Indicators!CD$3,'Data(perSeason,perCrop)'!$R:$R,"IRRIGATED")</f>
        <v>0</v>
      </c>
      <c r="CE15" s="7">
        <f>SUMIFS('Data(perSeason,perCrop)'!$A:$A,'Data(perSeason,perCrop)'!$S:$S,Indicators!$B15,'Data(perSeason,perCrop)'!$O:$O,Indicators!CE$7,'Data(perSeason,perCrop)'!$C:$C,Indicators!CE$3,'Data(perSeason,perCrop)'!$R:$R,"IRRIGATED")</f>
        <v>0</v>
      </c>
      <c r="CF15" s="7">
        <f>SUMIFS('Data(perSeason,perCrop)'!$A:$A,'Data(perSeason,perCrop)'!$S:$S,Indicators!$B15,'Data(perSeason,perCrop)'!$O:$O,Indicators!CF$7,'Data(perSeason,perCrop)'!$C:$C,Indicators!CF$3,'Data(perSeason,perCrop)'!$R:$R,"IRRIGATED")</f>
        <v>0</v>
      </c>
      <c r="CG15" s="7">
        <f>SUMIFS('Data(perSeason,perCrop)'!$A:$A,'Data(perSeason,perCrop)'!$S:$S,Indicators!$B15,'Data(perSeason,perCrop)'!$O:$O,Indicators!CG$7,'Data(perSeason,perCrop)'!$C:$C,Indicators!CG$3,'Data(perSeason,perCrop)'!$R:$R,"IRRIGATED")</f>
        <v>0</v>
      </c>
      <c r="CH15" s="7">
        <f>SUMIFS('Data(perSeason,perCrop)'!$A:$A,'Data(perSeason,perCrop)'!$S:$S,Indicators!$B15,'Data(perSeason,perCrop)'!$O:$O,Indicators!CH$7,'Data(perSeason,perCrop)'!$C:$C,Indicators!CH$3,'Data(perSeason,perCrop)'!$R:$R,"IRRIGATED")</f>
        <v>0</v>
      </c>
      <c r="CI15" s="7">
        <f>SUMIFS('Data(perSeason,perCrop)'!$A:$A,'Data(perSeason,perCrop)'!$S:$S,Indicators!$B15,'Data(perSeason,perCrop)'!$O:$O,Indicators!CI$7,'Data(perSeason,perCrop)'!$C:$C,Indicators!CI$3,'Data(perSeason,perCrop)'!$R:$R,"IRRIGATED")</f>
        <v>0</v>
      </c>
      <c r="CJ15" s="7">
        <f>SUMIFS('Data(perSeason,perCrop)'!$A:$A,'Data(perSeason,perCrop)'!$S:$S,Indicators!$B15,'Data(perSeason,perCrop)'!$O:$O,Indicators!CJ$7,'Data(perSeason,perCrop)'!$C:$C,Indicators!CJ$3,'Data(perSeason,perCrop)'!$R:$R,"IRRIGATED")</f>
        <v>0</v>
      </c>
      <c r="CK15" s="7">
        <f>SUMIFS('Data(perSeason,perCrop)'!$A:$A,'Data(perSeason,perCrop)'!$S:$S,Indicators!$B15,'Data(perSeason,perCrop)'!$O:$O,Indicators!CK$7,'Data(perSeason,perCrop)'!$C:$C,Indicators!CK$3,'Data(perSeason,perCrop)'!$R:$R,"IRRIGATED")</f>
        <v>0</v>
      </c>
      <c r="CL15" s="7">
        <f>SUMIFS('Data(perSeason,perCrop)'!$A:$A,'Data(perSeason,perCrop)'!$S:$S,Indicators!$B15,'Data(perSeason,perCrop)'!$O:$O,Indicators!CL$7,'Data(perSeason,perCrop)'!$C:$C,Indicators!CL$3,'Data(perSeason,perCrop)'!$R:$R,"IRRIGATED")</f>
        <v>0</v>
      </c>
      <c r="CM15" s="7">
        <f>SUMIFS('Data(perSeason,perCrop)'!$A:$A,'Data(perSeason,perCrop)'!$S:$S,Indicators!$B15,'Data(perSeason,perCrop)'!$O:$O,Indicators!CM$7,'Data(perSeason,perCrop)'!$C:$C,Indicators!CM$3,'Data(perSeason,perCrop)'!$R:$R,"IRRIGATED")</f>
        <v>0</v>
      </c>
      <c r="CN15" s="7">
        <f>SUMIFS('Data(perSeason,perCrop)'!$A:$A,'Data(perSeason,perCrop)'!$S:$S,Indicators!$B15,'Data(perSeason,perCrop)'!$O:$O,Indicators!CN$7,'Data(perSeason,perCrop)'!$C:$C,Indicators!CN$3,'Data(perSeason,perCrop)'!$R:$R,"IRRIGATED")</f>
        <v>0</v>
      </c>
      <c r="CO15" s="7">
        <f>SUMIFS('Data(perSeason,perCrop)'!$A:$A,'Data(perSeason,perCrop)'!$S:$S,Indicators!$B15,'Data(perSeason,perCrop)'!$O:$O,Indicators!CO$7,'Data(perSeason,perCrop)'!$C:$C,Indicators!CO$3,'Data(perSeason,perCrop)'!$R:$R,"IRRIGATED")</f>
        <v>0</v>
      </c>
      <c r="CP15" s="7">
        <f>SUMIFS('Data(perSeason,perCrop)'!$A:$A,'Data(perSeason,perCrop)'!$S:$S,Indicators!$B15,'Data(perSeason,perCrop)'!$O:$O,Indicators!CP$7,'Data(perSeason,perCrop)'!$C:$C,Indicators!CP$3,'Data(perSeason,perCrop)'!$R:$R,"IRRIGATED")</f>
        <v>1486.84613455358</v>
      </c>
      <c r="CQ15" s="7">
        <f>SUMIFS('Data(perSeason,perCrop)'!$A:$A,'Data(perSeason,perCrop)'!$S:$S,Indicators!$B15,'Data(perSeason,perCrop)'!$O:$O,Indicators!CQ$7,'Data(perSeason,perCrop)'!$C:$C,Indicators!CQ$3,'Data(perSeason,perCrop)'!$R:$R,"IRRIGATED")</f>
        <v>180.69503764097601</v>
      </c>
      <c r="CR15" s="7">
        <f>SUMIFS('Data(perSeason,perCrop)'!$A:$A,'Data(perSeason,perCrop)'!$S:$S,Indicators!$B15,'Data(perSeason,perCrop)'!$O:$O,Indicators!CR$7,'Data(perSeason,perCrop)'!$C:$C,Indicators!CR$3,'Data(perSeason,perCrop)'!$R:$R,"IRRIGATED")</f>
        <v>0</v>
      </c>
      <c r="CS15" s="7">
        <f>SUMIFS('Data(perSeason,perCrop)'!$A:$A,'Data(perSeason,perCrop)'!$S:$S,Indicators!$B15,'Data(perSeason,perCrop)'!$O:$O,Indicators!CS$7,'Data(perSeason,perCrop)'!$C:$C,Indicators!CS$3,'Data(perSeason,perCrop)'!$R:$R,"IRRIGATED")</f>
        <v>32.092347733992</v>
      </c>
      <c r="CT15" s="7">
        <f>SUMIFS('Data(perSeason,perCrop)'!$A:$A,'Data(perSeason,perCrop)'!$S:$S,Indicators!$B15,'Data(perSeason,perCrop)'!$O:$O,Indicators!CT$7,'Data(perSeason,perCrop)'!$C:$C,Indicators!CT$3,'Data(perSeason,perCrop)'!$R:$R,"IRRIGATED")</f>
        <v>0</v>
      </c>
      <c r="CU15" s="7">
        <f>SUMIFS('Data(perSeason,perCrop)'!$A:$A,'Data(perSeason,perCrop)'!$S:$S,Indicators!$B15,'Data(perSeason,perCrop)'!$O:$O,Indicators!CU$7,'Data(perSeason,perCrop)'!$C:$C,Indicators!CU$3,'Data(perSeason,perCrop)'!$R:$R,"IRRIGATED")</f>
        <v>0</v>
      </c>
      <c r="CV15" s="7">
        <f>SUMIFS('Data(perSeason,perCrop)'!$A:$A,'Data(perSeason,perCrop)'!$S:$S,Indicators!$B15,'Data(perSeason,perCrop)'!$O:$O,Indicators!CV$7,'Data(perSeason,perCrop)'!$C:$C,Indicators!CV$3,'Data(perSeason,perCrop)'!$R:$R,"IRRIGATED")</f>
        <v>788.22196759386497</v>
      </c>
      <c r="CW15" s="7">
        <f>SUMIFS('Data(perSeason,perCrop)'!$A:$A,'Data(perSeason,perCrop)'!$S:$S,Indicators!$B15,'Data(perSeason,perCrop)'!$O:$O,Indicators!CW$7,'Data(perSeason,perCrop)'!$C:$C,Indicators!CW$3,'Data(perSeason,perCrop)'!$R:$R,"IRRIGATED")</f>
        <v>0</v>
      </c>
      <c r="CX15" s="7">
        <f>SUMIFS('Data(perSeason,perCrop)'!$A:$A,'Data(perSeason,perCrop)'!$S:$S,Indicators!$B15,'Data(perSeason,perCrop)'!$O:$O,Indicators!CX$7,'Data(perSeason,perCrop)'!$C:$C,Indicators!CX$3,'Data(perSeason,perCrop)'!$R:$R,"IRRIGATED")</f>
        <v>0</v>
      </c>
      <c r="CY15" s="7">
        <f>SUMIFS('Data(perSeason,perCrop)'!$A:$A,'Data(perSeason,perCrop)'!$S:$S,Indicators!$B15,'Data(perSeason,perCrop)'!$O:$O,Indicators!CY$7,'Data(perSeason,perCrop)'!$C:$C,Indicators!CY$3,'Data(perSeason,perCrop)'!$R:$R,"IRRIGATED")</f>
        <v>0</v>
      </c>
      <c r="CZ15" s="7">
        <f>SUMIFS('Data(perSeason,perCrop)'!$A:$A,'Data(perSeason,perCrop)'!$S:$S,Indicators!$B15,'Data(perSeason,perCrop)'!$O:$O,Indicators!CZ$7,'Data(perSeason,perCrop)'!$C:$C,Indicators!CZ$3,'Data(perSeason,perCrop)'!$R:$R,"IRRIGATED")</f>
        <v>0</v>
      </c>
      <c r="DA15" s="7">
        <f>SUMIFS('Data(perSeason,perCrop)'!$A:$A,'Data(perSeason,perCrop)'!$S:$S,Indicators!$B15,'Data(perSeason,perCrop)'!$O:$O,Indicators!DA$7,'Data(perSeason,perCrop)'!$C:$C,Indicators!DA$3,'Data(perSeason,perCrop)'!$R:$R,"IRRIGATED")</f>
        <v>0</v>
      </c>
      <c r="DB15" s="7">
        <f>SUMIFS('Data(perSeason,perCrop)'!$A:$A,'Data(perSeason,perCrop)'!$S:$S,Indicators!$B15,'Data(perSeason,perCrop)'!$O:$O,Indicators!DB$7,'Data(perSeason,perCrop)'!$C:$C,Indicators!DB$3,'Data(perSeason,perCrop)'!$R:$R,"IRRIGATED")</f>
        <v>0</v>
      </c>
      <c r="DC15" s="7">
        <f>SUMIFS('Data(perSeason,perCrop)'!$A:$A,'Data(perSeason,perCrop)'!$S:$S,Indicators!$B15,'Data(perSeason,perCrop)'!$O:$O,Indicators!DC$7,'Data(perSeason,perCrop)'!$C:$C,Indicators!DC$3,'Data(perSeason,perCrop)'!$R:$R,"IRRIGATED")</f>
        <v>0</v>
      </c>
      <c r="DD15" s="7">
        <f>SUMIFS('Data(perSeason,perCrop)'!$A:$A,'Data(perSeason,perCrop)'!$S:$S,Indicators!$B15,'Data(perSeason,perCrop)'!$O:$O,Indicators!DD$7,'Data(perSeason,perCrop)'!$C:$C,Indicators!DD$3,'Data(perSeason,perCrop)'!$R:$R,"IRRIGATED")</f>
        <v>0</v>
      </c>
      <c r="DE15" s="7">
        <f>SUMIFS('Data(perSeason,perCrop)'!$A:$A,'Data(perSeason,perCrop)'!$S:$S,Indicators!$B15,'Data(perSeason,perCrop)'!$O:$O,Indicators!DE$7,'Data(perSeason,perCrop)'!$C:$C,Indicators!DE$3,'Data(perSeason,perCrop)'!$R:$R,"IRRIGATED")</f>
        <v>0</v>
      </c>
      <c r="DF15" s="7">
        <f>SUMIFS('Data(perSeason,perCrop)'!$A:$A,'Data(perSeason,perCrop)'!$S:$S,Indicators!$B15,'Data(perSeason,perCrop)'!$O:$O,Indicators!DF$7,'Data(perSeason,perCrop)'!$C:$C,Indicators!DF$3,'Data(perSeason,perCrop)'!$R:$R,"IRRIGATED")</f>
        <v>0</v>
      </c>
      <c r="DG15" s="7">
        <f>SUMIFS('Data(perSeason,perCrop)'!$A:$A,'Data(perSeason,perCrop)'!$S:$S,Indicators!$B15,'Data(perSeason,perCrop)'!$O:$O,Indicators!DG$7,'Data(perSeason,perCrop)'!$C:$C,Indicators!DG$3,'Data(perSeason,perCrop)'!$R:$R,"IRRIGATED")</f>
        <v>0</v>
      </c>
    </row>
    <row r="16" spans="1:111" x14ac:dyDescent="0.25">
      <c r="A16" t="s">
        <v>68</v>
      </c>
      <c r="B16">
        <v>2019</v>
      </c>
      <c r="C16" s="7">
        <f>IF(COUNTIFS('Data(perSeason,perCrop)'!$S:$S,Indicators!$B16)&gt;0,SUMIFS('Data(perSeason,perCrop)'!$A:$A,'Data(perSeason,perCrop)'!$S:$S,Indicators!$B16,'Data(perSeason,perCrop)'!$O:$O,Indicators!C$7,'Data(perSeason,perCrop)'!$R:$R,"IRRIGATED"),"")</f>
        <v>6859.2280520408985</v>
      </c>
      <c r="D16" s="7">
        <f>IF(COUNTIFS('Data(perSeason,perCrop)'!$S:$S,Indicators!$B16)&gt;0,SUMIFS('Data(perSeason,perCrop)'!$A:$A,'Data(perSeason,perCrop)'!$S:$S,Indicators!$B16,'Data(perSeason,perCrop)'!$O:$O,Indicators!D$7,'Data(perSeason,perCrop)'!$R:$R,"IRRIGATED"),"")</f>
        <v>7941.8235126864602</v>
      </c>
      <c r="E16" s="7">
        <f>IF(COUNTIFS('Data(perSeason,perCrop)'!$S:$S,Indicators!$B16)&gt;0,SUMIFS('Data(perSeason,perCrop)'!$A:$A,'Data(perSeason,perCrop)'!$S:$S,Indicators!$B16,'Data(perSeason,perCrop)'!$O:$O,Indicators!E$7,'Data(perSeason,perCrop)'!$R:$R,"IRRIGATED"),"")</f>
        <v>7379.0889213561786</v>
      </c>
      <c r="F16" s="7">
        <f>IF(COUNTIFS('Data(perSeason,perCrop)'!$S:$S,Indicators!$B16)&gt;0,SUM(K16:R16),"")</f>
        <v>10483.215650906524</v>
      </c>
      <c r="G16" s="7"/>
      <c r="H16" s="7"/>
      <c r="J16" s="2" t="s">
        <v>209</v>
      </c>
      <c r="K16" s="7">
        <f>SUMIFS('Data(perSeason,perCrop)'!$A:$A,'Data(perSeason,perCrop)'!$S:$S,Indicators!$B16,'Data(perSeason,perCrop)'!$O:$O,Indicators!K$7,'Data(perSeason,perCrop)'!$C:$C,Indicators!K$3,'Data(perSeason,perCrop)'!$R:$R,"IRRIGATED")</f>
        <v>75.894637203207495</v>
      </c>
      <c r="L16" s="7">
        <f>SUMIFS('Data(perSeason,perCrop)'!$A:$A,'Data(perSeason,perCrop)'!$S:$S,Indicators!$B16,'Data(perSeason,perCrop)'!$O:$O,Indicators!L$7,'Data(perSeason,perCrop)'!$C:$C,Indicators!L$3,'Data(perSeason,perCrop)'!$R:$R,"IRRIGATED")</f>
        <v>49.024805529692401</v>
      </c>
      <c r="M16" s="7">
        <f>SUMIFS('Data(perSeason,perCrop)'!$A:$A,'Data(perSeason,perCrop)'!$S:$S,Indicators!$B16,'Data(perSeason,perCrop)'!$O:$O,Indicators!M$7,'Data(perSeason,perCrop)'!$C:$C,Indicators!M$3,'Data(perSeason,perCrop)'!$R:$R,"IRRIGATED")</f>
        <v>107.797327464159</v>
      </c>
      <c r="N16" s="7">
        <f>SUMIFS('Data(perSeason,perCrop)'!$A:$A,'Data(perSeason,perCrop)'!$S:$S,Indicators!$B16,'Data(perSeason,perCrop)'!$O:$O,Indicators!N$7,'Data(perSeason,perCrop)'!$C:$C,Indicators!N$3,'Data(perSeason,perCrop)'!$R:$R,"IRRIGATED")</f>
        <v>3035.4939721681199</v>
      </c>
      <c r="O16" s="7">
        <f>SUMIFS('Data(perSeason,perCrop)'!$A:$A,'Data(perSeason,perCrop)'!$S:$S,Indicators!$B16,'Data(perSeason,perCrop)'!$O:$O,Indicators!O$7,'Data(perSeason,perCrop)'!$C:$C,Indicators!O$3,'Data(perSeason,perCrop)'!$R:$R,"IRRIGATED")</f>
        <v>2517.5208993528599</v>
      </c>
      <c r="P16" s="7">
        <f>SUMIFS('Data(perSeason,perCrop)'!$A:$A,'Data(perSeason,perCrop)'!$S:$S,Indicators!$B16,'Data(perSeason,perCrop)'!$O:$O,Indicators!P$7,'Data(perSeason,perCrop)'!$C:$C,Indicators!P$3,'Data(perSeason,perCrop)'!$R:$R,"IRRIGATED")</f>
        <v>80.534693239644398</v>
      </c>
      <c r="Q16" s="7">
        <f>SUMIFS('Data(perSeason,perCrop)'!$A:$A,'Data(perSeason,perCrop)'!$S:$S,Indicators!$B16,'Data(perSeason,perCrop)'!$O:$O,Indicators!Q$7,'Data(perSeason,perCrop)'!$C:$C,Indicators!Q$3,'Data(perSeason,perCrop)'!$R:$R,"IRRIGATED")</f>
        <v>4609.0600970074602</v>
      </c>
      <c r="R16" s="7">
        <f>SUMIFS('Data(perSeason,perCrop)'!$A:$A,'Data(perSeason,perCrop)'!$S:$S,Indicators!$B16,'Data(perSeason,perCrop)'!$O:$O,Indicators!R$7,'Data(perSeason,perCrop)'!$C:$C,Indicators!R$3,'Data(perSeason,perCrop)'!$R:$R,"IRRIGATED")</f>
        <v>7.8892189413811202</v>
      </c>
      <c r="S16" s="62">
        <f>SUMIFS('Data(perSeason,perCrop)'!$A:$A,'Data(perSeason,perCrop)'!$S:$S,Indicators!$B16,'Data(perSeason,perCrop)'!$O:$O,Indicators!S$7,'Data(perSeason,perCrop)'!$C:$C,Indicators!S$3,'Data(perSeason,perCrop)'!$R:$R,"IRRIGATED")</f>
        <v>0</v>
      </c>
      <c r="T16" s="62">
        <f>SUMIFS('Data(perSeason,perCrop)'!$A:$A,'Data(perSeason,perCrop)'!$S:$S,Indicators!$B16,'Data(perSeason,perCrop)'!$O:$O,Indicators!T$7,'Data(perSeason,perCrop)'!$C:$C,Indicators!T$3,'Data(perSeason,perCrop)'!$R:$R,"IRRIGATED")</f>
        <v>2055.4886627748301</v>
      </c>
      <c r="U16" s="62">
        <f>SUMIFS('Data(perSeason,perCrop)'!$A:$A,'Data(perSeason,perCrop)'!$S:$S,Indicators!$B16,'Data(perSeason,perCrop)'!$O:$O,Indicators!U$7,'Data(perSeason,perCrop)'!$C:$C,Indicators!U$3,'Data(perSeason,perCrop)'!$R:$R,"IRRIGATED")</f>
        <v>0</v>
      </c>
      <c r="V16" s="62">
        <f>SUMIFS('Data(perSeason,perCrop)'!$A:$A,'Data(perSeason,perCrop)'!$S:$S,Indicators!$B16,'Data(perSeason,perCrop)'!$O:$O,Indicators!V$7,'Data(perSeason,perCrop)'!$C:$C,Indicators!V$3,'Data(perSeason,perCrop)'!$R:$R,"IRRIGATED")</f>
        <v>0</v>
      </c>
      <c r="W16" s="62">
        <f>SUMIFS('Data(perSeason,perCrop)'!$A:$A,'Data(perSeason,perCrop)'!$S:$S,Indicators!$B16,'Data(perSeason,perCrop)'!$O:$O,Indicators!W$7,'Data(perSeason,perCrop)'!$C:$C,Indicators!W$3,'Data(perSeason,perCrop)'!$R:$R,"IRRIGATED")</f>
        <v>0</v>
      </c>
      <c r="X16" s="62">
        <f>SUMIFS('Data(perSeason,perCrop)'!$A:$A,'Data(perSeason,perCrop)'!$S:$S,Indicators!$B16,'Data(perSeason,perCrop)'!$O:$O,Indicators!X$7,'Data(perSeason,perCrop)'!$C:$C,Indicators!X$3,'Data(perSeason,perCrop)'!$R:$R,"IRRIGATED")</f>
        <v>0</v>
      </c>
      <c r="Y16" s="62">
        <f>SUMIFS('Data(perSeason,perCrop)'!$A:$A,'Data(perSeason,perCrop)'!$S:$S,Indicators!$B16,'Data(perSeason,perCrop)'!$O:$O,Indicators!Y$7,'Data(perSeason,perCrop)'!$C:$C,Indicators!Y$3,'Data(perSeason,perCrop)'!$R:$R,"IRRIGATED")</f>
        <v>0</v>
      </c>
      <c r="Z16" s="62">
        <f>SUMIFS('Data(perSeason,perCrop)'!$A:$A,'Data(perSeason,perCrop)'!$S:$S,Indicators!$B16,'Data(perSeason,perCrop)'!$O:$O,Indicators!Z$7,'Data(perSeason,perCrop)'!$C:$C,Indicators!Z$3,'Data(perSeason,perCrop)'!$R:$R,"IRRIGATED")</f>
        <v>0</v>
      </c>
      <c r="AA16" s="62">
        <f>SUMIFS('Data(perSeason,perCrop)'!$A:$A,'Data(perSeason,perCrop)'!$S:$S,Indicators!$B16,'Data(perSeason,perCrop)'!$O:$O,Indicators!AA$7,'Data(perSeason,perCrop)'!$C:$C,Indicators!AA$3,'Data(perSeason,perCrop)'!$R:$R,"IRRIGATED")</f>
        <v>0</v>
      </c>
      <c r="AB16" s="62">
        <f>SUMIFS('Data(perSeason,perCrop)'!$A:$A,'Data(perSeason,perCrop)'!$S:$S,Indicators!$B16,'Data(perSeason,perCrop)'!$O:$O,Indicators!AB$7,'Data(perSeason,perCrop)'!$C:$C,Indicators!AB$3,'Data(perSeason,perCrop)'!$R:$R,"IRRIGATED")</f>
        <v>0</v>
      </c>
      <c r="AC16" s="62">
        <f>SUMIFS('Data(perSeason,perCrop)'!$A:$A,'Data(perSeason,perCrop)'!$S:$S,Indicators!$B16,'Data(perSeason,perCrop)'!$O:$O,Indicators!AC$7,'Data(perSeason,perCrop)'!$C:$C,Indicators!AC$3,'Data(perSeason,perCrop)'!$R:$R,"IRRIGATED")</f>
        <v>0</v>
      </c>
      <c r="AD16" s="62">
        <f>SUMIFS('Data(perSeason,perCrop)'!$A:$A,'Data(perSeason,perCrop)'!$S:$S,Indicators!$B16,'Data(perSeason,perCrop)'!$O:$O,Indicators!AD$7,'Data(perSeason,perCrop)'!$C:$C,Indicators!AD$3,'Data(perSeason,perCrop)'!$R:$R,"IRRIGATED")</f>
        <v>0</v>
      </c>
      <c r="AE16" s="62">
        <f>SUMIFS('Data(perSeason,perCrop)'!$A:$A,'Data(perSeason,perCrop)'!$S:$S,Indicators!$B16,'Data(perSeason,perCrop)'!$O:$O,Indicators!AE$7,'Data(perSeason,perCrop)'!$C:$C,Indicators!AE$3,'Data(perSeason,perCrop)'!$R:$R,"IRRIGATED")</f>
        <v>0</v>
      </c>
      <c r="AF16" s="62">
        <f>SUMIFS('Data(perSeason,perCrop)'!$A:$A,'Data(perSeason,perCrop)'!$S:$S,Indicators!$B16,'Data(perSeason,perCrop)'!$O:$O,Indicators!AF$7,'Data(perSeason,perCrop)'!$C:$C,Indicators!AF$3,'Data(perSeason,perCrop)'!$R:$R,"IRRIGATED")</f>
        <v>41.066688733625199</v>
      </c>
      <c r="AG16" s="62">
        <f>SUMIFS('Data(perSeason,perCrop)'!$A:$A,'Data(perSeason,perCrop)'!$S:$S,Indicators!$B16,'Data(perSeason,perCrop)'!$O:$O,Indicators!AG$7,'Data(perSeason,perCrop)'!$C:$C,Indicators!AG$3,'Data(perSeason,perCrop)'!$R:$R,"IRRIGATED")</f>
        <v>149.36319359326799</v>
      </c>
      <c r="AH16" s="62">
        <f>SUMIFS('Data(perSeason,perCrop)'!$A:$A,'Data(perSeason,perCrop)'!$S:$S,Indicators!$B16,'Data(perSeason,perCrop)'!$O:$O,Indicators!AH$7,'Data(perSeason,perCrop)'!$C:$C,Indicators!AH$3,'Data(perSeason,perCrop)'!$R:$R,"IRRIGATED")</f>
        <v>0</v>
      </c>
      <c r="AI16" s="62">
        <f>SUMIFS('Data(perSeason,perCrop)'!$A:$A,'Data(perSeason,perCrop)'!$S:$S,Indicators!$B16,'Data(perSeason,perCrop)'!$O:$O,Indicators!AI$7,'Data(perSeason,perCrop)'!$C:$C,Indicators!AI$3,'Data(perSeason,perCrop)'!$R:$R,"IRRIGATED")</f>
        <v>804.64819681717495</v>
      </c>
      <c r="AJ16" s="62">
        <f>SUMIFS('Data(perSeason,perCrop)'!$A:$A,'Data(perSeason,perCrop)'!$S:$S,Indicators!$B16,'Data(perSeason,perCrop)'!$O:$O,Indicators!AJ$7,'Data(perSeason,perCrop)'!$C:$C,Indicators!AJ$3,'Data(perSeason,perCrop)'!$R:$R,"IRRIGATED")</f>
        <v>0</v>
      </c>
      <c r="AK16" s="62">
        <f>SUMIFS('Data(perSeason,perCrop)'!$A:$A,'Data(perSeason,perCrop)'!$S:$S,Indicators!$B16,'Data(perSeason,perCrop)'!$O:$O,Indicators!AK$7,'Data(perSeason,perCrop)'!$C:$C,Indicators!AK$3,'Data(perSeason,perCrop)'!$R:$R,"IRRIGATED")</f>
        <v>0</v>
      </c>
      <c r="AL16" s="62">
        <f>SUMIFS('Data(perSeason,perCrop)'!$A:$A,'Data(perSeason,perCrop)'!$S:$S,Indicators!$B16,'Data(perSeason,perCrop)'!$O:$O,Indicators!AL$7,'Data(perSeason,perCrop)'!$C:$C,Indicators!AL$3,'Data(perSeason,perCrop)'!$R:$R,"IRRIGATED")</f>
        <v>3808.661310122</v>
      </c>
      <c r="AM16" s="62">
        <f>SUMIFS('Data(perSeason,perCrop)'!$A:$A,'Data(perSeason,perCrop)'!$S:$S,Indicators!$B16,'Data(perSeason,perCrop)'!$O:$O,Indicators!AM$7,'Data(perSeason,perCrop)'!$C:$C,Indicators!AM$3,'Data(perSeason,perCrop)'!$R:$R,"IRRIGATED")</f>
        <v>0</v>
      </c>
      <c r="AN16" s="62">
        <f>SUMIFS('Data(perSeason,perCrop)'!$A:$A,'Data(perSeason,perCrop)'!$S:$S,Indicators!$B16,'Data(perSeason,perCrop)'!$O:$O,Indicators!AN$7,'Data(perSeason,perCrop)'!$C:$C,Indicators!AN$3,'Data(perSeason,perCrop)'!$R:$R,"IRRIGATED")</f>
        <v>0</v>
      </c>
      <c r="AO16" s="62">
        <f>SUMIFS('Data(perSeason,perCrop)'!$A:$A,'Data(perSeason,perCrop)'!$S:$S,Indicators!$B16,'Data(perSeason,perCrop)'!$O:$O,Indicators!AO$7,'Data(perSeason,perCrop)'!$C:$C,Indicators!AO$3,'Data(perSeason,perCrop)'!$R:$R,"IRRIGATED")</f>
        <v>0</v>
      </c>
      <c r="AP16" s="62">
        <f>SUMIFS('Data(perSeason,perCrop)'!$A:$A,'Data(perSeason,perCrop)'!$S:$S,Indicators!$B16,'Data(perSeason,perCrop)'!$O:$O,Indicators!AP$7,'Data(perSeason,perCrop)'!$C:$C,Indicators!AP$3,'Data(perSeason,perCrop)'!$R:$R,"IRRIGATED")</f>
        <v>0</v>
      </c>
      <c r="AQ16" s="62">
        <f>SUMIFS('Data(perSeason,perCrop)'!$A:$A,'Data(perSeason,perCrop)'!$S:$S,Indicators!$B16,'Data(perSeason,perCrop)'!$O:$O,Indicators!AQ$7,'Data(perSeason,perCrop)'!$C:$C,Indicators!AQ$3,'Data(perSeason,perCrop)'!$R:$R,"IRRIGATED")</f>
        <v>0</v>
      </c>
      <c r="AR16" s="62">
        <f>SUMIFS('Data(perSeason,perCrop)'!$A:$A,'Data(perSeason,perCrop)'!$S:$S,Indicators!$B16,'Data(perSeason,perCrop)'!$O:$O,Indicators!AR$7,'Data(perSeason,perCrop)'!$C:$C,Indicators!AR$3,'Data(perSeason,perCrop)'!$R:$R,"IRRIGATED")</f>
        <v>0</v>
      </c>
      <c r="AS16" s="62">
        <f>SUMIFS('Data(perSeason,perCrop)'!$A:$A,'Data(perSeason,perCrop)'!$S:$S,Indicators!$B16,'Data(perSeason,perCrop)'!$O:$O,Indicators!AS$7,'Data(perSeason,perCrop)'!$C:$C,Indicators!AS$3,'Data(perSeason,perCrop)'!$R:$R,"IRRIGATED")</f>
        <v>0</v>
      </c>
      <c r="AT16" s="62">
        <f>SUMIFS('Data(perSeason,perCrop)'!$A:$A,'Data(perSeason,perCrop)'!$S:$S,Indicators!$B16,'Data(perSeason,perCrop)'!$O:$O,Indicators!AT$7,'Data(perSeason,perCrop)'!$C:$C,Indicators!AT$3,'Data(perSeason,perCrop)'!$R:$R,"IRRIGATED")</f>
        <v>0</v>
      </c>
      <c r="AU16" s="62">
        <f>SUMIFS('Data(perSeason,perCrop)'!$A:$A,'Data(perSeason,perCrop)'!$S:$S,Indicators!$B16,'Data(perSeason,perCrop)'!$O:$O,Indicators!AU$7,'Data(perSeason,perCrop)'!$C:$C,Indicators!AU$3,'Data(perSeason,perCrop)'!$R:$R,"IRRIGATED")</f>
        <v>0</v>
      </c>
      <c r="AV16" s="62">
        <f>SUMIFS('Data(perSeason,perCrop)'!$A:$A,'Data(perSeason,perCrop)'!$S:$S,Indicators!$B16,'Data(perSeason,perCrop)'!$O:$O,Indicators!AV$7,'Data(perSeason,perCrop)'!$C:$C,Indicators!AV$3,'Data(perSeason,perCrop)'!$R:$R,"IRRIGATED")</f>
        <v>0</v>
      </c>
      <c r="AW16" s="62">
        <f>SUMIFS('Data(perSeason,perCrop)'!$A:$A,'Data(perSeason,perCrop)'!$S:$S,Indicators!$B16,'Data(perSeason,perCrop)'!$O:$O,Indicators!AW$7,'Data(perSeason,perCrop)'!$C:$C,Indicators!AW$3,'Data(perSeason,perCrop)'!$R:$R,"IRRIGATED")</f>
        <v>0</v>
      </c>
      <c r="AX16" s="7">
        <f>SUMIFS('Data(perSeason,perCrop)'!$A:$A,'Data(perSeason,perCrop)'!$S:$S,Indicators!$B16,'Data(perSeason,perCrop)'!$O:$O,Indicators!AX$7,'Data(perSeason,perCrop)'!$C:$C,Indicators!AX$3,'Data(perSeason,perCrop)'!$R:$R,"IRRIGATED")</f>
        <v>0</v>
      </c>
      <c r="AY16" s="7">
        <f>SUMIFS('Data(perSeason,perCrop)'!$A:$A,'Data(perSeason,perCrop)'!$S:$S,Indicators!$B16,'Data(perSeason,perCrop)'!$O:$O,Indicators!AY$7,'Data(perSeason,perCrop)'!$C:$C,Indicators!AY$3,'Data(perSeason,perCrop)'!$R:$R,"IRRIGATED")</f>
        <v>3005.3927551380302</v>
      </c>
      <c r="AZ16" s="7">
        <f>SUMIFS('Data(perSeason,perCrop)'!$A:$A,'Data(perSeason,perCrop)'!$S:$S,Indicators!$B16,'Data(perSeason,perCrop)'!$O:$O,Indicators!AZ$7,'Data(perSeason,perCrop)'!$C:$C,Indicators!AZ$3,'Data(perSeason,perCrop)'!$R:$R,"IRRIGATED")</f>
        <v>0</v>
      </c>
      <c r="BA16" s="7">
        <f>SUMIFS('Data(perSeason,perCrop)'!$A:$A,'Data(perSeason,perCrop)'!$S:$S,Indicators!$B16,'Data(perSeason,perCrop)'!$O:$O,Indicators!BA$7,'Data(perSeason,perCrop)'!$C:$C,Indicators!BA$3,'Data(perSeason,perCrop)'!$R:$R,"IRRIGATED")</f>
        <v>0</v>
      </c>
      <c r="BB16" s="7">
        <f>SUMIFS('Data(perSeason,perCrop)'!$A:$A,'Data(perSeason,perCrop)'!$S:$S,Indicators!$B16,'Data(perSeason,perCrop)'!$O:$O,Indicators!BB$7,'Data(perSeason,perCrop)'!$C:$C,Indicators!BB$3,'Data(perSeason,perCrop)'!$R:$R,"IRRIGATED")</f>
        <v>0</v>
      </c>
      <c r="BC16" s="7">
        <f>SUMIFS('Data(perSeason,perCrop)'!$A:$A,'Data(perSeason,perCrop)'!$S:$S,Indicators!$B16,'Data(perSeason,perCrop)'!$O:$O,Indicators!BC$7,'Data(perSeason,perCrop)'!$C:$C,Indicators!BC$3,'Data(perSeason,perCrop)'!$R:$R,"IRRIGATED")</f>
        <v>0</v>
      </c>
      <c r="BD16" s="7">
        <f>SUMIFS('Data(perSeason,perCrop)'!$A:$A,'Data(perSeason,perCrop)'!$S:$S,Indicators!$B16,'Data(perSeason,perCrop)'!$O:$O,Indicators!BD$7,'Data(perSeason,perCrop)'!$C:$C,Indicators!BD$3,'Data(perSeason,perCrop)'!$R:$R,"IRRIGATED")</f>
        <v>0</v>
      </c>
      <c r="BE16" s="7">
        <f>SUMIFS('Data(perSeason,perCrop)'!$A:$A,'Data(perSeason,perCrop)'!$S:$S,Indicators!$B16,'Data(perSeason,perCrop)'!$O:$O,Indicators!BE$7,'Data(perSeason,perCrop)'!$C:$C,Indicators!BE$3,'Data(perSeason,perCrop)'!$R:$R,"IRRIGATED")</f>
        <v>0</v>
      </c>
      <c r="BF16" s="7">
        <f>SUMIFS('Data(perSeason,perCrop)'!$A:$A,'Data(perSeason,perCrop)'!$S:$S,Indicators!$B16,'Data(perSeason,perCrop)'!$O:$O,Indicators!BF$7,'Data(perSeason,perCrop)'!$C:$C,Indicators!BF$3,'Data(perSeason,perCrop)'!$R:$R,"IRRIGATED")</f>
        <v>0</v>
      </c>
      <c r="BG16" s="7">
        <f>SUMIFS('Data(perSeason,perCrop)'!$A:$A,'Data(perSeason,perCrop)'!$S:$S,Indicators!$B16,'Data(perSeason,perCrop)'!$O:$O,Indicators!BG$7,'Data(perSeason,perCrop)'!$C:$C,Indicators!BG$3,'Data(perSeason,perCrop)'!$R:$R,"IRRIGATED")</f>
        <v>0</v>
      </c>
      <c r="BH16" s="7">
        <f>SUMIFS('Data(perSeason,perCrop)'!$A:$A,'Data(perSeason,perCrop)'!$S:$S,Indicators!$B16,'Data(perSeason,perCrop)'!$O:$O,Indicators!BH$7,'Data(perSeason,perCrop)'!$C:$C,Indicators!BH$3,'Data(perSeason,perCrop)'!$R:$R,"IRRIGATED")</f>
        <v>0</v>
      </c>
      <c r="BI16" s="7">
        <f>SUMIFS('Data(perSeason,perCrop)'!$A:$A,'Data(perSeason,perCrop)'!$S:$S,Indicators!$B16,'Data(perSeason,perCrop)'!$O:$O,Indicators!BI$7,'Data(perSeason,perCrop)'!$C:$C,Indicators!BI$3,'Data(perSeason,perCrop)'!$R:$R,"IRRIGATED")</f>
        <v>0</v>
      </c>
      <c r="BJ16" s="7">
        <f>SUMIFS('Data(perSeason,perCrop)'!$A:$A,'Data(perSeason,perCrop)'!$S:$S,Indicators!$B16,'Data(perSeason,perCrop)'!$O:$O,Indicators!BJ$7,'Data(perSeason,perCrop)'!$C:$C,Indicators!BJ$3,'Data(perSeason,perCrop)'!$R:$R,"IRRIGATED")</f>
        <v>0</v>
      </c>
      <c r="BK16" s="7">
        <f>SUMIFS('Data(perSeason,perCrop)'!$A:$A,'Data(perSeason,perCrop)'!$S:$S,Indicators!$B16,'Data(perSeason,perCrop)'!$O:$O,Indicators!BK$7,'Data(perSeason,perCrop)'!$C:$C,Indicators!BK$3,'Data(perSeason,perCrop)'!$R:$R,"IRRIGATED")</f>
        <v>0</v>
      </c>
      <c r="BL16" s="7">
        <f>SUMIFS('Data(perSeason,perCrop)'!$A:$A,'Data(perSeason,perCrop)'!$S:$S,Indicators!$B16,'Data(perSeason,perCrop)'!$O:$O,Indicators!BL$7,'Data(perSeason,perCrop)'!$C:$C,Indicators!BL$3,'Data(perSeason,perCrop)'!$R:$R,"IRRIGATED")</f>
        <v>144.219474639716</v>
      </c>
      <c r="BM16" s="7">
        <f>SUMIFS('Data(perSeason,perCrop)'!$A:$A,'Data(perSeason,perCrop)'!$S:$S,Indicators!$B16,'Data(perSeason,perCrop)'!$O:$O,Indicators!BM$7,'Data(perSeason,perCrop)'!$C:$C,Indicators!BM$3,'Data(perSeason,perCrop)'!$R:$R,"IRRIGATED")</f>
        <v>0</v>
      </c>
      <c r="BN16" s="7">
        <f>SUMIFS('Data(perSeason,perCrop)'!$A:$A,'Data(perSeason,perCrop)'!$S:$S,Indicators!$B16,'Data(perSeason,perCrop)'!$O:$O,Indicators!BN$7,'Data(perSeason,perCrop)'!$C:$C,Indicators!BN$3,'Data(perSeason,perCrop)'!$R:$R,"IRRIGATED")</f>
        <v>486.04367420180398</v>
      </c>
      <c r="BO16" s="7">
        <f>SUMIFS('Data(perSeason,perCrop)'!$A:$A,'Data(perSeason,perCrop)'!$S:$S,Indicators!$B16,'Data(perSeason,perCrop)'!$O:$O,Indicators!BO$7,'Data(perSeason,perCrop)'!$C:$C,Indicators!BO$3,'Data(perSeason,perCrop)'!$R:$R,"IRRIGATED")</f>
        <v>0</v>
      </c>
      <c r="BP16" s="7">
        <f>SUMIFS('Data(perSeason,perCrop)'!$A:$A,'Data(perSeason,perCrop)'!$S:$S,Indicators!$B16,'Data(perSeason,perCrop)'!$O:$O,Indicators!BP$7,'Data(perSeason,perCrop)'!$C:$C,Indicators!BP$3,'Data(perSeason,perCrop)'!$R:$R,"IRRIGATED")</f>
        <v>0</v>
      </c>
      <c r="BQ16" s="7">
        <f>SUMIFS('Data(perSeason,perCrop)'!$A:$A,'Data(perSeason,perCrop)'!$S:$S,Indicators!$B16,'Data(perSeason,perCrop)'!$O:$O,Indicators!BQ$7,'Data(perSeason,perCrop)'!$C:$C,Indicators!BQ$3,'Data(perSeason,perCrop)'!$R:$R,"IRRIGATED")</f>
        <v>4306.16760870691</v>
      </c>
      <c r="BR16" s="7">
        <f>SUMIFS('Data(perSeason,perCrop)'!$A:$A,'Data(perSeason,perCrop)'!$S:$S,Indicators!$B16,'Data(perSeason,perCrop)'!$O:$O,Indicators!BR$7,'Data(perSeason,perCrop)'!$C:$C,Indicators!BR$3,'Data(perSeason,perCrop)'!$R:$R,"IRRIGATED")</f>
        <v>0</v>
      </c>
      <c r="BS16" s="7">
        <f>SUMIFS('Data(perSeason,perCrop)'!$A:$A,'Data(perSeason,perCrop)'!$S:$S,Indicators!$B16,'Data(perSeason,perCrop)'!$O:$O,Indicators!BS$7,'Data(perSeason,perCrop)'!$C:$C,Indicators!BS$3,'Data(perSeason,perCrop)'!$R:$R,"IRRIGATED")</f>
        <v>0</v>
      </c>
      <c r="BT16" s="7">
        <f>SUMIFS('Data(perSeason,perCrop)'!$A:$A,'Data(perSeason,perCrop)'!$S:$S,Indicators!$B16,'Data(perSeason,perCrop)'!$O:$O,Indicators!BT$7,'Data(perSeason,perCrop)'!$C:$C,Indicators!BT$3,'Data(perSeason,perCrop)'!$R:$R,"IRRIGATED")</f>
        <v>0</v>
      </c>
      <c r="BU16" s="7">
        <f>SUMIFS('Data(perSeason,perCrop)'!$A:$A,'Data(perSeason,perCrop)'!$S:$S,Indicators!$B16,'Data(perSeason,perCrop)'!$O:$O,Indicators!BU$7,'Data(perSeason,perCrop)'!$C:$C,Indicators!BU$3,'Data(perSeason,perCrop)'!$R:$R,"IRRIGATED")</f>
        <v>0</v>
      </c>
      <c r="BV16" s="7">
        <f>SUMIFS('Data(perSeason,perCrop)'!$A:$A,'Data(perSeason,perCrop)'!$S:$S,Indicators!$B16,'Data(perSeason,perCrop)'!$O:$O,Indicators!BV$7,'Data(perSeason,perCrop)'!$C:$C,Indicators!BV$3,'Data(perSeason,perCrop)'!$R:$R,"IRRIGATED")</f>
        <v>0</v>
      </c>
      <c r="BW16" s="7">
        <f>SUMIFS('Data(perSeason,perCrop)'!$A:$A,'Data(perSeason,perCrop)'!$S:$S,Indicators!$B16,'Data(perSeason,perCrop)'!$O:$O,Indicators!BW$7,'Data(perSeason,perCrop)'!$C:$C,Indicators!BW$3,'Data(perSeason,perCrop)'!$R:$R,"IRRIGATED")</f>
        <v>0</v>
      </c>
      <c r="BX16" s="7">
        <f>SUMIFS('Data(perSeason,perCrop)'!$A:$A,'Data(perSeason,perCrop)'!$S:$S,Indicators!$B16,'Data(perSeason,perCrop)'!$O:$O,Indicators!BX$7,'Data(perSeason,perCrop)'!$C:$C,Indicators!BX$3,'Data(perSeason,perCrop)'!$R:$R,"IRRIGATED")</f>
        <v>0</v>
      </c>
      <c r="BY16" s="7">
        <f>SUMIFS('Data(perSeason,perCrop)'!$A:$A,'Data(perSeason,perCrop)'!$S:$S,Indicators!$B16,'Data(perSeason,perCrop)'!$O:$O,Indicators!BY$7,'Data(perSeason,perCrop)'!$C:$C,Indicators!BY$3,'Data(perSeason,perCrop)'!$R:$R,"IRRIGATED")</f>
        <v>0</v>
      </c>
      <c r="BZ16" s="7">
        <f>SUMIFS('Data(perSeason,perCrop)'!$A:$A,'Data(perSeason,perCrop)'!$S:$S,Indicators!$B16,'Data(perSeason,perCrop)'!$O:$O,Indicators!BZ$7,'Data(perSeason,perCrop)'!$C:$C,Indicators!BZ$3,'Data(perSeason,perCrop)'!$R:$R,"IRRIGATED")</f>
        <v>0</v>
      </c>
      <c r="CA16" s="7">
        <f>SUMIFS('Data(perSeason,perCrop)'!$A:$A,'Data(perSeason,perCrop)'!$S:$S,Indicators!$B16,'Data(perSeason,perCrop)'!$O:$O,Indicators!CA$7,'Data(perSeason,perCrop)'!$C:$C,Indicators!CA$3,'Data(perSeason,perCrop)'!$R:$R,"IRRIGATED")</f>
        <v>0</v>
      </c>
      <c r="CB16" s="7">
        <f>SUMIFS('Data(perSeason,perCrop)'!$A:$A,'Data(perSeason,perCrop)'!$S:$S,Indicators!$B16,'Data(perSeason,perCrop)'!$O:$O,Indicators!CB$7,'Data(perSeason,perCrop)'!$C:$C,Indicators!CB$3,'Data(perSeason,perCrop)'!$R:$R,"IRRIGATED")</f>
        <v>0</v>
      </c>
      <c r="CC16" s="7">
        <f>SUMIFS('Data(perSeason,perCrop)'!$A:$A,'Data(perSeason,perCrop)'!$S:$S,Indicators!$B16,'Data(perSeason,perCrop)'!$O:$O,Indicators!CC$7,'Data(perSeason,perCrop)'!$C:$C,Indicators!CC$3,'Data(perSeason,perCrop)'!$R:$R,"IRRIGATED")</f>
        <v>0</v>
      </c>
      <c r="CD16" s="7">
        <f>SUMIFS('Data(perSeason,perCrop)'!$A:$A,'Data(perSeason,perCrop)'!$S:$S,Indicators!$B16,'Data(perSeason,perCrop)'!$O:$O,Indicators!CD$7,'Data(perSeason,perCrop)'!$C:$C,Indicators!CD$3,'Data(perSeason,perCrop)'!$R:$R,"IRRIGATED")</f>
        <v>0</v>
      </c>
      <c r="CE16" s="7">
        <f>SUMIFS('Data(perSeason,perCrop)'!$A:$A,'Data(perSeason,perCrop)'!$S:$S,Indicators!$B16,'Data(perSeason,perCrop)'!$O:$O,Indicators!CE$7,'Data(perSeason,perCrop)'!$C:$C,Indicators!CE$3,'Data(perSeason,perCrop)'!$R:$R,"IRRIGATED")</f>
        <v>0</v>
      </c>
      <c r="CF16" s="7">
        <f>SUMIFS('Data(perSeason,perCrop)'!$A:$A,'Data(perSeason,perCrop)'!$S:$S,Indicators!$B16,'Data(perSeason,perCrop)'!$O:$O,Indicators!CF$7,'Data(perSeason,perCrop)'!$C:$C,Indicators!CF$3,'Data(perSeason,perCrop)'!$R:$R,"IRRIGATED")</f>
        <v>0</v>
      </c>
      <c r="CG16" s="7">
        <f>SUMIFS('Data(perSeason,perCrop)'!$A:$A,'Data(perSeason,perCrop)'!$S:$S,Indicators!$B16,'Data(perSeason,perCrop)'!$O:$O,Indicators!CG$7,'Data(perSeason,perCrop)'!$C:$C,Indicators!CG$3,'Data(perSeason,perCrop)'!$R:$R,"IRRIGATED")</f>
        <v>0</v>
      </c>
      <c r="CH16" s="7">
        <f>SUMIFS('Data(perSeason,perCrop)'!$A:$A,'Data(perSeason,perCrop)'!$S:$S,Indicators!$B16,'Data(perSeason,perCrop)'!$O:$O,Indicators!CH$7,'Data(perSeason,perCrop)'!$C:$C,Indicators!CH$3,'Data(perSeason,perCrop)'!$R:$R,"IRRIGATED")</f>
        <v>0</v>
      </c>
      <c r="CI16" s="7">
        <f>SUMIFS('Data(perSeason,perCrop)'!$A:$A,'Data(perSeason,perCrop)'!$S:$S,Indicators!$B16,'Data(perSeason,perCrop)'!$O:$O,Indicators!CI$7,'Data(perSeason,perCrop)'!$C:$C,Indicators!CI$3,'Data(perSeason,perCrop)'!$R:$R,"IRRIGATED")</f>
        <v>0</v>
      </c>
      <c r="CJ16" s="7">
        <f>SUMIFS('Data(perSeason,perCrop)'!$A:$A,'Data(perSeason,perCrop)'!$S:$S,Indicators!$B16,'Data(perSeason,perCrop)'!$O:$O,Indicators!CJ$7,'Data(perSeason,perCrop)'!$C:$C,Indicators!CJ$3,'Data(perSeason,perCrop)'!$R:$R,"IRRIGATED")</f>
        <v>0</v>
      </c>
      <c r="CK16" s="7">
        <f>SUMIFS('Data(perSeason,perCrop)'!$A:$A,'Data(perSeason,perCrop)'!$S:$S,Indicators!$B16,'Data(perSeason,perCrop)'!$O:$O,Indicators!CK$7,'Data(perSeason,perCrop)'!$C:$C,Indicators!CK$3,'Data(perSeason,perCrop)'!$R:$R,"IRRIGATED")</f>
        <v>0</v>
      </c>
      <c r="CL16" s="7">
        <f>SUMIFS('Data(perSeason,perCrop)'!$A:$A,'Data(perSeason,perCrop)'!$S:$S,Indicators!$B16,'Data(perSeason,perCrop)'!$O:$O,Indicators!CL$7,'Data(perSeason,perCrop)'!$C:$C,Indicators!CL$3,'Data(perSeason,perCrop)'!$R:$R,"IRRIGATED")</f>
        <v>0</v>
      </c>
      <c r="CM16" s="7">
        <f>SUMIFS('Data(perSeason,perCrop)'!$A:$A,'Data(perSeason,perCrop)'!$S:$S,Indicators!$B16,'Data(perSeason,perCrop)'!$O:$O,Indicators!CM$7,'Data(perSeason,perCrop)'!$C:$C,Indicators!CM$3,'Data(perSeason,perCrop)'!$R:$R,"IRRIGATED")</f>
        <v>0</v>
      </c>
      <c r="CN16" s="7">
        <f>SUMIFS('Data(perSeason,perCrop)'!$A:$A,'Data(perSeason,perCrop)'!$S:$S,Indicators!$B16,'Data(perSeason,perCrop)'!$O:$O,Indicators!CN$7,'Data(perSeason,perCrop)'!$C:$C,Indicators!CN$3,'Data(perSeason,perCrop)'!$R:$R,"IRRIGATED")</f>
        <v>0</v>
      </c>
      <c r="CO16" s="7">
        <f>SUMIFS('Data(perSeason,perCrop)'!$A:$A,'Data(perSeason,perCrop)'!$S:$S,Indicators!$B16,'Data(perSeason,perCrop)'!$O:$O,Indicators!CO$7,'Data(perSeason,perCrop)'!$C:$C,Indicators!CO$3,'Data(perSeason,perCrop)'!$R:$R,"IRRIGATED")</f>
        <v>0</v>
      </c>
      <c r="CP16" s="7">
        <f>SUMIFS('Data(perSeason,perCrop)'!$A:$A,'Data(perSeason,perCrop)'!$S:$S,Indicators!$B16,'Data(perSeason,perCrop)'!$O:$O,Indicators!CP$7,'Data(perSeason,perCrop)'!$C:$C,Indicators!CP$3,'Data(perSeason,perCrop)'!$R:$R,"IRRIGATED")</f>
        <v>1924.6786916134799</v>
      </c>
      <c r="CQ16" s="7">
        <f>SUMIFS('Data(perSeason,perCrop)'!$A:$A,'Data(perSeason,perCrop)'!$S:$S,Indicators!$B16,'Data(perSeason,perCrop)'!$O:$O,Indicators!CQ$7,'Data(perSeason,perCrop)'!$C:$C,Indicators!CQ$3,'Data(perSeason,perCrop)'!$R:$R,"IRRIGATED")</f>
        <v>557.28849852511803</v>
      </c>
      <c r="CR16" s="7">
        <f>SUMIFS('Data(perSeason,perCrop)'!$A:$A,'Data(perSeason,perCrop)'!$S:$S,Indicators!$B16,'Data(perSeason,perCrop)'!$O:$O,Indicators!CR$7,'Data(perSeason,perCrop)'!$C:$C,Indicators!CR$3,'Data(perSeason,perCrop)'!$R:$R,"IRRIGATED")</f>
        <v>0</v>
      </c>
      <c r="CS16" s="7">
        <f>SUMIFS('Data(perSeason,perCrop)'!$A:$A,'Data(perSeason,perCrop)'!$S:$S,Indicators!$B16,'Data(perSeason,perCrop)'!$O:$O,Indicators!CS$7,'Data(perSeason,perCrop)'!$C:$C,Indicators!CS$3,'Data(perSeason,perCrop)'!$R:$R,"IRRIGATED")</f>
        <v>251.30926642697199</v>
      </c>
      <c r="CT16" s="7">
        <f>SUMIFS('Data(perSeason,perCrop)'!$A:$A,'Data(perSeason,perCrop)'!$S:$S,Indicators!$B16,'Data(perSeason,perCrop)'!$O:$O,Indicators!CT$7,'Data(perSeason,perCrop)'!$C:$C,Indicators!CT$3,'Data(perSeason,perCrop)'!$R:$R,"IRRIGATED")</f>
        <v>0</v>
      </c>
      <c r="CU16" s="7">
        <f>SUMIFS('Data(perSeason,perCrop)'!$A:$A,'Data(perSeason,perCrop)'!$S:$S,Indicators!$B16,'Data(perSeason,perCrop)'!$O:$O,Indicators!CU$7,'Data(perSeason,perCrop)'!$C:$C,Indicators!CU$3,'Data(perSeason,perCrop)'!$R:$R,"IRRIGATED")</f>
        <v>0</v>
      </c>
      <c r="CV16" s="7">
        <f>SUMIFS('Data(perSeason,perCrop)'!$A:$A,'Data(perSeason,perCrop)'!$S:$S,Indicators!$B16,'Data(perSeason,perCrop)'!$O:$O,Indicators!CV$7,'Data(perSeason,perCrop)'!$C:$C,Indicators!CV$3,'Data(perSeason,perCrop)'!$R:$R,"IRRIGATED")</f>
        <v>4645.8124647906097</v>
      </c>
      <c r="CW16" s="7">
        <f>SUMIFS('Data(perSeason,perCrop)'!$A:$A,'Data(perSeason,perCrop)'!$S:$S,Indicators!$B16,'Data(perSeason,perCrop)'!$O:$O,Indicators!CW$7,'Data(perSeason,perCrop)'!$C:$C,Indicators!CW$3,'Data(perSeason,perCrop)'!$R:$R,"IRRIGATED")</f>
        <v>0</v>
      </c>
      <c r="CX16" s="7">
        <f>SUMIFS('Data(perSeason,perCrop)'!$A:$A,'Data(perSeason,perCrop)'!$S:$S,Indicators!$B16,'Data(perSeason,perCrop)'!$O:$O,Indicators!CX$7,'Data(perSeason,perCrop)'!$C:$C,Indicators!CX$3,'Data(perSeason,perCrop)'!$R:$R,"IRRIGATED")</f>
        <v>0</v>
      </c>
      <c r="CY16" s="7">
        <f>SUMIFS('Data(perSeason,perCrop)'!$A:$A,'Data(perSeason,perCrop)'!$S:$S,Indicators!$B16,'Data(perSeason,perCrop)'!$O:$O,Indicators!CY$7,'Data(perSeason,perCrop)'!$C:$C,Indicators!CY$3,'Data(perSeason,perCrop)'!$R:$R,"IRRIGATED")</f>
        <v>0</v>
      </c>
      <c r="CZ16" s="7">
        <f>SUMIFS('Data(perSeason,perCrop)'!$A:$A,'Data(perSeason,perCrop)'!$S:$S,Indicators!$B16,'Data(perSeason,perCrop)'!$O:$O,Indicators!CZ$7,'Data(perSeason,perCrop)'!$C:$C,Indicators!CZ$3,'Data(perSeason,perCrop)'!$R:$R,"IRRIGATED")</f>
        <v>0</v>
      </c>
      <c r="DA16" s="7">
        <f>SUMIFS('Data(perSeason,perCrop)'!$A:$A,'Data(perSeason,perCrop)'!$S:$S,Indicators!$B16,'Data(perSeason,perCrop)'!$O:$O,Indicators!DA$7,'Data(perSeason,perCrop)'!$C:$C,Indicators!DA$3,'Data(perSeason,perCrop)'!$R:$R,"IRRIGATED")</f>
        <v>0</v>
      </c>
      <c r="DB16" s="7">
        <f>SUMIFS('Data(perSeason,perCrop)'!$A:$A,'Data(perSeason,perCrop)'!$S:$S,Indicators!$B16,'Data(perSeason,perCrop)'!$O:$O,Indicators!DB$7,'Data(perSeason,perCrop)'!$C:$C,Indicators!DB$3,'Data(perSeason,perCrop)'!$R:$R,"IRRIGATED")</f>
        <v>0</v>
      </c>
      <c r="DC16" s="7">
        <f>SUMIFS('Data(perSeason,perCrop)'!$A:$A,'Data(perSeason,perCrop)'!$S:$S,Indicators!$B16,'Data(perSeason,perCrop)'!$O:$O,Indicators!DC$7,'Data(perSeason,perCrop)'!$C:$C,Indicators!DC$3,'Data(perSeason,perCrop)'!$R:$R,"IRRIGATED")</f>
        <v>0</v>
      </c>
      <c r="DD16" s="7">
        <f>SUMIFS('Data(perSeason,perCrop)'!$A:$A,'Data(perSeason,perCrop)'!$S:$S,Indicators!$B16,'Data(perSeason,perCrop)'!$O:$O,Indicators!DD$7,'Data(perSeason,perCrop)'!$C:$C,Indicators!DD$3,'Data(perSeason,perCrop)'!$R:$R,"IRRIGATED")</f>
        <v>0</v>
      </c>
      <c r="DE16" s="7">
        <f>SUMIFS('Data(perSeason,perCrop)'!$A:$A,'Data(perSeason,perCrop)'!$S:$S,Indicators!$B16,'Data(perSeason,perCrop)'!$O:$O,Indicators!DE$7,'Data(perSeason,perCrop)'!$C:$C,Indicators!DE$3,'Data(perSeason,perCrop)'!$R:$R,"IRRIGATED")</f>
        <v>0</v>
      </c>
      <c r="DF16" s="7">
        <f>SUMIFS('Data(perSeason,perCrop)'!$A:$A,'Data(perSeason,perCrop)'!$S:$S,Indicators!$B16,'Data(perSeason,perCrop)'!$O:$O,Indicators!DF$7,'Data(perSeason,perCrop)'!$C:$C,Indicators!DF$3,'Data(perSeason,perCrop)'!$R:$R,"IRRIGATED")</f>
        <v>0</v>
      </c>
      <c r="DG16" s="7">
        <f>SUMIFS('Data(perSeason,perCrop)'!$A:$A,'Data(perSeason,perCrop)'!$S:$S,Indicators!$B16,'Data(perSeason,perCrop)'!$O:$O,Indicators!DG$7,'Data(perSeason,perCrop)'!$C:$C,Indicators!DG$3,'Data(perSeason,perCrop)'!$R:$R,"IRRIGATED")</f>
        <v>0</v>
      </c>
    </row>
    <row r="17" spans="1:111" x14ac:dyDescent="0.25">
      <c r="B17">
        <v>2020</v>
      </c>
      <c r="C17" s="7">
        <f>IF(COUNTIFS('Data(perSeason,perCrop)'!$S:$S,Indicators!$B17)&gt;0,SUMIFS('Data(perSeason,perCrop)'!$A:$A,'Data(perSeason,perCrop)'!$S:$S,Indicators!$B17,'Data(perSeason,perCrop)'!$O:$O,Indicators!C$7,'Data(perSeason,perCrop)'!$R:$R,"IRRIGATED"),"")</f>
        <v>3887.5939040159374</v>
      </c>
      <c r="D17" s="7">
        <f>IF(COUNTIFS('Data(perSeason,perCrop)'!$S:$S,Indicators!$B17)&gt;0,SUMIFS('Data(perSeason,perCrop)'!$A:$A,'Data(perSeason,perCrop)'!$S:$S,Indicators!$B17,'Data(perSeason,perCrop)'!$O:$O,Indicators!D$7,'Data(perSeason,perCrop)'!$R:$R,"IRRIGATED"),"")</f>
        <v>4594.9125296462207</v>
      </c>
      <c r="E17" s="7">
        <f>IF(COUNTIFS('Data(perSeason,perCrop)'!$S:$S,Indicators!$B17)&gt;0,SUMIFS('Data(perSeason,perCrop)'!$A:$A,'Data(perSeason,perCrop)'!$S:$S,Indicators!$B17,'Data(perSeason,perCrop)'!$O:$O,Indicators!E$7,'Data(perSeason,perCrop)'!$R:$R,"IRRIGATED"),"")</f>
        <v>2222.2352282626975</v>
      </c>
      <c r="F17" s="7">
        <f>IF(COUNTIFS('Data(perSeason,perCrop)'!$S:$S,Indicators!$B17)&gt;0,SUM(K17:R17),"")</f>
        <v>6289.0048032166469</v>
      </c>
      <c r="G17" s="7"/>
      <c r="H17" s="7"/>
      <c r="J17" s="2" t="s">
        <v>209</v>
      </c>
      <c r="K17" s="7">
        <f>SUMIFS('Data(perSeason,perCrop)'!$A:$A,'Data(perSeason,perCrop)'!$S:$S,Indicators!$B17,'Data(perSeason,perCrop)'!$O:$O,Indicators!K$7,'Data(perSeason,perCrop)'!$C:$C,Indicators!K$3,'Data(perSeason,perCrop)'!$R:$R,"IRRIGATED")</f>
        <v>25.360404259419099</v>
      </c>
      <c r="L17" s="7">
        <f>SUMIFS('Data(perSeason,perCrop)'!$A:$A,'Data(perSeason,perCrop)'!$S:$S,Indicators!$B17,'Data(perSeason,perCrop)'!$O:$O,Indicators!L$7,'Data(perSeason,perCrop)'!$C:$C,Indicators!L$3,'Data(perSeason,perCrop)'!$R:$R,"IRRIGATED")</f>
        <v>15.666135669265399</v>
      </c>
      <c r="M17" s="7">
        <f>SUMIFS('Data(perSeason,perCrop)'!$A:$A,'Data(perSeason,perCrop)'!$S:$S,Indicators!$B17,'Data(perSeason,perCrop)'!$O:$O,Indicators!M$7,'Data(perSeason,perCrop)'!$C:$C,Indicators!M$3,'Data(perSeason,perCrop)'!$R:$R,"IRRIGATED")</f>
        <v>6.7832797368995701</v>
      </c>
      <c r="N17" s="7">
        <f>SUMIFS('Data(perSeason,perCrop)'!$A:$A,'Data(perSeason,perCrop)'!$S:$S,Indicators!$B17,'Data(perSeason,perCrop)'!$O:$O,Indicators!N$7,'Data(perSeason,perCrop)'!$C:$C,Indicators!N$3,'Data(perSeason,perCrop)'!$R:$R,"IRRIGATED")</f>
        <v>251.174209022013</v>
      </c>
      <c r="O17" s="7">
        <f>SUMIFS('Data(perSeason,perCrop)'!$A:$A,'Data(perSeason,perCrop)'!$S:$S,Indicators!$B17,'Data(perSeason,perCrop)'!$O:$O,Indicators!O$7,'Data(perSeason,perCrop)'!$C:$C,Indicators!O$3,'Data(perSeason,perCrop)'!$R:$R,"IRRIGATED")</f>
        <v>3835.7190811328801</v>
      </c>
      <c r="P17" s="7">
        <f>SUMIFS('Data(perSeason,perCrop)'!$A:$A,'Data(perSeason,perCrop)'!$S:$S,Indicators!$B17,'Data(perSeason,perCrop)'!$O:$O,Indicators!P$7,'Data(perSeason,perCrop)'!$C:$C,Indicators!P$3,'Data(perSeason,perCrop)'!$R:$R,"IRRIGATED")</f>
        <v>0</v>
      </c>
      <c r="Q17" s="7">
        <f>SUMIFS('Data(perSeason,perCrop)'!$A:$A,'Data(perSeason,perCrop)'!$S:$S,Indicators!$B17,'Data(perSeason,perCrop)'!$O:$O,Indicators!Q$7,'Data(perSeason,perCrop)'!$C:$C,Indicators!Q$3,'Data(perSeason,perCrop)'!$R:$R,"IRRIGATED")</f>
        <v>2154.3016933961699</v>
      </c>
      <c r="R17" s="7">
        <f>SUMIFS('Data(perSeason,perCrop)'!$A:$A,'Data(perSeason,perCrop)'!$S:$S,Indicators!$B17,'Data(perSeason,perCrop)'!$O:$O,Indicators!R$7,'Data(perSeason,perCrop)'!$C:$C,Indicators!R$3,'Data(perSeason,perCrop)'!$R:$R,"IRRIGATED")</f>
        <v>0</v>
      </c>
      <c r="S17" s="62">
        <f>SUMIFS('Data(perSeason,perCrop)'!$A:$A,'Data(perSeason,perCrop)'!$S:$S,Indicators!$B17,'Data(perSeason,perCrop)'!$O:$O,Indicators!S$7,'Data(perSeason,perCrop)'!$C:$C,Indicators!S$3,'Data(perSeason,perCrop)'!$R:$R,"IRRIGATED")</f>
        <v>0</v>
      </c>
      <c r="T17" s="62">
        <f>SUMIFS('Data(perSeason,perCrop)'!$A:$A,'Data(perSeason,perCrop)'!$S:$S,Indicators!$B17,'Data(perSeason,perCrop)'!$O:$O,Indicators!T$7,'Data(perSeason,perCrop)'!$C:$C,Indicators!T$3,'Data(perSeason,perCrop)'!$R:$R,"IRRIGATED")</f>
        <v>2233.22710793429</v>
      </c>
      <c r="U17" s="62">
        <f>SUMIFS('Data(perSeason,perCrop)'!$A:$A,'Data(perSeason,perCrop)'!$S:$S,Indicators!$B17,'Data(perSeason,perCrop)'!$O:$O,Indicators!U$7,'Data(perSeason,perCrop)'!$C:$C,Indicators!U$3,'Data(perSeason,perCrop)'!$R:$R,"IRRIGATED")</f>
        <v>0</v>
      </c>
      <c r="V17" s="62">
        <f>SUMIFS('Data(perSeason,perCrop)'!$A:$A,'Data(perSeason,perCrop)'!$S:$S,Indicators!$B17,'Data(perSeason,perCrop)'!$O:$O,Indicators!V$7,'Data(perSeason,perCrop)'!$C:$C,Indicators!V$3,'Data(perSeason,perCrop)'!$R:$R,"IRRIGATED")</f>
        <v>0</v>
      </c>
      <c r="W17" s="62">
        <f>SUMIFS('Data(perSeason,perCrop)'!$A:$A,'Data(perSeason,perCrop)'!$S:$S,Indicators!$B17,'Data(perSeason,perCrop)'!$O:$O,Indicators!W$7,'Data(perSeason,perCrop)'!$C:$C,Indicators!W$3,'Data(perSeason,perCrop)'!$R:$R,"IRRIGATED")</f>
        <v>0</v>
      </c>
      <c r="X17" s="62">
        <f>SUMIFS('Data(perSeason,perCrop)'!$A:$A,'Data(perSeason,perCrop)'!$S:$S,Indicators!$B17,'Data(perSeason,perCrop)'!$O:$O,Indicators!X$7,'Data(perSeason,perCrop)'!$C:$C,Indicators!X$3,'Data(perSeason,perCrop)'!$R:$R,"IRRIGATED")</f>
        <v>0</v>
      </c>
      <c r="Y17" s="62">
        <f>SUMIFS('Data(perSeason,perCrop)'!$A:$A,'Data(perSeason,perCrop)'!$S:$S,Indicators!$B17,'Data(perSeason,perCrop)'!$O:$O,Indicators!Y$7,'Data(perSeason,perCrop)'!$C:$C,Indicators!Y$3,'Data(perSeason,perCrop)'!$R:$R,"IRRIGATED")</f>
        <v>0</v>
      </c>
      <c r="Z17" s="62">
        <f>SUMIFS('Data(perSeason,perCrop)'!$A:$A,'Data(perSeason,perCrop)'!$S:$S,Indicators!$B17,'Data(perSeason,perCrop)'!$O:$O,Indicators!Z$7,'Data(perSeason,perCrop)'!$C:$C,Indicators!Z$3,'Data(perSeason,perCrop)'!$R:$R,"IRRIGATED")</f>
        <v>0</v>
      </c>
      <c r="AA17" s="62">
        <f>SUMIFS('Data(perSeason,perCrop)'!$A:$A,'Data(perSeason,perCrop)'!$S:$S,Indicators!$B17,'Data(perSeason,perCrop)'!$O:$O,Indicators!AA$7,'Data(perSeason,perCrop)'!$C:$C,Indicators!AA$3,'Data(perSeason,perCrop)'!$R:$R,"IRRIGATED")</f>
        <v>0</v>
      </c>
      <c r="AB17" s="62">
        <f>SUMIFS('Data(perSeason,perCrop)'!$A:$A,'Data(perSeason,perCrop)'!$S:$S,Indicators!$B17,'Data(perSeason,perCrop)'!$O:$O,Indicators!AB$7,'Data(perSeason,perCrop)'!$C:$C,Indicators!AB$3,'Data(perSeason,perCrop)'!$R:$R,"IRRIGATED")</f>
        <v>0</v>
      </c>
      <c r="AC17" s="62">
        <f>SUMIFS('Data(perSeason,perCrop)'!$A:$A,'Data(perSeason,perCrop)'!$S:$S,Indicators!$B17,'Data(perSeason,perCrop)'!$O:$O,Indicators!AC$7,'Data(perSeason,perCrop)'!$C:$C,Indicators!AC$3,'Data(perSeason,perCrop)'!$R:$R,"IRRIGATED")</f>
        <v>0</v>
      </c>
      <c r="AD17" s="62">
        <f>SUMIFS('Data(perSeason,perCrop)'!$A:$A,'Data(perSeason,perCrop)'!$S:$S,Indicators!$B17,'Data(perSeason,perCrop)'!$O:$O,Indicators!AD$7,'Data(perSeason,perCrop)'!$C:$C,Indicators!AD$3,'Data(perSeason,perCrop)'!$R:$R,"IRRIGATED")</f>
        <v>0</v>
      </c>
      <c r="AE17" s="62">
        <f>SUMIFS('Data(perSeason,perCrop)'!$A:$A,'Data(perSeason,perCrop)'!$S:$S,Indicators!$B17,'Data(perSeason,perCrop)'!$O:$O,Indicators!AE$7,'Data(perSeason,perCrop)'!$C:$C,Indicators!AE$3,'Data(perSeason,perCrop)'!$R:$R,"IRRIGATED")</f>
        <v>0</v>
      </c>
      <c r="AF17" s="62">
        <f>SUMIFS('Data(perSeason,perCrop)'!$A:$A,'Data(perSeason,perCrop)'!$S:$S,Indicators!$B17,'Data(perSeason,perCrop)'!$O:$O,Indicators!AF$7,'Data(perSeason,perCrop)'!$C:$C,Indicators!AF$3,'Data(perSeason,perCrop)'!$R:$R,"IRRIGATED")</f>
        <v>263.72243268315901</v>
      </c>
      <c r="AG17" s="62">
        <f>SUMIFS('Data(perSeason,perCrop)'!$A:$A,'Data(perSeason,perCrop)'!$S:$S,Indicators!$B17,'Data(perSeason,perCrop)'!$O:$O,Indicators!AG$7,'Data(perSeason,perCrop)'!$C:$C,Indicators!AG$3,'Data(perSeason,perCrop)'!$R:$R,"IRRIGATED")</f>
        <v>468.78014767221401</v>
      </c>
      <c r="AH17" s="62">
        <f>SUMIFS('Data(perSeason,perCrop)'!$A:$A,'Data(perSeason,perCrop)'!$S:$S,Indicators!$B17,'Data(perSeason,perCrop)'!$O:$O,Indicators!AH$7,'Data(perSeason,perCrop)'!$C:$C,Indicators!AH$3,'Data(perSeason,perCrop)'!$R:$R,"IRRIGATED")</f>
        <v>0</v>
      </c>
      <c r="AI17" s="62">
        <f>SUMIFS('Data(perSeason,perCrop)'!$A:$A,'Data(perSeason,perCrop)'!$S:$S,Indicators!$B17,'Data(perSeason,perCrop)'!$O:$O,Indicators!AI$7,'Data(perSeason,perCrop)'!$C:$C,Indicators!AI$3,'Data(perSeason,perCrop)'!$R:$R,"IRRIGATED")</f>
        <v>573.60987432403999</v>
      </c>
      <c r="AJ17" s="62">
        <f>SUMIFS('Data(perSeason,perCrop)'!$A:$A,'Data(perSeason,perCrop)'!$S:$S,Indicators!$B17,'Data(perSeason,perCrop)'!$O:$O,Indicators!AJ$7,'Data(perSeason,perCrop)'!$C:$C,Indicators!AJ$3,'Data(perSeason,perCrop)'!$R:$R,"IRRIGATED")</f>
        <v>0</v>
      </c>
      <c r="AK17" s="62">
        <f>SUMIFS('Data(perSeason,perCrop)'!$A:$A,'Data(perSeason,perCrop)'!$S:$S,Indicators!$B17,'Data(perSeason,perCrop)'!$O:$O,Indicators!AK$7,'Data(perSeason,perCrop)'!$C:$C,Indicators!AK$3,'Data(perSeason,perCrop)'!$R:$R,"IRRIGATED")</f>
        <v>0</v>
      </c>
      <c r="AL17" s="62">
        <f>SUMIFS('Data(perSeason,perCrop)'!$A:$A,'Data(perSeason,perCrop)'!$S:$S,Indicators!$B17,'Data(perSeason,perCrop)'!$O:$O,Indicators!AL$7,'Data(perSeason,perCrop)'!$C:$C,Indicators!AL$3,'Data(perSeason,perCrop)'!$R:$R,"IRRIGATED")</f>
        <v>348.25434140223399</v>
      </c>
      <c r="AM17" s="62">
        <f>SUMIFS('Data(perSeason,perCrop)'!$A:$A,'Data(perSeason,perCrop)'!$S:$S,Indicators!$B17,'Data(perSeason,perCrop)'!$O:$O,Indicators!AM$7,'Data(perSeason,perCrop)'!$C:$C,Indicators!AM$3,'Data(perSeason,perCrop)'!$R:$R,"IRRIGATED")</f>
        <v>0</v>
      </c>
      <c r="AN17" s="62">
        <f>SUMIFS('Data(perSeason,perCrop)'!$A:$A,'Data(perSeason,perCrop)'!$S:$S,Indicators!$B17,'Data(perSeason,perCrop)'!$O:$O,Indicators!AN$7,'Data(perSeason,perCrop)'!$C:$C,Indicators!AN$3,'Data(perSeason,perCrop)'!$R:$R,"IRRIGATED")</f>
        <v>0</v>
      </c>
      <c r="AO17" s="62">
        <f>SUMIFS('Data(perSeason,perCrop)'!$A:$A,'Data(perSeason,perCrop)'!$S:$S,Indicators!$B17,'Data(perSeason,perCrop)'!$O:$O,Indicators!AO$7,'Data(perSeason,perCrop)'!$C:$C,Indicators!AO$3,'Data(perSeason,perCrop)'!$R:$R,"IRRIGATED")</f>
        <v>0</v>
      </c>
      <c r="AP17" s="62">
        <f>SUMIFS('Data(perSeason,perCrop)'!$A:$A,'Data(perSeason,perCrop)'!$S:$S,Indicators!$B17,'Data(perSeason,perCrop)'!$O:$O,Indicators!AP$7,'Data(perSeason,perCrop)'!$C:$C,Indicators!AP$3,'Data(perSeason,perCrop)'!$R:$R,"IRRIGATED")</f>
        <v>0</v>
      </c>
      <c r="AQ17" s="62">
        <f>SUMIFS('Data(perSeason,perCrop)'!$A:$A,'Data(perSeason,perCrop)'!$S:$S,Indicators!$B17,'Data(perSeason,perCrop)'!$O:$O,Indicators!AQ$7,'Data(perSeason,perCrop)'!$C:$C,Indicators!AQ$3,'Data(perSeason,perCrop)'!$R:$R,"IRRIGATED")</f>
        <v>0</v>
      </c>
      <c r="AR17" s="62">
        <f>SUMIFS('Data(perSeason,perCrop)'!$A:$A,'Data(perSeason,perCrop)'!$S:$S,Indicators!$B17,'Data(perSeason,perCrop)'!$O:$O,Indicators!AR$7,'Data(perSeason,perCrop)'!$C:$C,Indicators!AR$3,'Data(perSeason,perCrop)'!$R:$R,"IRRIGATED")</f>
        <v>0</v>
      </c>
      <c r="AS17" s="62">
        <f>SUMIFS('Data(perSeason,perCrop)'!$A:$A,'Data(perSeason,perCrop)'!$S:$S,Indicators!$B17,'Data(perSeason,perCrop)'!$O:$O,Indicators!AS$7,'Data(perSeason,perCrop)'!$C:$C,Indicators!AS$3,'Data(perSeason,perCrop)'!$R:$R,"IRRIGATED")</f>
        <v>0</v>
      </c>
      <c r="AT17" s="62">
        <f>SUMIFS('Data(perSeason,perCrop)'!$A:$A,'Data(perSeason,perCrop)'!$S:$S,Indicators!$B17,'Data(perSeason,perCrop)'!$O:$O,Indicators!AT$7,'Data(perSeason,perCrop)'!$C:$C,Indicators!AT$3,'Data(perSeason,perCrop)'!$R:$R,"IRRIGATED")</f>
        <v>0</v>
      </c>
      <c r="AU17" s="62">
        <f>SUMIFS('Data(perSeason,perCrop)'!$A:$A,'Data(perSeason,perCrop)'!$S:$S,Indicators!$B17,'Data(perSeason,perCrop)'!$O:$O,Indicators!AU$7,'Data(perSeason,perCrop)'!$C:$C,Indicators!AU$3,'Data(perSeason,perCrop)'!$R:$R,"IRRIGATED")</f>
        <v>0</v>
      </c>
      <c r="AV17" s="62">
        <f>SUMIFS('Data(perSeason,perCrop)'!$A:$A,'Data(perSeason,perCrop)'!$S:$S,Indicators!$B17,'Data(perSeason,perCrop)'!$O:$O,Indicators!AV$7,'Data(perSeason,perCrop)'!$C:$C,Indicators!AV$3,'Data(perSeason,perCrop)'!$R:$R,"IRRIGATED")</f>
        <v>0</v>
      </c>
      <c r="AW17" s="62">
        <f>SUMIFS('Data(perSeason,perCrop)'!$A:$A,'Data(perSeason,perCrop)'!$S:$S,Indicators!$B17,'Data(perSeason,perCrop)'!$O:$O,Indicators!AW$7,'Data(perSeason,perCrop)'!$C:$C,Indicators!AW$3,'Data(perSeason,perCrop)'!$R:$R,"IRRIGATED")</f>
        <v>0</v>
      </c>
      <c r="AX17" s="7">
        <f>SUMIFS('Data(perSeason,perCrop)'!$A:$A,'Data(perSeason,perCrop)'!$S:$S,Indicators!$B17,'Data(perSeason,perCrop)'!$O:$O,Indicators!AX$7,'Data(perSeason,perCrop)'!$C:$C,Indicators!AX$3,'Data(perSeason,perCrop)'!$R:$R,"IRRIGATED")</f>
        <v>0</v>
      </c>
      <c r="AY17" s="7">
        <f>SUMIFS('Data(perSeason,perCrop)'!$A:$A,'Data(perSeason,perCrop)'!$S:$S,Indicators!$B17,'Data(perSeason,perCrop)'!$O:$O,Indicators!AY$7,'Data(perSeason,perCrop)'!$C:$C,Indicators!AY$3,'Data(perSeason,perCrop)'!$R:$R,"IRRIGATED")</f>
        <v>3757.6026251460098</v>
      </c>
      <c r="AZ17" s="7">
        <f>SUMIFS('Data(perSeason,perCrop)'!$A:$A,'Data(perSeason,perCrop)'!$S:$S,Indicators!$B17,'Data(perSeason,perCrop)'!$O:$O,Indicators!AZ$7,'Data(perSeason,perCrop)'!$C:$C,Indicators!AZ$3,'Data(perSeason,perCrop)'!$R:$R,"IRRIGATED")</f>
        <v>0</v>
      </c>
      <c r="BA17" s="7">
        <f>SUMIFS('Data(perSeason,perCrop)'!$A:$A,'Data(perSeason,perCrop)'!$S:$S,Indicators!$B17,'Data(perSeason,perCrop)'!$O:$O,Indicators!BA$7,'Data(perSeason,perCrop)'!$C:$C,Indicators!BA$3,'Data(perSeason,perCrop)'!$R:$R,"IRRIGATED")</f>
        <v>0</v>
      </c>
      <c r="BB17" s="7">
        <f>SUMIFS('Data(perSeason,perCrop)'!$A:$A,'Data(perSeason,perCrop)'!$S:$S,Indicators!$B17,'Data(perSeason,perCrop)'!$O:$O,Indicators!BB$7,'Data(perSeason,perCrop)'!$C:$C,Indicators!BB$3,'Data(perSeason,perCrop)'!$R:$R,"IRRIGATED")</f>
        <v>0</v>
      </c>
      <c r="BC17" s="7">
        <f>SUMIFS('Data(perSeason,perCrop)'!$A:$A,'Data(perSeason,perCrop)'!$S:$S,Indicators!$B17,'Data(perSeason,perCrop)'!$O:$O,Indicators!BC$7,'Data(perSeason,perCrop)'!$C:$C,Indicators!BC$3,'Data(perSeason,perCrop)'!$R:$R,"IRRIGATED")</f>
        <v>0</v>
      </c>
      <c r="BD17" s="7">
        <f>SUMIFS('Data(perSeason,perCrop)'!$A:$A,'Data(perSeason,perCrop)'!$S:$S,Indicators!$B17,'Data(perSeason,perCrop)'!$O:$O,Indicators!BD$7,'Data(perSeason,perCrop)'!$C:$C,Indicators!BD$3,'Data(perSeason,perCrop)'!$R:$R,"IRRIGATED")</f>
        <v>0</v>
      </c>
      <c r="BE17" s="7">
        <f>SUMIFS('Data(perSeason,perCrop)'!$A:$A,'Data(perSeason,perCrop)'!$S:$S,Indicators!$B17,'Data(perSeason,perCrop)'!$O:$O,Indicators!BE$7,'Data(perSeason,perCrop)'!$C:$C,Indicators!BE$3,'Data(perSeason,perCrop)'!$R:$R,"IRRIGATED")</f>
        <v>0</v>
      </c>
      <c r="BF17" s="7">
        <f>SUMIFS('Data(perSeason,perCrop)'!$A:$A,'Data(perSeason,perCrop)'!$S:$S,Indicators!$B17,'Data(perSeason,perCrop)'!$O:$O,Indicators!BF$7,'Data(perSeason,perCrop)'!$C:$C,Indicators!BF$3,'Data(perSeason,perCrop)'!$R:$R,"IRRIGATED")</f>
        <v>0</v>
      </c>
      <c r="BG17" s="7">
        <f>SUMIFS('Data(perSeason,perCrop)'!$A:$A,'Data(perSeason,perCrop)'!$S:$S,Indicators!$B17,'Data(perSeason,perCrop)'!$O:$O,Indicators!BG$7,'Data(perSeason,perCrop)'!$C:$C,Indicators!BG$3,'Data(perSeason,perCrop)'!$R:$R,"IRRIGATED")</f>
        <v>0</v>
      </c>
      <c r="BH17" s="7">
        <f>SUMIFS('Data(perSeason,perCrop)'!$A:$A,'Data(perSeason,perCrop)'!$S:$S,Indicators!$B17,'Data(perSeason,perCrop)'!$O:$O,Indicators!BH$7,'Data(perSeason,perCrop)'!$C:$C,Indicators!BH$3,'Data(perSeason,perCrop)'!$R:$R,"IRRIGATED")</f>
        <v>0</v>
      </c>
      <c r="BI17" s="7">
        <f>SUMIFS('Data(perSeason,perCrop)'!$A:$A,'Data(perSeason,perCrop)'!$S:$S,Indicators!$B17,'Data(perSeason,perCrop)'!$O:$O,Indicators!BI$7,'Data(perSeason,perCrop)'!$C:$C,Indicators!BI$3,'Data(perSeason,perCrop)'!$R:$R,"IRRIGATED")</f>
        <v>0</v>
      </c>
      <c r="BJ17" s="7">
        <f>SUMIFS('Data(perSeason,perCrop)'!$A:$A,'Data(perSeason,perCrop)'!$S:$S,Indicators!$B17,'Data(perSeason,perCrop)'!$O:$O,Indicators!BJ$7,'Data(perSeason,perCrop)'!$C:$C,Indicators!BJ$3,'Data(perSeason,perCrop)'!$R:$R,"IRRIGATED")</f>
        <v>0</v>
      </c>
      <c r="BK17" s="7">
        <f>SUMIFS('Data(perSeason,perCrop)'!$A:$A,'Data(perSeason,perCrop)'!$S:$S,Indicators!$B17,'Data(perSeason,perCrop)'!$O:$O,Indicators!BK$7,'Data(perSeason,perCrop)'!$C:$C,Indicators!BK$3,'Data(perSeason,perCrop)'!$R:$R,"IRRIGATED")</f>
        <v>0</v>
      </c>
      <c r="BL17" s="7">
        <f>SUMIFS('Data(perSeason,perCrop)'!$A:$A,'Data(perSeason,perCrop)'!$S:$S,Indicators!$B17,'Data(perSeason,perCrop)'!$O:$O,Indicators!BL$7,'Data(perSeason,perCrop)'!$C:$C,Indicators!BL$3,'Data(perSeason,perCrop)'!$R:$R,"IRRIGATED")</f>
        <v>32.077952520377899</v>
      </c>
      <c r="BM17" s="7">
        <f>SUMIFS('Data(perSeason,perCrop)'!$A:$A,'Data(perSeason,perCrop)'!$S:$S,Indicators!$B17,'Data(perSeason,perCrop)'!$O:$O,Indicators!BM$7,'Data(perSeason,perCrop)'!$C:$C,Indicators!BM$3,'Data(perSeason,perCrop)'!$R:$R,"IRRIGATED")</f>
        <v>0</v>
      </c>
      <c r="BN17" s="7">
        <f>SUMIFS('Data(perSeason,perCrop)'!$A:$A,'Data(perSeason,perCrop)'!$S:$S,Indicators!$B17,'Data(perSeason,perCrop)'!$O:$O,Indicators!BN$7,'Data(perSeason,perCrop)'!$C:$C,Indicators!BN$3,'Data(perSeason,perCrop)'!$R:$R,"IRRIGATED")</f>
        <v>440.46393581672697</v>
      </c>
      <c r="BO17" s="7">
        <f>SUMIFS('Data(perSeason,perCrop)'!$A:$A,'Data(perSeason,perCrop)'!$S:$S,Indicators!$B17,'Data(perSeason,perCrop)'!$O:$O,Indicators!BO$7,'Data(perSeason,perCrop)'!$C:$C,Indicators!BO$3,'Data(perSeason,perCrop)'!$R:$R,"IRRIGATED")</f>
        <v>0</v>
      </c>
      <c r="BP17" s="7">
        <f>SUMIFS('Data(perSeason,perCrop)'!$A:$A,'Data(perSeason,perCrop)'!$S:$S,Indicators!$B17,'Data(perSeason,perCrop)'!$O:$O,Indicators!BP$7,'Data(perSeason,perCrop)'!$C:$C,Indicators!BP$3,'Data(perSeason,perCrop)'!$R:$R,"IRRIGATED")</f>
        <v>0</v>
      </c>
      <c r="BQ17" s="7">
        <f>SUMIFS('Data(perSeason,perCrop)'!$A:$A,'Data(perSeason,perCrop)'!$S:$S,Indicators!$B17,'Data(perSeason,perCrop)'!$O:$O,Indicators!BQ$7,'Data(perSeason,perCrop)'!$C:$C,Indicators!BQ$3,'Data(perSeason,perCrop)'!$R:$R,"IRRIGATED")</f>
        <v>364.76801616310598</v>
      </c>
      <c r="BR17" s="7">
        <f>SUMIFS('Data(perSeason,perCrop)'!$A:$A,'Data(perSeason,perCrop)'!$S:$S,Indicators!$B17,'Data(perSeason,perCrop)'!$O:$O,Indicators!BR$7,'Data(perSeason,perCrop)'!$C:$C,Indicators!BR$3,'Data(perSeason,perCrop)'!$R:$R,"IRRIGATED")</f>
        <v>0</v>
      </c>
      <c r="BS17" s="7">
        <f>SUMIFS('Data(perSeason,perCrop)'!$A:$A,'Data(perSeason,perCrop)'!$S:$S,Indicators!$B17,'Data(perSeason,perCrop)'!$O:$O,Indicators!BS$7,'Data(perSeason,perCrop)'!$C:$C,Indicators!BS$3,'Data(perSeason,perCrop)'!$R:$R,"IRRIGATED")</f>
        <v>0</v>
      </c>
      <c r="BT17" s="7">
        <f>SUMIFS('Data(perSeason,perCrop)'!$A:$A,'Data(perSeason,perCrop)'!$S:$S,Indicators!$B17,'Data(perSeason,perCrop)'!$O:$O,Indicators!BT$7,'Data(perSeason,perCrop)'!$C:$C,Indicators!BT$3,'Data(perSeason,perCrop)'!$R:$R,"IRRIGATED")</f>
        <v>0</v>
      </c>
      <c r="BU17" s="7">
        <f>SUMIFS('Data(perSeason,perCrop)'!$A:$A,'Data(perSeason,perCrop)'!$S:$S,Indicators!$B17,'Data(perSeason,perCrop)'!$O:$O,Indicators!BU$7,'Data(perSeason,perCrop)'!$C:$C,Indicators!BU$3,'Data(perSeason,perCrop)'!$R:$R,"IRRIGATED")</f>
        <v>0</v>
      </c>
      <c r="BV17" s="7">
        <f>SUMIFS('Data(perSeason,perCrop)'!$A:$A,'Data(perSeason,perCrop)'!$S:$S,Indicators!$B17,'Data(perSeason,perCrop)'!$O:$O,Indicators!BV$7,'Data(perSeason,perCrop)'!$C:$C,Indicators!BV$3,'Data(perSeason,perCrop)'!$R:$R,"IRRIGATED")</f>
        <v>0</v>
      </c>
      <c r="BW17" s="7">
        <f>SUMIFS('Data(perSeason,perCrop)'!$A:$A,'Data(perSeason,perCrop)'!$S:$S,Indicators!$B17,'Data(perSeason,perCrop)'!$O:$O,Indicators!BW$7,'Data(perSeason,perCrop)'!$C:$C,Indicators!BW$3,'Data(perSeason,perCrop)'!$R:$R,"IRRIGATED")</f>
        <v>0</v>
      </c>
      <c r="BX17" s="7">
        <f>SUMIFS('Data(perSeason,perCrop)'!$A:$A,'Data(perSeason,perCrop)'!$S:$S,Indicators!$B17,'Data(perSeason,perCrop)'!$O:$O,Indicators!BX$7,'Data(perSeason,perCrop)'!$C:$C,Indicators!BX$3,'Data(perSeason,perCrop)'!$R:$R,"IRRIGATED")</f>
        <v>0</v>
      </c>
      <c r="BY17" s="7">
        <f>SUMIFS('Data(perSeason,perCrop)'!$A:$A,'Data(perSeason,perCrop)'!$S:$S,Indicators!$B17,'Data(perSeason,perCrop)'!$O:$O,Indicators!BY$7,'Data(perSeason,perCrop)'!$C:$C,Indicators!BY$3,'Data(perSeason,perCrop)'!$R:$R,"IRRIGATED")</f>
        <v>0</v>
      </c>
      <c r="BZ17" s="7">
        <f>SUMIFS('Data(perSeason,perCrop)'!$A:$A,'Data(perSeason,perCrop)'!$S:$S,Indicators!$B17,'Data(perSeason,perCrop)'!$O:$O,Indicators!BZ$7,'Data(perSeason,perCrop)'!$C:$C,Indicators!BZ$3,'Data(perSeason,perCrop)'!$R:$R,"IRRIGATED")</f>
        <v>0</v>
      </c>
      <c r="CA17" s="7">
        <f>SUMIFS('Data(perSeason,perCrop)'!$A:$A,'Data(perSeason,perCrop)'!$S:$S,Indicators!$B17,'Data(perSeason,perCrop)'!$O:$O,Indicators!CA$7,'Data(perSeason,perCrop)'!$C:$C,Indicators!CA$3,'Data(perSeason,perCrop)'!$R:$R,"IRRIGATED")</f>
        <v>0</v>
      </c>
      <c r="CB17" s="7">
        <f>SUMIFS('Data(perSeason,perCrop)'!$A:$A,'Data(perSeason,perCrop)'!$S:$S,Indicators!$B17,'Data(perSeason,perCrop)'!$O:$O,Indicators!CB$7,'Data(perSeason,perCrop)'!$C:$C,Indicators!CB$3,'Data(perSeason,perCrop)'!$R:$R,"IRRIGATED")</f>
        <v>0</v>
      </c>
      <c r="CC17" s="7">
        <f>SUMIFS('Data(perSeason,perCrop)'!$A:$A,'Data(perSeason,perCrop)'!$S:$S,Indicators!$B17,'Data(perSeason,perCrop)'!$O:$O,Indicators!CC$7,'Data(perSeason,perCrop)'!$C:$C,Indicators!CC$3,'Data(perSeason,perCrop)'!$R:$R,"IRRIGATED")</f>
        <v>0</v>
      </c>
      <c r="CD17" s="7">
        <f>SUMIFS('Data(perSeason,perCrop)'!$A:$A,'Data(perSeason,perCrop)'!$S:$S,Indicators!$B17,'Data(perSeason,perCrop)'!$O:$O,Indicators!CD$7,'Data(perSeason,perCrop)'!$C:$C,Indicators!CD$3,'Data(perSeason,perCrop)'!$R:$R,"IRRIGATED")</f>
        <v>0</v>
      </c>
      <c r="CE17" s="7">
        <f>SUMIFS('Data(perSeason,perCrop)'!$A:$A,'Data(perSeason,perCrop)'!$S:$S,Indicators!$B17,'Data(perSeason,perCrop)'!$O:$O,Indicators!CE$7,'Data(perSeason,perCrop)'!$C:$C,Indicators!CE$3,'Data(perSeason,perCrop)'!$R:$R,"IRRIGATED")</f>
        <v>0</v>
      </c>
      <c r="CF17" s="7">
        <f>SUMIFS('Data(perSeason,perCrop)'!$A:$A,'Data(perSeason,perCrop)'!$S:$S,Indicators!$B17,'Data(perSeason,perCrop)'!$O:$O,Indicators!CF$7,'Data(perSeason,perCrop)'!$C:$C,Indicators!CF$3,'Data(perSeason,perCrop)'!$R:$R,"IRRIGATED")</f>
        <v>0</v>
      </c>
      <c r="CG17" s="7">
        <f>SUMIFS('Data(perSeason,perCrop)'!$A:$A,'Data(perSeason,perCrop)'!$S:$S,Indicators!$B17,'Data(perSeason,perCrop)'!$O:$O,Indicators!CG$7,'Data(perSeason,perCrop)'!$C:$C,Indicators!CG$3,'Data(perSeason,perCrop)'!$R:$R,"IRRIGATED")</f>
        <v>0</v>
      </c>
      <c r="CH17" s="7">
        <f>SUMIFS('Data(perSeason,perCrop)'!$A:$A,'Data(perSeason,perCrop)'!$S:$S,Indicators!$B17,'Data(perSeason,perCrop)'!$O:$O,Indicators!CH$7,'Data(perSeason,perCrop)'!$C:$C,Indicators!CH$3,'Data(perSeason,perCrop)'!$R:$R,"IRRIGATED")</f>
        <v>0</v>
      </c>
      <c r="CI17" s="7">
        <f>SUMIFS('Data(perSeason,perCrop)'!$A:$A,'Data(perSeason,perCrop)'!$S:$S,Indicators!$B17,'Data(perSeason,perCrop)'!$O:$O,Indicators!CI$7,'Data(perSeason,perCrop)'!$C:$C,Indicators!CI$3,'Data(perSeason,perCrop)'!$R:$R,"IRRIGATED")</f>
        <v>0</v>
      </c>
      <c r="CJ17" s="7">
        <f>SUMIFS('Data(perSeason,perCrop)'!$A:$A,'Data(perSeason,perCrop)'!$S:$S,Indicators!$B17,'Data(perSeason,perCrop)'!$O:$O,Indicators!CJ$7,'Data(perSeason,perCrop)'!$C:$C,Indicators!CJ$3,'Data(perSeason,perCrop)'!$R:$R,"IRRIGATED")</f>
        <v>0</v>
      </c>
      <c r="CK17" s="7">
        <f>SUMIFS('Data(perSeason,perCrop)'!$A:$A,'Data(perSeason,perCrop)'!$S:$S,Indicators!$B17,'Data(perSeason,perCrop)'!$O:$O,Indicators!CK$7,'Data(perSeason,perCrop)'!$C:$C,Indicators!CK$3,'Data(perSeason,perCrop)'!$R:$R,"IRRIGATED")</f>
        <v>0</v>
      </c>
      <c r="CL17" s="7">
        <f>SUMIFS('Data(perSeason,perCrop)'!$A:$A,'Data(perSeason,perCrop)'!$S:$S,Indicators!$B17,'Data(perSeason,perCrop)'!$O:$O,Indicators!CL$7,'Data(perSeason,perCrop)'!$C:$C,Indicators!CL$3,'Data(perSeason,perCrop)'!$R:$R,"IRRIGATED")</f>
        <v>0</v>
      </c>
      <c r="CM17" s="7">
        <f>SUMIFS('Data(perSeason,perCrop)'!$A:$A,'Data(perSeason,perCrop)'!$S:$S,Indicators!$B17,'Data(perSeason,perCrop)'!$O:$O,Indicators!CM$7,'Data(perSeason,perCrop)'!$C:$C,Indicators!CM$3,'Data(perSeason,perCrop)'!$R:$R,"IRRIGATED")</f>
        <v>0</v>
      </c>
      <c r="CN17" s="7">
        <f>SUMIFS('Data(perSeason,perCrop)'!$A:$A,'Data(perSeason,perCrop)'!$S:$S,Indicators!$B17,'Data(perSeason,perCrop)'!$O:$O,Indicators!CN$7,'Data(perSeason,perCrop)'!$C:$C,Indicators!CN$3,'Data(perSeason,perCrop)'!$R:$R,"IRRIGATED")</f>
        <v>0</v>
      </c>
      <c r="CO17" s="7">
        <f>SUMIFS('Data(perSeason,perCrop)'!$A:$A,'Data(perSeason,perCrop)'!$S:$S,Indicators!$B17,'Data(perSeason,perCrop)'!$O:$O,Indicators!CO$7,'Data(perSeason,perCrop)'!$C:$C,Indicators!CO$3,'Data(perSeason,perCrop)'!$R:$R,"IRRIGATED")</f>
        <v>0</v>
      </c>
      <c r="CP17" s="7">
        <f>SUMIFS('Data(perSeason,perCrop)'!$A:$A,'Data(perSeason,perCrop)'!$S:$S,Indicators!$B17,'Data(perSeason,perCrop)'!$O:$O,Indicators!CP$7,'Data(perSeason,perCrop)'!$C:$C,Indicators!CP$3,'Data(perSeason,perCrop)'!$R:$R,"IRRIGATED")</f>
        <v>1619.26392212305</v>
      </c>
      <c r="CQ17" s="7">
        <f>SUMIFS('Data(perSeason,perCrop)'!$A:$A,'Data(perSeason,perCrop)'!$S:$S,Indicators!$B17,'Data(perSeason,perCrop)'!$O:$O,Indicators!CQ$7,'Data(perSeason,perCrop)'!$C:$C,Indicators!CQ$3,'Data(perSeason,perCrop)'!$R:$R,"IRRIGATED")</f>
        <v>101.992670964208</v>
      </c>
      <c r="CR17" s="7">
        <f>SUMIFS('Data(perSeason,perCrop)'!$A:$A,'Data(perSeason,perCrop)'!$S:$S,Indicators!$B17,'Data(perSeason,perCrop)'!$O:$O,Indicators!CR$7,'Data(perSeason,perCrop)'!$C:$C,Indicators!CR$3,'Data(perSeason,perCrop)'!$R:$R,"IRRIGATED")</f>
        <v>0</v>
      </c>
      <c r="CS17" s="7">
        <f>SUMIFS('Data(perSeason,perCrop)'!$A:$A,'Data(perSeason,perCrop)'!$S:$S,Indicators!$B17,'Data(perSeason,perCrop)'!$O:$O,Indicators!CS$7,'Data(perSeason,perCrop)'!$C:$C,Indicators!CS$3,'Data(perSeason,perCrop)'!$R:$R,"IRRIGATED")</f>
        <v>79.219020296092296</v>
      </c>
      <c r="CT17" s="7">
        <f>SUMIFS('Data(perSeason,perCrop)'!$A:$A,'Data(perSeason,perCrop)'!$S:$S,Indicators!$B17,'Data(perSeason,perCrop)'!$O:$O,Indicators!CT$7,'Data(perSeason,perCrop)'!$C:$C,Indicators!CT$3,'Data(perSeason,perCrop)'!$R:$R,"IRRIGATED")</f>
        <v>0</v>
      </c>
      <c r="CU17" s="7">
        <f>SUMIFS('Data(perSeason,perCrop)'!$A:$A,'Data(perSeason,perCrop)'!$S:$S,Indicators!$B17,'Data(perSeason,perCrop)'!$O:$O,Indicators!CU$7,'Data(perSeason,perCrop)'!$C:$C,Indicators!CU$3,'Data(perSeason,perCrop)'!$R:$R,"IRRIGATED")</f>
        <v>0</v>
      </c>
      <c r="CV17" s="7">
        <f>SUMIFS('Data(perSeason,perCrop)'!$A:$A,'Data(perSeason,perCrop)'!$S:$S,Indicators!$B17,'Data(perSeason,perCrop)'!$O:$O,Indicators!CV$7,'Data(perSeason,perCrop)'!$C:$C,Indicators!CV$3,'Data(perSeason,perCrop)'!$R:$R,"IRRIGATED")</f>
        <v>421.759614879347</v>
      </c>
      <c r="CW17" s="7">
        <f>SUMIFS('Data(perSeason,perCrop)'!$A:$A,'Data(perSeason,perCrop)'!$S:$S,Indicators!$B17,'Data(perSeason,perCrop)'!$O:$O,Indicators!CW$7,'Data(perSeason,perCrop)'!$C:$C,Indicators!CW$3,'Data(perSeason,perCrop)'!$R:$R,"IRRIGATED")</f>
        <v>0</v>
      </c>
      <c r="CX17" s="7">
        <f>SUMIFS('Data(perSeason,perCrop)'!$A:$A,'Data(perSeason,perCrop)'!$S:$S,Indicators!$B17,'Data(perSeason,perCrop)'!$O:$O,Indicators!CX$7,'Data(perSeason,perCrop)'!$C:$C,Indicators!CX$3,'Data(perSeason,perCrop)'!$R:$R,"IRRIGATED")</f>
        <v>0</v>
      </c>
      <c r="CY17" s="7">
        <f>SUMIFS('Data(perSeason,perCrop)'!$A:$A,'Data(perSeason,perCrop)'!$S:$S,Indicators!$B17,'Data(perSeason,perCrop)'!$O:$O,Indicators!CY$7,'Data(perSeason,perCrop)'!$C:$C,Indicators!CY$3,'Data(perSeason,perCrop)'!$R:$R,"IRRIGATED")</f>
        <v>0</v>
      </c>
      <c r="CZ17" s="7">
        <f>SUMIFS('Data(perSeason,perCrop)'!$A:$A,'Data(perSeason,perCrop)'!$S:$S,Indicators!$B17,'Data(perSeason,perCrop)'!$O:$O,Indicators!CZ$7,'Data(perSeason,perCrop)'!$C:$C,Indicators!CZ$3,'Data(perSeason,perCrop)'!$R:$R,"IRRIGATED")</f>
        <v>0</v>
      </c>
      <c r="DA17" s="7">
        <f>SUMIFS('Data(perSeason,perCrop)'!$A:$A,'Data(perSeason,perCrop)'!$S:$S,Indicators!$B17,'Data(perSeason,perCrop)'!$O:$O,Indicators!DA$7,'Data(perSeason,perCrop)'!$C:$C,Indicators!DA$3,'Data(perSeason,perCrop)'!$R:$R,"IRRIGATED")</f>
        <v>0</v>
      </c>
      <c r="DB17" s="7">
        <f>SUMIFS('Data(perSeason,perCrop)'!$A:$A,'Data(perSeason,perCrop)'!$S:$S,Indicators!$B17,'Data(perSeason,perCrop)'!$O:$O,Indicators!DB$7,'Data(perSeason,perCrop)'!$C:$C,Indicators!DB$3,'Data(perSeason,perCrop)'!$R:$R,"IRRIGATED")</f>
        <v>0</v>
      </c>
      <c r="DC17" s="7">
        <f>SUMIFS('Data(perSeason,perCrop)'!$A:$A,'Data(perSeason,perCrop)'!$S:$S,Indicators!$B17,'Data(perSeason,perCrop)'!$O:$O,Indicators!DC$7,'Data(perSeason,perCrop)'!$C:$C,Indicators!DC$3,'Data(perSeason,perCrop)'!$R:$R,"IRRIGATED")</f>
        <v>0</v>
      </c>
      <c r="DD17" s="7">
        <f>SUMIFS('Data(perSeason,perCrop)'!$A:$A,'Data(perSeason,perCrop)'!$S:$S,Indicators!$B17,'Data(perSeason,perCrop)'!$O:$O,Indicators!DD$7,'Data(perSeason,perCrop)'!$C:$C,Indicators!DD$3,'Data(perSeason,perCrop)'!$R:$R,"IRRIGATED")</f>
        <v>0</v>
      </c>
      <c r="DE17" s="7">
        <f>SUMIFS('Data(perSeason,perCrop)'!$A:$A,'Data(perSeason,perCrop)'!$S:$S,Indicators!$B17,'Data(perSeason,perCrop)'!$O:$O,Indicators!DE$7,'Data(perSeason,perCrop)'!$C:$C,Indicators!DE$3,'Data(perSeason,perCrop)'!$R:$R,"IRRIGATED")</f>
        <v>0</v>
      </c>
      <c r="DF17" s="7">
        <f>SUMIFS('Data(perSeason,perCrop)'!$A:$A,'Data(perSeason,perCrop)'!$S:$S,Indicators!$B17,'Data(perSeason,perCrop)'!$O:$O,Indicators!DF$7,'Data(perSeason,perCrop)'!$C:$C,Indicators!DF$3,'Data(perSeason,perCrop)'!$R:$R,"IRRIGATED")</f>
        <v>0</v>
      </c>
      <c r="DG17" s="7">
        <f>SUMIFS('Data(perSeason,perCrop)'!$A:$A,'Data(perSeason,perCrop)'!$S:$S,Indicators!$B17,'Data(perSeason,perCrop)'!$O:$O,Indicators!DG$7,'Data(perSeason,perCrop)'!$C:$C,Indicators!DG$3,'Data(perSeason,perCrop)'!$R:$R,"IRRIGATED")</f>
        <v>0</v>
      </c>
    </row>
    <row r="18" spans="1:111" x14ac:dyDescent="0.25">
      <c r="B18">
        <v>2021</v>
      </c>
      <c r="C18" s="7">
        <f>IF(COUNTIFS('Data(perSeason,perCrop)'!$S:$S,Indicators!$B18)&gt;0,SUMIFS('Data(perSeason,perCrop)'!$A:$A,'Data(perSeason,perCrop)'!$S:$S,Indicators!$B18,'Data(perSeason,perCrop)'!$O:$O,Indicators!C$7,'Data(perSeason,perCrop)'!$R:$R,"IRRIGATED"),"")</f>
        <v>4180.965411951398</v>
      </c>
      <c r="D18" s="7">
        <f>IF(COUNTIFS('Data(perSeason,perCrop)'!$S:$S,Indicators!$B18)&gt;0,SUMIFS('Data(perSeason,perCrop)'!$A:$A,'Data(perSeason,perCrop)'!$S:$S,Indicators!$B18,'Data(perSeason,perCrop)'!$O:$O,Indicators!D$7,'Data(perSeason,perCrop)'!$R:$R,"IRRIGATED"),"")</f>
        <v>5951.5333164768253</v>
      </c>
      <c r="E18" s="7">
        <f>IF(COUNTIFS('Data(perSeason,perCrop)'!$S:$S,Indicators!$B18)&gt;0,SUMIFS('Data(perSeason,perCrop)'!$A:$A,'Data(perSeason,perCrop)'!$S:$S,Indicators!$B18,'Data(perSeason,perCrop)'!$O:$O,Indicators!E$7,'Data(perSeason,perCrop)'!$R:$R,"IRRIGATED"),"")</f>
        <v>2355.2261111528483</v>
      </c>
      <c r="F18" s="7">
        <f>IF(COUNTIFS('Data(perSeason,perCrop)'!$S:$S,Indicators!$B18)&gt;0,SUM(K18:R18),"")</f>
        <v>6836.0164359394503</v>
      </c>
      <c r="G18" s="7"/>
      <c r="H18" s="7"/>
      <c r="J18" s="2" t="s">
        <v>209</v>
      </c>
      <c r="K18" s="7">
        <f>SUMIFS('Data(perSeason,perCrop)'!$A:$A,'Data(perSeason,perCrop)'!$S:$S,Indicators!$B18,'Data(perSeason,perCrop)'!$O:$O,Indicators!K$7,'Data(perSeason,perCrop)'!$C:$C,Indicators!K$3,'Data(perSeason,perCrop)'!$R:$R,"IRRIGATED")</f>
        <v>67.455544868510998</v>
      </c>
      <c r="L18" s="7">
        <f>SUMIFS('Data(perSeason,perCrop)'!$A:$A,'Data(perSeason,perCrop)'!$S:$S,Indicators!$B18,'Data(perSeason,perCrop)'!$O:$O,Indicators!L$7,'Data(perSeason,perCrop)'!$C:$C,Indicators!L$3,'Data(perSeason,perCrop)'!$R:$R,"IRRIGATED")</f>
        <v>14.3835998596191</v>
      </c>
      <c r="M18" s="7">
        <f>SUMIFS('Data(perSeason,perCrop)'!$A:$A,'Data(perSeason,perCrop)'!$S:$S,Indicators!$B18,'Data(perSeason,perCrop)'!$O:$O,Indicators!M$7,'Data(perSeason,perCrop)'!$C:$C,Indicators!M$3,'Data(perSeason,perCrop)'!$R:$R,"IRRIGATED")</f>
        <v>11.209214118742</v>
      </c>
      <c r="N18" s="7">
        <f>SUMIFS('Data(perSeason,perCrop)'!$A:$A,'Data(perSeason,perCrop)'!$S:$S,Indicators!$B18,'Data(perSeason,perCrop)'!$O:$O,Indicators!N$7,'Data(perSeason,perCrop)'!$C:$C,Indicators!N$3,'Data(perSeason,perCrop)'!$R:$R,"IRRIGATED")</f>
        <v>561.88326694162299</v>
      </c>
      <c r="O18" s="7">
        <f>SUMIFS('Data(perSeason,perCrop)'!$A:$A,'Data(perSeason,perCrop)'!$S:$S,Indicators!$B18,'Data(perSeason,perCrop)'!$O:$O,Indicators!O$7,'Data(perSeason,perCrop)'!$C:$C,Indicators!O$3,'Data(perSeason,perCrop)'!$R:$R,"IRRIGATED")</f>
        <v>4053.7929421479998</v>
      </c>
      <c r="P18" s="7">
        <f>SUMIFS('Data(perSeason,perCrop)'!$A:$A,'Data(perSeason,perCrop)'!$S:$S,Indicators!$B18,'Data(perSeason,perCrop)'!$O:$O,Indicators!P$7,'Data(perSeason,perCrop)'!$C:$C,Indicators!P$3,'Data(perSeason,perCrop)'!$R:$R,"IRRIGATED")</f>
        <v>33.569077611655402</v>
      </c>
      <c r="Q18" s="7">
        <f>SUMIFS('Data(perSeason,perCrop)'!$A:$A,'Data(perSeason,perCrop)'!$S:$S,Indicators!$B18,'Data(perSeason,perCrop)'!$O:$O,Indicators!Q$7,'Data(perSeason,perCrop)'!$C:$C,Indicators!Q$3,'Data(perSeason,perCrop)'!$R:$R,"IRRIGATED")</f>
        <v>2093.7227903912999</v>
      </c>
      <c r="R18" s="7">
        <f>SUMIFS('Data(perSeason,perCrop)'!$A:$A,'Data(perSeason,perCrop)'!$S:$S,Indicators!$B18,'Data(perSeason,perCrop)'!$O:$O,Indicators!R$7,'Data(perSeason,perCrop)'!$C:$C,Indicators!R$3,'Data(perSeason,perCrop)'!$R:$R,"IRRIGATED")</f>
        <v>0</v>
      </c>
      <c r="S18" s="62">
        <f>SUMIFS('Data(perSeason,perCrop)'!$A:$A,'Data(perSeason,perCrop)'!$S:$S,Indicators!$B18,'Data(perSeason,perCrop)'!$O:$O,Indicators!S$7,'Data(perSeason,perCrop)'!$C:$C,Indicators!S$3,'Data(perSeason,perCrop)'!$R:$R,"IRRIGATED")</f>
        <v>0</v>
      </c>
      <c r="T18" s="62">
        <f>SUMIFS('Data(perSeason,perCrop)'!$A:$A,'Data(perSeason,perCrop)'!$S:$S,Indicators!$B18,'Data(perSeason,perCrop)'!$O:$O,Indicators!T$7,'Data(perSeason,perCrop)'!$C:$C,Indicators!T$3,'Data(perSeason,perCrop)'!$R:$R,"IRRIGATED")</f>
        <v>2884.3026910335002</v>
      </c>
      <c r="U18" s="62">
        <f>SUMIFS('Data(perSeason,perCrop)'!$A:$A,'Data(perSeason,perCrop)'!$S:$S,Indicators!$B18,'Data(perSeason,perCrop)'!$O:$O,Indicators!U$7,'Data(perSeason,perCrop)'!$C:$C,Indicators!U$3,'Data(perSeason,perCrop)'!$R:$R,"IRRIGATED")</f>
        <v>0</v>
      </c>
      <c r="V18" s="62">
        <f>SUMIFS('Data(perSeason,perCrop)'!$A:$A,'Data(perSeason,perCrop)'!$S:$S,Indicators!$B18,'Data(perSeason,perCrop)'!$O:$O,Indicators!V$7,'Data(perSeason,perCrop)'!$C:$C,Indicators!V$3,'Data(perSeason,perCrop)'!$R:$R,"IRRIGATED")</f>
        <v>0</v>
      </c>
      <c r="W18" s="62">
        <f>SUMIFS('Data(perSeason,perCrop)'!$A:$A,'Data(perSeason,perCrop)'!$S:$S,Indicators!$B18,'Data(perSeason,perCrop)'!$O:$O,Indicators!W$7,'Data(perSeason,perCrop)'!$C:$C,Indicators!W$3,'Data(perSeason,perCrop)'!$R:$R,"IRRIGATED")</f>
        <v>0</v>
      </c>
      <c r="X18" s="62">
        <f>SUMIFS('Data(perSeason,perCrop)'!$A:$A,'Data(perSeason,perCrop)'!$S:$S,Indicators!$B18,'Data(perSeason,perCrop)'!$O:$O,Indicators!X$7,'Data(perSeason,perCrop)'!$C:$C,Indicators!X$3,'Data(perSeason,perCrop)'!$R:$R,"IRRIGATED")</f>
        <v>0</v>
      </c>
      <c r="Y18" s="62">
        <f>SUMIFS('Data(perSeason,perCrop)'!$A:$A,'Data(perSeason,perCrop)'!$S:$S,Indicators!$B18,'Data(perSeason,perCrop)'!$O:$O,Indicators!Y$7,'Data(perSeason,perCrop)'!$C:$C,Indicators!Y$3,'Data(perSeason,perCrop)'!$R:$R,"IRRIGATED")</f>
        <v>0</v>
      </c>
      <c r="Z18" s="62">
        <f>SUMIFS('Data(perSeason,perCrop)'!$A:$A,'Data(perSeason,perCrop)'!$S:$S,Indicators!$B18,'Data(perSeason,perCrop)'!$O:$O,Indicators!Z$7,'Data(perSeason,perCrop)'!$C:$C,Indicators!Z$3,'Data(perSeason,perCrop)'!$R:$R,"IRRIGATED")</f>
        <v>0</v>
      </c>
      <c r="AA18" s="62">
        <f>SUMIFS('Data(perSeason,perCrop)'!$A:$A,'Data(perSeason,perCrop)'!$S:$S,Indicators!$B18,'Data(perSeason,perCrop)'!$O:$O,Indicators!AA$7,'Data(perSeason,perCrop)'!$C:$C,Indicators!AA$3,'Data(perSeason,perCrop)'!$R:$R,"IRRIGATED")</f>
        <v>0</v>
      </c>
      <c r="AB18" s="62">
        <f>SUMIFS('Data(perSeason,perCrop)'!$A:$A,'Data(perSeason,perCrop)'!$S:$S,Indicators!$B18,'Data(perSeason,perCrop)'!$O:$O,Indicators!AB$7,'Data(perSeason,perCrop)'!$C:$C,Indicators!AB$3,'Data(perSeason,perCrop)'!$R:$R,"IRRIGATED")</f>
        <v>0</v>
      </c>
      <c r="AC18" s="62">
        <f>SUMIFS('Data(perSeason,perCrop)'!$A:$A,'Data(perSeason,perCrop)'!$S:$S,Indicators!$B18,'Data(perSeason,perCrop)'!$O:$O,Indicators!AC$7,'Data(perSeason,perCrop)'!$C:$C,Indicators!AC$3,'Data(perSeason,perCrop)'!$R:$R,"IRRIGATED")</f>
        <v>0</v>
      </c>
      <c r="AD18" s="62">
        <f>SUMIFS('Data(perSeason,perCrop)'!$A:$A,'Data(perSeason,perCrop)'!$S:$S,Indicators!$B18,'Data(perSeason,perCrop)'!$O:$O,Indicators!AD$7,'Data(perSeason,perCrop)'!$C:$C,Indicators!AD$3,'Data(perSeason,perCrop)'!$R:$R,"IRRIGATED")</f>
        <v>0</v>
      </c>
      <c r="AE18" s="62">
        <f>SUMIFS('Data(perSeason,perCrop)'!$A:$A,'Data(perSeason,perCrop)'!$S:$S,Indicators!$B18,'Data(perSeason,perCrop)'!$O:$O,Indicators!AE$7,'Data(perSeason,perCrop)'!$C:$C,Indicators!AE$3,'Data(perSeason,perCrop)'!$R:$R,"IRRIGATED")</f>
        <v>0</v>
      </c>
      <c r="AF18" s="62">
        <f>SUMIFS('Data(perSeason,perCrop)'!$A:$A,'Data(perSeason,perCrop)'!$S:$S,Indicators!$B18,'Data(perSeason,perCrop)'!$O:$O,Indicators!AF$7,'Data(perSeason,perCrop)'!$C:$C,Indicators!AF$3,'Data(perSeason,perCrop)'!$R:$R,"IRRIGATED")</f>
        <v>38.392339450474097</v>
      </c>
      <c r="AG18" s="62">
        <f>SUMIFS('Data(perSeason,perCrop)'!$A:$A,'Data(perSeason,perCrop)'!$S:$S,Indicators!$B18,'Data(perSeason,perCrop)'!$O:$O,Indicators!AG$7,'Data(perSeason,perCrop)'!$C:$C,Indicators!AG$3,'Data(perSeason,perCrop)'!$R:$R,"IRRIGATED")</f>
        <v>151.80534748228101</v>
      </c>
      <c r="AH18" s="62">
        <f>SUMIFS('Data(perSeason,perCrop)'!$A:$A,'Data(perSeason,perCrop)'!$S:$S,Indicators!$B18,'Data(perSeason,perCrop)'!$O:$O,Indicators!AH$7,'Data(perSeason,perCrop)'!$C:$C,Indicators!AH$3,'Data(perSeason,perCrop)'!$R:$R,"IRRIGATED")</f>
        <v>0</v>
      </c>
      <c r="AI18" s="62">
        <f>SUMIFS('Data(perSeason,perCrop)'!$A:$A,'Data(perSeason,perCrop)'!$S:$S,Indicators!$B18,'Data(perSeason,perCrop)'!$O:$O,Indicators!AI$7,'Data(perSeason,perCrop)'!$C:$C,Indicators!AI$3,'Data(perSeason,perCrop)'!$R:$R,"IRRIGATED")</f>
        <v>641.35861876530896</v>
      </c>
      <c r="AJ18" s="62">
        <f>SUMIFS('Data(perSeason,perCrop)'!$A:$A,'Data(perSeason,perCrop)'!$S:$S,Indicators!$B18,'Data(perSeason,perCrop)'!$O:$O,Indicators!AJ$7,'Data(perSeason,perCrop)'!$C:$C,Indicators!AJ$3,'Data(perSeason,perCrop)'!$R:$R,"IRRIGATED")</f>
        <v>0</v>
      </c>
      <c r="AK18" s="62">
        <f>SUMIFS('Data(perSeason,perCrop)'!$A:$A,'Data(perSeason,perCrop)'!$S:$S,Indicators!$B18,'Data(perSeason,perCrop)'!$O:$O,Indicators!AK$7,'Data(perSeason,perCrop)'!$C:$C,Indicators!AK$3,'Data(perSeason,perCrop)'!$R:$R,"IRRIGATED")</f>
        <v>0</v>
      </c>
      <c r="AL18" s="62">
        <f>SUMIFS('Data(perSeason,perCrop)'!$A:$A,'Data(perSeason,perCrop)'!$S:$S,Indicators!$B18,'Data(perSeason,perCrop)'!$O:$O,Indicators!AL$7,'Data(perSeason,perCrop)'!$C:$C,Indicators!AL$3,'Data(perSeason,perCrop)'!$R:$R,"IRRIGATED")</f>
        <v>465.10641521983399</v>
      </c>
      <c r="AM18" s="62">
        <f>SUMIFS('Data(perSeason,perCrop)'!$A:$A,'Data(perSeason,perCrop)'!$S:$S,Indicators!$B18,'Data(perSeason,perCrop)'!$O:$O,Indicators!AM$7,'Data(perSeason,perCrop)'!$C:$C,Indicators!AM$3,'Data(perSeason,perCrop)'!$R:$R,"IRRIGATED")</f>
        <v>0</v>
      </c>
      <c r="AN18" s="62">
        <f>SUMIFS('Data(perSeason,perCrop)'!$A:$A,'Data(perSeason,perCrop)'!$S:$S,Indicators!$B18,'Data(perSeason,perCrop)'!$O:$O,Indicators!AN$7,'Data(perSeason,perCrop)'!$C:$C,Indicators!AN$3,'Data(perSeason,perCrop)'!$R:$R,"IRRIGATED")</f>
        <v>0</v>
      </c>
      <c r="AO18" s="62">
        <f>SUMIFS('Data(perSeason,perCrop)'!$A:$A,'Data(perSeason,perCrop)'!$S:$S,Indicators!$B18,'Data(perSeason,perCrop)'!$O:$O,Indicators!AO$7,'Data(perSeason,perCrop)'!$C:$C,Indicators!AO$3,'Data(perSeason,perCrop)'!$R:$R,"IRRIGATED")</f>
        <v>0</v>
      </c>
      <c r="AP18" s="62">
        <f>SUMIFS('Data(perSeason,perCrop)'!$A:$A,'Data(perSeason,perCrop)'!$S:$S,Indicators!$B18,'Data(perSeason,perCrop)'!$O:$O,Indicators!AP$7,'Data(perSeason,perCrop)'!$C:$C,Indicators!AP$3,'Data(perSeason,perCrop)'!$R:$R,"IRRIGATED")</f>
        <v>0</v>
      </c>
      <c r="AQ18" s="62">
        <f>SUMIFS('Data(perSeason,perCrop)'!$A:$A,'Data(perSeason,perCrop)'!$S:$S,Indicators!$B18,'Data(perSeason,perCrop)'!$O:$O,Indicators!AQ$7,'Data(perSeason,perCrop)'!$C:$C,Indicators!AQ$3,'Data(perSeason,perCrop)'!$R:$R,"IRRIGATED")</f>
        <v>0</v>
      </c>
      <c r="AR18" s="62">
        <f>SUMIFS('Data(perSeason,perCrop)'!$A:$A,'Data(perSeason,perCrop)'!$S:$S,Indicators!$B18,'Data(perSeason,perCrop)'!$O:$O,Indicators!AR$7,'Data(perSeason,perCrop)'!$C:$C,Indicators!AR$3,'Data(perSeason,perCrop)'!$R:$R,"IRRIGATED")</f>
        <v>0</v>
      </c>
      <c r="AS18" s="62">
        <f>SUMIFS('Data(perSeason,perCrop)'!$A:$A,'Data(perSeason,perCrop)'!$S:$S,Indicators!$B18,'Data(perSeason,perCrop)'!$O:$O,Indicators!AS$7,'Data(perSeason,perCrop)'!$C:$C,Indicators!AS$3,'Data(perSeason,perCrop)'!$R:$R,"IRRIGATED")</f>
        <v>0</v>
      </c>
      <c r="AT18" s="62">
        <f>SUMIFS('Data(perSeason,perCrop)'!$A:$A,'Data(perSeason,perCrop)'!$S:$S,Indicators!$B18,'Data(perSeason,perCrop)'!$O:$O,Indicators!AT$7,'Data(perSeason,perCrop)'!$C:$C,Indicators!AT$3,'Data(perSeason,perCrop)'!$R:$R,"IRRIGATED")</f>
        <v>0</v>
      </c>
      <c r="AU18" s="62">
        <f>SUMIFS('Data(perSeason,perCrop)'!$A:$A,'Data(perSeason,perCrop)'!$S:$S,Indicators!$B18,'Data(perSeason,perCrop)'!$O:$O,Indicators!AU$7,'Data(perSeason,perCrop)'!$C:$C,Indicators!AU$3,'Data(perSeason,perCrop)'!$R:$R,"IRRIGATED")</f>
        <v>0</v>
      </c>
      <c r="AV18" s="62">
        <f>SUMIFS('Data(perSeason,perCrop)'!$A:$A,'Data(perSeason,perCrop)'!$S:$S,Indicators!$B18,'Data(perSeason,perCrop)'!$O:$O,Indicators!AV$7,'Data(perSeason,perCrop)'!$C:$C,Indicators!AV$3,'Data(perSeason,perCrop)'!$R:$R,"IRRIGATED")</f>
        <v>0</v>
      </c>
      <c r="AW18" s="62">
        <f>SUMIFS('Data(perSeason,perCrop)'!$A:$A,'Data(perSeason,perCrop)'!$S:$S,Indicators!$B18,'Data(perSeason,perCrop)'!$O:$O,Indicators!AW$7,'Data(perSeason,perCrop)'!$C:$C,Indicators!AW$3,'Data(perSeason,perCrop)'!$R:$R,"IRRIGATED")</f>
        <v>0</v>
      </c>
      <c r="AX18" s="7">
        <f>SUMIFS('Data(perSeason,perCrop)'!$A:$A,'Data(perSeason,perCrop)'!$S:$S,Indicators!$B18,'Data(perSeason,perCrop)'!$O:$O,Indicators!AX$7,'Data(perSeason,perCrop)'!$C:$C,Indicators!AX$3,'Data(perSeason,perCrop)'!$R:$R,"IRRIGATED")</f>
        <v>0</v>
      </c>
      <c r="AY18" s="7">
        <f>SUMIFS('Data(perSeason,perCrop)'!$A:$A,'Data(perSeason,perCrop)'!$S:$S,Indicators!$B18,'Data(perSeason,perCrop)'!$O:$O,Indicators!AY$7,'Data(perSeason,perCrop)'!$C:$C,Indicators!AY$3,'Data(perSeason,perCrop)'!$R:$R,"IRRIGATED")</f>
        <v>4563.98623122765</v>
      </c>
      <c r="AZ18" s="7">
        <f>SUMIFS('Data(perSeason,perCrop)'!$A:$A,'Data(perSeason,perCrop)'!$S:$S,Indicators!$B18,'Data(perSeason,perCrop)'!$O:$O,Indicators!AZ$7,'Data(perSeason,perCrop)'!$C:$C,Indicators!AZ$3,'Data(perSeason,perCrop)'!$R:$R,"IRRIGATED")</f>
        <v>0</v>
      </c>
      <c r="BA18" s="7">
        <f>SUMIFS('Data(perSeason,perCrop)'!$A:$A,'Data(perSeason,perCrop)'!$S:$S,Indicators!$B18,'Data(perSeason,perCrop)'!$O:$O,Indicators!BA$7,'Data(perSeason,perCrop)'!$C:$C,Indicators!BA$3,'Data(perSeason,perCrop)'!$R:$R,"IRRIGATED")</f>
        <v>0</v>
      </c>
      <c r="BB18" s="7">
        <f>SUMIFS('Data(perSeason,perCrop)'!$A:$A,'Data(perSeason,perCrop)'!$S:$S,Indicators!$B18,'Data(perSeason,perCrop)'!$O:$O,Indicators!BB$7,'Data(perSeason,perCrop)'!$C:$C,Indicators!BB$3,'Data(perSeason,perCrop)'!$R:$R,"IRRIGATED")</f>
        <v>0</v>
      </c>
      <c r="BC18" s="7">
        <f>SUMIFS('Data(perSeason,perCrop)'!$A:$A,'Data(perSeason,perCrop)'!$S:$S,Indicators!$B18,'Data(perSeason,perCrop)'!$O:$O,Indicators!BC$7,'Data(perSeason,perCrop)'!$C:$C,Indicators!BC$3,'Data(perSeason,perCrop)'!$R:$R,"IRRIGATED")</f>
        <v>0</v>
      </c>
      <c r="BD18" s="7">
        <f>SUMIFS('Data(perSeason,perCrop)'!$A:$A,'Data(perSeason,perCrop)'!$S:$S,Indicators!$B18,'Data(perSeason,perCrop)'!$O:$O,Indicators!BD$7,'Data(perSeason,perCrop)'!$C:$C,Indicators!BD$3,'Data(perSeason,perCrop)'!$R:$R,"IRRIGATED")</f>
        <v>0</v>
      </c>
      <c r="BE18" s="7">
        <f>SUMIFS('Data(perSeason,perCrop)'!$A:$A,'Data(perSeason,perCrop)'!$S:$S,Indicators!$B18,'Data(perSeason,perCrop)'!$O:$O,Indicators!BE$7,'Data(perSeason,perCrop)'!$C:$C,Indicators!BE$3,'Data(perSeason,perCrop)'!$R:$R,"IRRIGATED")</f>
        <v>0</v>
      </c>
      <c r="BF18" s="7">
        <f>SUMIFS('Data(perSeason,perCrop)'!$A:$A,'Data(perSeason,perCrop)'!$S:$S,Indicators!$B18,'Data(perSeason,perCrop)'!$O:$O,Indicators!BF$7,'Data(perSeason,perCrop)'!$C:$C,Indicators!BF$3,'Data(perSeason,perCrop)'!$R:$R,"IRRIGATED")</f>
        <v>0</v>
      </c>
      <c r="BG18" s="7">
        <f>SUMIFS('Data(perSeason,perCrop)'!$A:$A,'Data(perSeason,perCrop)'!$S:$S,Indicators!$B18,'Data(perSeason,perCrop)'!$O:$O,Indicators!BG$7,'Data(perSeason,perCrop)'!$C:$C,Indicators!BG$3,'Data(perSeason,perCrop)'!$R:$R,"IRRIGATED")</f>
        <v>0</v>
      </c>
      <c r="BH18" s="7">
        <f>SUMIFS('Data(perSeason,perCrop)'!$A:$A,'Data(perSeason,perCrop)'!$S:$S,Indicators!$B18,'Data(perSeason,perCrop)'!$O:$O,Indicators!BH$7,'Data(perSeason,perCrop)'!$C:$C,Indicators!BH$3,'Data(perSeason,perCrop)'!$R:$R,"IRRIGATED")</f>
        <v>0</v>
      </c>
      <c r="BI18" s="7">
        <f>SUMIFS('Data(perSeason,perCrop)'!$A:$A,'Data(perSeason,perCrop)'!$S:$S,Indicators!$B18,'Data(perSeason,perCrop)'!$O:$O,Indicators!BI$7,'Data(perSeason,perCrop)'!$C:$C,Indicators!BI$3,'Data(perSeason,perCrop)'!$R:$R,"IRRIGATED")</f>
        <v>0</v>
      </c>
      <c r="BJ18" s="7">
        <f>SUMIFS('Data(perSeason,perCrop)'!$A:$A,'Data(perSeason,perCrop)'!$S:$S,Indicators!$B18,'Data(perSeason,perCrop)'!$O:$O,Indicators!BJ$7,'Data(perSeason,perCrop)'!$C:$C,Indicators!BJ$3,'Data(perSeason,perCrop)'!$R:$R,"IRRIGATED")</f>
        <v>0</v>
      </c>
      <c r="BK18" s="7">
        <f>SUMIFS('Data(perSeason,perCrop)'!$A:$A,'Data(perSeason,perCrop)'!$S:$S,Indicators!$B18,'Data(perSeason,perCrop)'!$O:$O,Indicators!BK$7,'Data(perSeason,perCrop)'!$C:$C,Indicators!BK$3,'Data(perSeason,perCrop)'!$R:$R,"IRRIGATED")</f>
        <v>0</v>
      </c>
      <c r="BL18" s="7">
        <f>SUMIFS('Data(perSeason,perCrop)'!$A:$A,'Data(perSeason,perCrop)'!$S:$S,Indicators!$B18,'Data(perSeason,perCrop)'!$O:$O,Indicators!BL$7,'Data(perSeason,perCrop)'!$C:$C,Indicators!BL$3,'Data(perSeason,perCrop)'!$R:$R,"IRRIGATED")</f>
        <v>58.533568133706403</v>
      </c>
      <c r="BM18" s="7">
        <f>SUMIFS('Data(perSeason,perCrop)'!$A:$A,'Data(perSeason,perCrop)'!$S:$S,Indicators!$B18,'Data(perSeason,perCrop)'!$O:$O,Indicators!BM$7,'Data(perSeason,perCrop)'!$C:$C,Indicators!BM$3,'Data(perSeason,perCrop)'!$R:$R,"IRRIGATED")</f>
        <v>0</v>
      </c>
      <c r="BN18" s="7">
        <f>SUMIFS('Data(perSeason,perCrop)'!$A:$A,'Data(perSeason,perCrop)'!$S:$S,Indicators!$B18,'Data(perSeason,perCrop)'!$O:$O,Indicators!BN$7,'Data(perSeason,perCrop)'!$C:$C,Indicators!BN$3,'Data(perSeason,perCrop)'!$R:$R,"IRRIGATED")</f>
        <v>690.02423692899504</v>
      </c>
      <c r="BO18" s="7">
        <f>SUMIFS('Data(perSeason,perCrop)'!$A:$A,'Data(perSeason,perCrop)'!$S:$S,Indicators!$B18,'Data(perSeason,perCrop)'!$O:$O,Indicators!BO$7,'Data(perSeason,perCrop)'!$C:$C,Indicators!BO$3,'Data(perSeason,perCrop)'!$R:$R,"IRRIGATED")</f>
        <v>0</v>
      </c>
      <c r="BP18" s="7">
        <f>SUMIFS('Data(perSeason,perCrop)'!$A:$A,'Data(perSeason,perCrop)'!$S:$S,Indicators!$B18,'Data(perSeason,perCrop)'!$O:$O,Indicators!BP$7,'Data(perSeason,perCrop)'!$C:$C,Indicators!BP$3,'Data(perSeason,perCrop)'!$R:$R,"IRRIGATED")</f>
        <v>0</v>
      </c>
      <c r="BQ18" s="7">
        <f>SUMIFS('Data(perSeason,perCrop)'!$A:$A,'Data(perSeason,perCrop)'!$S:$S,Indicators!$B18,'Data(perSeason,perCrop)'!$O:$O,Indicators!BQ$7,'Data(perSeason,perCrop)'!$C:$C,Indicators!BQ$3,'Data(perSeason,perCrop)'!$R:$R,"IRRIGATED")</f>
        <v>638.98928018647405</v>
      </c>
      <c r="BR18" s="7">
        <f>SUMIFS('Data(perSeason,perCrop)'!$A:$A,'Data(perSeason,perCrop)'!$S:$S,Indicators!$B18,'Data(perSeason,perCrop)'!$O:$O,Indicators!BR$7,'Data(perSeason,perCrop)'!$C:$C,Indicators!BR$3,'Data(perSeason,perCrop)'!$R:$R,"IRRIGATED")</f>
        <v>0</v>
      </c>
      <c r="BS18" s="7">
        <f>SUMIFS('Data(perSeason,perCrop)'!$A:$A,'Data(perSeason,perCrop)'!$S:$S,Indicators!$B18,'Data(perSeason,perCrop)'!$O:$O,Indicators!BS$7,'Data(perSeason,perCrop)'!$C:$C,Indicators!BS$3,'Data(perSeason,perCrop)'!$R:$R,"IRRIGATED")</f>
        <v>0</v>
      </c>
      <c r="BT18" s="7">
        <f>SUMIFS('Data(perSeason,perCrop)'!$A:$A,'Data(perSeason,perCrop)'!$S:$S,Indicators!$B18,'Data(perSeason,perCrop)'!$O:$O,Indicators!BT$7,'Data(perSeason,perCrop)'!$C:$C,Indicators!BT$3,'Data(perSeason,perCrop)'!$R:$R,"IRRIGATED")</f>
        <v>0</v>
      </c>
      <c r="BU18" s="7">
        <f>SUMIFS('Data(perSeason,perCrop)'!$A:$A,'Data(perSeason,perCrop)'!$S:$S,Indicators!$B18,'Data(perSeason,perCrop)'!$O:$O,Indicators!BU$7,'Data(perSeason,perCrop)'!$C:$C,Indicators!BU$3,'Data(perSeason,perCrop)'!$R:$R,"IRRIGATED")</f>
        <v>0</v>
      </c>
      <c r="BV18" s="7">
        <f>SUMIFS('Data(perSeason,perCrop)'!$A:$A,'Data(perSeason,perCrop)'!$S:$S,Indicators!$B18,'Data(perSeason,perCrop)'!$O:$O,Indicators!BV$7,'Data(perSeason,perCrop)'!$C:$C,Indicators!BV$3,'Data(perSeason,perCrop)'!$R:$R,"IRRIGATED")</f>
        <v>0</v>
      </c>
      <c r="BW18" s="7">
        <f>SUMIFS('Data(perSeason,perCrop)'!$A:$A,'Data(perSeason,perCrop)'!$S:$S,Indicators!$B18,'Data(perSeason,perCrop)'!$O:$O,Indicators!BW$7,'Data(perSeason,perCrop)'!$C:$C,Indicators!BW$3,'Data(perSeason,perCrop)'!$R:$R,"IRRIGATED")</f>
        <v>0</v>
      </c>
      <c r="BX18" s="7">
        <f>SUMIFS('Data(perSeason,perCrop)'!$A:$A,'Data(perSeason,perCrop)'!$S:$S,Indicators!$B18,'Data(perSeason,perCrop)'!$O:$O,Indicators!BX$7,'Data(perSeason,perCrop)'!$C:$C,Indicators!BX$3,'Data(perSeason,perCrop)'!$R:$R,"IRRIGATED")</f>
        <v>0</v>
      </c>
      <c r="BY18" s="7">
        <f>SUMIFS('Data(perSeason,perCrop)'!$A:$A,'Data(perSeason,perCrop)'!$S:$S,Indicators!$B18,'Data(perSeason,perCrop)'!$O:$O,Indicators!BY$7,'Data(perSeason,perCrop)'!$C:$C,Indicators!BY$3,'Data(perSeason,perCrop)'!$R:$R,"IRRIGATED")</f>
        <v>0</v>
      </c>
      <c r="BZ18" s="7">
        <f>SUMIFS('Data(perSeason,perCrop)'!$A:$A,'Data(perSeason,perCrop)'!$S:$S,Indicators!$B18,'Data(perSeason,perCrop)'!$O:$O,Indicators!BZ$7,'Data(perSeason,perCrop)'!$C:$C,Indicators!BZ$3,'Data(perSeason,perCrop)'!$R:$R,"IRRIGATED")</f>
        <v>0</v>
      </c>
      <c r="CA18" s="7">
        <f>SUMIFS('Data(perSeason,perCrop)'!$A:$A,'Data(perSeason,perCrop)'!$S:$S,Indicators!$B18,'Data(perSeason,perCrop)'!$O:$O,Indicators!CA$7,'Data(perSeason,perCrop)'!$C:$C,Indicators!CA$3,'Data(perSeason,perCrop)'!$R:$R,"IRRIGATED")</f>
        <v>0</v>
      </c>
      <c r="CB18" s="7">
        <f>SUMIFS('Data(perSeason,perCrop)'!$A:$A,'Data(perSeason,perCrop)'!$S:$S,Indicators!$B18,'Data(perSeason,perCrop)'!$O:$O,Indicators!CB$7,'Data(perSeason,perCrop)'!$C:$C,Indicators!CB$3,'Data(perSeason,perCrop)'!$R:$R,"IRRIGATED")</f>
        <v>0</v>
      </c>
      <c r="CC18" s="7">
        <f>SUMIFS('Data(perSeason,perCrop)'!$A:$A,'Data(perSeason,perCrop)'!$S:$S,Indicators!$B18,'Data(perSeason,perCrop)'!$O:$O,Indicators!CC$7,'Data(perSeason,perCrop)'!$C:$C,Indicators!CC$3,'Data(perSeason,perCrop)'!$R:$R,"IRRIGATED")</f>
        <v>0</v>
      </c>
      <c r="CD18" s="7">
        <f>SUMIFS('Data(perSeason,perCrop)'!$A:$A,'Data(perSeason,perCrop)'!$S:$S,Indicators!$B18,'Data(perSeason,perCrop)'!$O:$O,Indicators!CD$7,'Data(perSeason,perCrop)'!$C:$C,Indicators!CD$3,'Data(perSeason,perCrop)'!$R:$R,"IRRIGATED")</f>
        <v>0</v>
      </c>
      <c r="CE18" s="7">
        <f>SUMIFS('Data(perSeason,perCrop)'!$A:$A,'Data(perSeason,perCrop)'!$S:$S,Indicators!$B18,'Data(perSeason,perCrop)'!$O:$O,Indicators!CE$7,'Data(perSeason,perCrop)'!$C:$C,Indicators!CE$3,'Data(perSeason,perCrop)'!$R:$R,"IRRIGATED")</f>
        <v>0</v>
      </c>
      <c r="CF18" s="7">
        <f>SUMIFS('Data(perSeason,perCrop)'!$A:$A,'Data(perSeason,perCrop)'!$S:$S,Indicators!$B18,'Data(perSeason,perCrop)'!$O:$O,Indicators!CF$7,'Data(perSeason,perCrop)'!$C:$C,Indicators!CF$3,'Data(perSeason,perCrop)'!$R:$R,"IRRIGATED")</f>
        <v>0</v>
      </c>
      <c r="CG18" s="7">
        <f>SUMIFS('Data(perSeason,perCrop)'!$A:$A,'Data(perSeason,perCrop)'!$S:$S,Indicators!$B18,'Data(perSeason,perCrop)'!$O:$O,Indicators!CG$7,'Data(perSeason,perCrop)'!$C:$C,Indicators!CG$3,'Data(perSeason,perCrop)'!$R:$R,"IRRIGATED")</f>
        <v>0</v>
      </c>
      <c r="CH18" s="7">
        <f>SUMIFS('Data(perSeason,perCrop)'!$A:$A,'Data(perSeason,perCrop)'!$S:$S,Indicators!$B18,'Data(perSeason,perCrop)'!$O:$O,Indicators!CH$7,'Data(perSeason,perCrop)'!$C:$C,Indicators!CH$3,'Data(perSeason,perCrop)'!$R:$R,"IRRIGATED")</f>
        <v>0</v>
      </c>
      <c r="CI18" s="7">
        <f>SUMIFS('Data(perSeason,perCrop)'!$A:$A,'Data(perSeason,perCrop)'!$S:$S,Indicators!$B18,'Data(perSeason,perCrop)'!$O:$O,Indicators!CI$7,'Data(perSeason,perCrop)'!$C:$C,Indicators!CI$3,'Data(perSeason,perCrop)'!$R:$R,"IRRIGATED")</f>
        <v>0</v>
      </c>
      <c r="CJ18" s="7">
        <f>SUMIFS('Data(perSeason,perCrop)'!$A:$A,'Data(perSeason,perCrop)'!$S:$S,Indicators!$B18,'Data(perSeason,perCrop)'!$O:$O,Indicators!CJ$7,'Data(perSeason,perCrop)'!$C:$C,Indicators!CJ$3,'Data(perSeason,perCrop)'!$R:$R,"IRRIGATED")</f>
        <v>0</v>
      </c>
      <c r="CK18" s="7">
        <f>SUMIFS('Data(perSeason,perCrop)'!$A:$A,'Data(perSeason,perCrop)'!$S:$S,Indicators!$B18,'Data(perSeason,perCrop)'!$O:$O,Indicators!CK$7,'Data(perSeason,perCrop)'!$C:$C,Indicators!CK$3,'Data(perSeason,perCrop)'!$R:$R,"IRRIGATED")</f>
        <v>0</v>
      </c>
      <c r="CL18" s="7">
        <f>SUMIFS('Data(perSeason,perCrop)'!$A:$A,'Data(perSeason,perCrop)'!$S:$S,Indicators!$B18,'Data(perSeason,perCrop)'!$O:$O,Indicators!CL$7,'Data(perSeason,perCrop)'!$C:$C,Indicators!CL$3,'Data(perSeason,perCrop)'!$R:$R,"IRRIGATED")</f>
        <v>0</v>
      </c>
      <c r="CM18" s="7">
        <f>SUMIFS('Data(perSeason,perCrop)'!$A:$A,'Data(perSeason,perCrop)'!$S:$S,Indicators!$B18,'Data(perSeason,perCrop)'!$O:$O,Indicators!CM$7,'Data(perSeason,perCrop)'!$C:$C,Indicators!CM$3,'Data(perSeason,perCrop)'!$R:$R,"IRRIGATED")</f>
        <v>0</v>
      </c>
      <c r="CN18" s="7">
        <f>SUMIFS('Data(perSeason,perCrop)'!$A:$A,'Data(perSeason,perCrop)'!$S:$S,Indicators!$B18,'Data(perSeason,perCrop)'!$O:$O,Indicators!CN$7,'Data(perSeason,perCrop)'!$C:$C,Indicators!CN$3,'Data(perSeason,perCrop)'!$R:$R,"IRRIGATED")</f>
        <v>0</v>
      </c>
      <c r="CO18" s="7">
        <f>SUMIFS('Data(perSeason,perCrop)'!$A:$A,'Data(perSeason,perCrop)'!$S:$S,Indicators!$B18,'Data(perSeason,perCrop)'!$O:$O,Indicators!CO$7,'Data(perSeason,perCrop)'!$C:$C,Indicators!CO$3,'Data(perSeason,perCrop)'!$R:$R,"IRRIGATED")</f>
        <v>0</v>
      </c>
      <c r="CP18" s="7">
        <f>SUMIFS('Data(perSeason,perCrop)'!$A:$A,'Data(perSeason,perCrop)'!$S:$S,Indicators!$B18,'Data(perSeason,perCrop)'!$O:$O,Indicators!CP$7,'Data(perSeason,perCrop)'!$C:$C,Indicators!CP$3,'Data(perSeason,perCrop)'!$R:$R,"IRRIGATED")</f>
        <v>1482.5523249263899</v>
      </c>
      <c r="CQ18" s="7">
        <f>SUMIFS('Data(perSeason,perCrop)'!$A:$A,'Data(perSeason,perCrop)'!$S:$S,Indicators!$B18,'Data(perSeason,perCrop)'!$O:$O,Indicators!CQ$7,'Data(perSeason,perCrop)'!$C:$C,Indicators!CQ$3,'Data(perSeason,perCrop)'!$R:$R,"IRRIGATED")</f>
        <v>46.674837371984701</v>
      </c>
      <c r="CR18" s="7">
        <f>SUMIFS('Data(perSeason,perCrop)'!$A:$A,'Data(perSeason,perCrop)'!$S:$S,Indicators!$B18,'Data(perSeason,perCrop)'!$O:$O,Indicators!CR$7,'Data(perSeason,perCrop)'!$C:$C,Indicators!CR$3,'Data(perSeason,perCrop)'!$R:$R,"IRRIGATED")</f>
        <v>0</v>
      </c>
      <c r="CS18" s="7">
        <f>SUMIFS('Data(perSeason,perCrop)'!$A:$A,'Data(perSeason,perCrop)'!$S:$S,Indicators!$B18,'Data(perSeason,perCrop)'!$O:$O,Indicators!CS$7,'Data(perSeason,perCrop)'!$C:$C,Indicators!CS$3,'Data(perSeason,perCrop)'!$R:$R,"IRRIGATED")</f>
        <v>81.540190848801501</v>
      </c>
      <c r="CT18" s="7">
        <f>SUMIFS('Data(perSeason,perCrop)'!$A:$A,'Data(perSeason,perCrop)'!$S:$S,Indicators!$B18,'Data(perSeason,perCrop)'!$O:$O,Indicators!CT$7,'Data(perSeason,perCrop)'!$C:$C,Indicators!CT$3,'Data(perSeason,perCrop)'!$R:$R,"IRRIGATED")</f>
        <v>0</v>
      </c>
      <c r="CU18" s="7">
        <f>SUMIFS('Data(perSeason,perCrop)'!$A:$A,'Data(perSeason,perCrop)'!$S:$S,Indicators!$B18,'Data(perSeason,perCrop)'!$O:$O,Indicators!CU$7,'Data(perSeason,perCrop)'!$C:$C,Indicators!CU$3,'Data(perSeason,perCrop)'!$R:$R,"IRRIGATED")</f>
        <v>0</v>
      </c>
      <c r="CV18" s="7">
        <f>SUMIFS('Data(perSeason,perCrop)'!$A:$A,'Data(perSeason,perCrop)'!$S:$S,Indicators!$B18,'Data(perSeason,perCrop)'!$O:$O,Indicators!CV$7,'Data(perSeason,perCrop)'!$C:$C,Indicators!CV$3,'Data(perSeason,perCrop)'!$R:$R,"IRRIGATED")</f>
        <v>744.45875800567205</v>
      </c>
      <c r="CW18" s="7">
        <f>SUMIFS('Data(perSeason,perCrop)'!$A:$A,'Data(perSeason,perCrop)'!$S:$S,Indicators!$B18,'Data(perSeason,perCrop)'!$O:$O,Indicators!CW$7,'Data(perSeason,perCrop)'!$C:$C,Indicators!CW$3,'Data(perSeason,perCrop)'!$R:$R,"IRRIGATED")</f>
        <v>0</v>
      </c>
      <c r="CX18" s="7">
        <f>SUMIFS('Data(perSeason,perCrop)'!$A:$A,'Data(perSeason,perCrop)'!$S:$S,Indicators!$B18,'Data(perSeason,perCrop)'!$O:$O,Indicators!CX$7,'Data(perSeason,perCrop)'!$C:$C,Indicators!CX$3,'Data(perSeason,perCrop)'!$R:$R,"IRRIGATED")</f>
        <v>0</v>
      </c>
      <c r="CY18" s="7">
        <f>SUMIFS('Data(perSeason,perCrop)'!$A:$A,'Data(perSeason,perCrop)'!$S:$S,Indicators!$B18,'Data(perSeason,perCrop)'!$O:$O,Indicators!CY$7,'Data(perSeason,perCrop)'!$C:$C,Indicators!CY$3,'Data(perSeason,perCrop)'!$R:$R,"IRRIGATED")</f>
        <v>0</v>
      </c>
      <c r="CZ18" s="7">
        <f>SUMIFS('Data(perSeason,perCrop)'!$A:$A,'Data(perSeason,perCrop)'!$S:$S,Indicators!$B18,'Data(perSeason,perCrop)'!$O:$O,Indicators!CZ$7,'Data(perSeason,perCrop)'!$C:$C,Indicators!CZ$3,'Data(perSeason,perCrop)'!$R:$R,"IRRIGATED")</f>
        <v>0</v>
      </c>
      <c r="DA18" s="7">
        <f>SUMIFS('Data(perSeason,perCrop)'!$A:$A,'Data(perSeason,perCrop)'!$S:$S,Indicators!$B18,'Data(perSeason,perCrop)'!$O:$O,Indicators!DA$7,'Data(perSeason,perCrop)'!$C:$C,Indicators!DA$3,'Data(perSeason,perCrop)'!$R:$R,"IRRIGATED")</f>
        <v>0</v>
      </c>
      <c r="DB18" s="7">
        <f>SUMIFS('Data(perSeason,perCrop)'!$A:$A,'Data(perSeason,perCrop)'!$S:$S,Indicators!$B18,'Data(perSeason,perCrop)'!$O:$O,Indicators!DB$7,'Data(perSeason,perCrop)'!$C:$C,Indicators!DB$3,'Data(perSeason,perCrop)'!$R:$R,"IRRIGATED")</f>
        <v>0</v>
      </c>
      <c r="DC18" s="7">
        <f>SUMIFS('Data(perSeason,perCrop)'!$A:$A,'Data(perSeason,perCrop)'!$S:$S,Indicators!$B18,'Data(perSeason,perCrop)'!$O:$O,Indicators!DC$7,'Data(perSeason,perCrop)'!$C:$C,Indicators!DC$3,'Data(perSeason,perCrop)'!$R:$R,"IRRIGATED")</f>
        <v>0</v>
      </c>
      <c r="DD18" s="7">
        <f>SUMIFS('Data(perSeason,perCrop)'!$A:$A,'Data(perSeason,perCrop)'!$S:$S,Indicators!$B18,'Data(perSeason,perCrop)'!$O:$O,Indicators!DD$7,'Data(perSeason,perCrop)'!$C:$C,Indicators!DD$3,'Data(perSeason,perCrop)'!$R:$R,"IRRIGATED")</f>
        <v>0</v>
      </c>
      <c r="DE18" s="7">
        <f>SUMIFS('Data(perSeason,perCrop)'!$A:$A,'Data(perSeason,perCrop)'!$S:$S,Indicators!$B18,'Data(perSeason,perCrop)'!$O:$O,Indicators!DE$7,'Data(perSeason,perCrop)'!$C:$C,Indicators!DE$3,'Data(perSeason,perCrop)'!$R:$R,"IRRIGATED")</f>
        <v>0</v>
      </c>
      <c r="DF18" s="7">
        <f>SUMIFS('Data(perSeason,perCrop)'!$A:$A,'Data(perSeason,perCrop)'!$S:$S,Indicators!$B18,'Data(perSeason,perCrop)'!$O:$O,Indicators!DF$7,'Data(perSeason,perCrop)'!$C:$C,Indicators!DF$3,'Data(perSeason,perCrop)'!$R:$R,"IRRIGATED")</f>
        <v>0</v>
      </c>
      <c r="DG18" s="7">
        <f>SUMIFS('Data(perSeason,perCrop)'!$A:$A,'Data(perSeason,perCrop)'!$S:$S,Indicators!$B18,'Data(perSeason,perCrop)'!$O:$O,Indicators!DG$7,'Data(perSeason,perCrop)'!$C:$C,Indicators!DG$3,'Data(perSeason,perCrop)'!$R:$R,"IRRIGATED")</f>
        <v>0</v>
      </c>
    </row>
    <row r="19" spans="1:111" x14ac:dyDescent="0.25">
      <c r="B19">
        <v>2022</v>
      </c>
      <c r="C19" s="7">
        <f>IF(COUNTIFS('Data(perSeason,perCrop)'!$S:$S,Indicators!$B19)&gt;0,SUMIFS('Data(perSeason,perCrop)'!$A:$A,'Data(perSeason,perCrop)'!$S:$S,Indicators!$B19,'Data(perSeason,perCrop)'!$O:$O,Indicators!C$7,'Data(perSeason,perCrop)'!$R:$R,"IRRIGATED"),"")</f>
        <v>5941.4719364534976</v>
      </c>
      <c r="D19" s="7">
        <f>IF(COUNTIFS('Data(perSeason,perCrop)'!$S:$S,Indicators!$B19)&gt;0,SUMIFS('Data(perSeason,perCrop)'!$A:$A,'Data(perSeason,perCrop)'!$S:$S,Indicators!$B19,'Data(perSeason,perCrop)'!$O:$O,Indicators!D$7,'Data(perSeason,perCrop)'!$R:$R,"IRRIGATED"),"")</f>
        <v>7224.7288709716768</v>
      </c>
      <c r="E19" s="7">
        <f>IF(COUNTIFS('Data(perSeason,perCrop)'!$S:$S,Indicators!$B19)&gt;0,SUMIFS('Data(perSeason,perCrop)'!$A:$A,'Data(perSeason,perCrop)'!$S:$S,Indicators!$B19,'Data(perSeason,perCrop)'!$O:$O,Indicators!E$7,'Data(perSeason,perCrop)'!$R:$R,"IRRIGATED"),"")</f>
        <v>4255.8916632600549</v>
      </c>
      <c r="F19" s="7">
        <f>IF(COUNTIFS('Data(perSeason,perCrop)'!$S:$S,Indicators!$B19)&gt;0,SUM(K19:R19),"")</f>
        <v>9452.2954386072561</v>
      </c>
      <c r="G19" s="7"/>
      <c r="H19" s="7"/>
      <c r="J19" s="2" t="s">
        <v>209</v>
      </c>
      <c r="K19" s="7">
        <f>SUMIFS('Data(perSeason,perCrop)'!$A:$A,'Data(perSeason,perCrop)'!$S:$S,Indicators!$B19,'Data(perSeason,perCrop)'!$O:$O,Indicators!K$7,'Data(perSeason,perCrop)'!$C:$C,Indicators!K$3,'Data(perSeason,perCrop)'!$R:$R,"IRRIGATED")</f>
        <v>0</v>
      </c>
      <c r="L19" s="7">
        <f>SUMIFS('Data(perSeason,perCrop)'!$A:$A,'Data(perSeason,perCrop)'!$S:$S,Indicators!$B19,'Data(perSeason,perCrop)'!$O:$O,Indicators!L$7,'Data(perSeason,perCrop)'!$C:$C,Indicators!L$3,'Data(perSeason,perCrop)'!$R:$R,"IRRIGATED")</f>
        <v>0</v>
      </c>
      <c r="M19" s="7">
        <f>SUMIFS('Data(perSeason,perCrop)'!$A:$A,'Data(perSeason,perCrop)'!$S:$S,Indicators!$B19,'Data(perSeason,perCrop)'!$O:$O,Indicators!M$7,'Data(perSeason,perCrop)'!$C:$C,Indicators!M$3,'Data(perSeason,perCrop)'!$R:$R,"IRRIGATED")</f>
        <v>0</v>
      </c>
      <c r="N19" s="7">
        <f>SUMIFS('Data(perSeason,perCrop)'!$A:$A,'Data(perSeason,perCrop)'!$S:$S,Indicators!$B19,'Data(perSeason,perCrop)'!$O:$O,Indicators!N$7,'Data(perSeason,perCrop)'!$C:$C,Indicators!N$3,'Data(perSeason,perCrop)'!$R:$R,"IRRIGATED")</f>
        <v>597.415349417936</v>
      </c>
      <c r="O19" s="7">
        <f>SUMIFS('Data(perSeason,perCrop)'!$A:$A,'Data(perSeason,perCrop)'!$S:$S,Indicators!$B19,'Data(perSeason,perCrop)'!$O:$O,Indicators!O$7,'Data(perSeason,perCrop)'!$C:$C,Indicators!O$3,'Data(perSeason,perCrop)'!$R:$R,"IRRIGATED")</f>
        <v>4785.7117038593497</v>
      </c>
      <c r="P19" s="7">
        <f>SUMIFS('Data(perSeason,perCrop)'!$A:$A,'Data(perSeason,perCrop)'!$S:$S,Indicators!$B19,'Data(perSeason,perCrop)'!$O:$O,Indicators!P$7,'Data(perSeason,perCrop)'!$C:$C,Indicators!P$3,'Data(perSeason,perCrop)'!$R:$R,"IRRIGATED")</f>
        <v>0</v>
      </c>
      <c r="Q19" s="7">
        <f>SUMIFS('Data(perSeason,perCrop)'!$A:$A,'Data(perSeason,perCrop)'!$S:$S,Indicators!$B19,'Data(perSeason,perCrop)'!$O:$O,Indicators!Q$7,'Data(perSeason,perCrop)'!$C:$C,Indicators!Q$3,'Data(perSeason,perCrop)'!$R:$R,"IRRIGATED")</f>
        <v>4069.1683853299701</v>
      </c>
      <c r="R19" s="7">
        <f>SUMIFS('Data(perSeason,perCrop)'!$A:$A,'Data(perSeason,perCrop)'!$S:$S,Indicators!$B19,'Data(perSeason,perCrop)'!$O:$O,Indicators!R$7,'Data(perSeason,perCrop)'!$C:$C,Indicators!R$3,'Data(perSeason,perCrop)'!$R:$R,"IRRIGATED")</f>
        <v>0</v>
      </c>
      <c r="S19" s="62">
        <f>SUMIFS('Data(perSeason,perCrop)'!$A:$A,'Data(perSeason,perCrop)'!$S:$S,Indicators!$B19,'Data(perSeason,perCrop)'!$O:$O,Indicators!S$7,'Data(perSeason,perCrop)'!$C:$C,Indicators!S$3,'Data(perSeason,perCrop)'!$R:$R,"IRRIGATED")</f>
        <v>0</v>
      </c>
      <c r="T19" s="62">
        <f>SUMIFS('Data(perSeason,perCrop)'!$A:$A,'Data(perSeason,perCrop)'!$S:$S,Indicators!$B19,'Data(perSeason,perCrop)'!$O:$O,Indicators!T$7,'Data(perSeason,perCrop)'!$C:$C,Indicators!T$3,'Data(perSeason,perCrop)'!$R:$R,"IRRIGATED")</f>
        <v>4004.6214826463402</v>
      </c>
      <c r="U19" s="62">
        <f>SUMIFS('Data(perSeason,perCrop)'!$A:$A,'Data(perSeason,perCrop)'!$S:$S,Indicators!$B19,'Data(perSeason,perCrop)'!$O:$O,Indicators!U$7,'Data(perSeason,perCrop)'!$C:$C,Indicators!U$3,'Data(perSeason,perCrop)'!$R:$R,"IRRIGATED")</f>
        <v>0</v>
      </c>
      <c r="V19" s="62">
        <f>SUMIFS('Data(perSeason,perCrop)'!$A:$A,'Data(perSeason,perCrop)'!$S:$S,Indicators!$B19,'Data(perSeason,perCrop)'!$O:$O,Indicators!V$7,'Data(perSeason,perCrop)'!$C:$C,Indicators!V$3,'Data(perSeason,perCrop)'!$R:$R,"IRRIGATED")</f>
        <v>0</v>
      </c>
      <c r="W19" s="62">
        <f>SUMIFS('Data(perSeason,perCrop)'!$A:$A,'Data(perSeason,perCrop)'!$S:$S,Indicators!$B19,'Data(perSeason,perCrop)'!$O:$O,Indicators!W$7,'Data(perSeason,perCrop)'!$C:$C,Indicators!W$3,'Data(perSeason,perCrop)'!$R:$R,"IRRIGATED")</f>
        <v>0</v>
      </c>
      <c r="X19" s="62">
        <f>SUMIFS('Data(perSeason,perCrop)'!$A:$A,'Data(perSeason,perCrop)'!$S:$S,Indicators!$B19,'Data(perSeason,perCrop)'!$O:$O,Indicators!X$7,'Data(perSeason,perCrop)'!$C:$C,Indicators!X$3,'Data(perSeason,perCrop)'!$R:$R,"IRRIGATED")</f>
        <v>0</v>
      </c>
      <c r="Y19" s="62">
        <f>SUMIFS('Data(perSeason,perCrop)'!$A:$A,'Data(perSeason,perCrop)'!$S:$S,Indicators!$B19,'Data(perSeason,perCrop)'!$O:$O,Indicators!Y$7,'Data(perSeason,perCrop)'!$C:$C,Indicators!Y$3,'Data(perSeason,perCrop)'!$R:$R,"IRRIGATED")</f>
        <v>0</v>
      </c>
      <c r="Z19" s="62">
        <f>SUMIFS('Data(perSeason,perCrop)'!$A:$A,'Data(perSeason,perCrop)'!$S:$S,Indicators!$B19,'Data(perSeason,perCrop)'!$O:$O,Indicators!Z$7,'Data(perSeason,perCrop)'!$C:$C,Indicators!Z$3,'Data(perSeason,perCrop)'!$R:$R,"IRRIGATED")</f>
        <v>0</v>
      </c>
      <c r="AA19" s="62">
        <f>SUMIFS('Data(perSeason,perCrop)'!$A:$A,'Data(perSeason,perCrop)'!$S:$S,Indicators!$B19,'Data(perSeason,perCrop)'!$O:$O,Indicators!AA$7,'Data(perSeason,perCrop)'!$C:$C,Indicators!AA$3,'Data(perSeason,perCrop)'!$R:$R,"IRRIGATED")</f>
        <v>0</v>
      </c>
      <c r="AB19" s="62">
        <f>SUMIFS('Data(perSeason,perCrop)'!$A:$A,'Data(perSeason,perCrop)'!$S:$S,Indicators!$B19,'Data(perSeason,perCrop)'!$O:$O,Indicators!AB$7,'Data(perSeason,perCrop)'!$C:$C,Indicators!AB$3,'Data(perSeason,perCrop)'!$R:$R,"IRRIGATED")</f>
        <v>0</v>
      </c>
      <c r="AC19" s="62">
        <f>SUMIFS('Data(perSeason,perCrop)'!$A:$A,'Data(perSeason,perCrop)'!$S:$S,Indicators!$B19,'Data(perSeason,perCrop)'!$O:$O,Indicators!AC$7,'Data(perSeason,perCrop)'!$C:$C,Indicators!AC$3,'Data(perSeason,perCrop)'!$R:$R,"IRRIGATED")</f>
        <v>0</v>
      </c>
      <c r="AD19" s="62">
        <f>SUMIFS('Data(perSeason,perCrop)'!$A:$A,'Data(perSeason,perCrop)'!$S:$S,Indicators!$B19,'Data(perSeason,perCrop)'!$O:$O,Indicators!AD$7,'Data(perSeason,perCrop)'!$C:$C,Indicators!AD$3,'Data(perSeason,perCrop)'!$R:$R,"IRRIGATED")</f>
        <v>0</v>
      </c>
      <c r="AE19" s="62">
        <f>SUMIFS('Data(perSeason,perCrop)'!$A:$A,'Data(perSeason,perCrop)'!$S:$S,Indicators!$B19,'Data(perSeason,perCrop)'!$O:$O,Indicators!AE$7,'Data(perSeason,perCrop)'!$C:$C,Indicators!AE$3,'Data(perSeason,perCrop)'!$R:$R,"IRRIGATED")</f>
        <v>0</v>
      </c>
      <c r="AF19" s="62">
        <f>SUMIFS('Data(perSeason,perCrop)'!$A:$A,'Data(perSeason,perCrop)'!$S:$S,Indicators!$B19,'Data(perSeason,perCrop)'!$O:$O,Indicators!AF$7,'Data(perSeason,perCrop)'!$C:$C,Indicators!AF$3,'Data(perSeason,perCrop)'!$R:$R,"IRRIGATED")</f>
        <v>20.909661400376802</v>
      </c>
      <c r="AG19" s="62">
        <f>SUMIFS('Data(perSeason,perCrop)'!$A:$A,'Data(perSeason,perCrop)'!$S:$S,Indicators!$B19,'Data(perSeason,perCrop)'!$O:$O,Indicators!AG$7,'Data(perSeason,perCrop)'!$C:$C,Indicators!AG$3,'Data(perSeason,perCrop)'!$R:$R,"IRRIGATED")</f>
        <v>224.788807397954</v>
      </c>
      <c r="AH19" s="62">
        <f>SUMIFS('Data(perSeason,perCrop)'!$A:$A,'Data(perSeason,perCrop)'!$S:$S,Indicators!$B19,'Data(perSeason,perCrop)'!$O:$O,Indicators!AH$7,'Data(perSeason,perCrop)'!$C:$C,Indicators!AH$3,'Data(perSeason,perCrop)'!$R:$R,"IRRIGATED")</f>
        <v>0</v>
      </c>
      <c r="AI19" s="62">
        <f>SUMIFS('Data(perSeason,perCrop)'!$A:$A,'Data(perSeason,perCrop)'!$S:$S,Indicators!$B19,'Data(perSeason,perCrop)'!$O:$O,Indicators!AI$7,'Data(perSeason,perCrop)'!$C:$C,Indicators!AI$3,'Data(perSeason,perCrop)'!$R:$R,"IRRIGATED")</f>
        <v>594.24039549012696</v>
      </c>
      <c r="AJ19" s="62">
        <f>SUMIFS('Data(perSeason,perCrop)'!$A:$A,'Data(perSeason,perCrop)'!$S:$S,Indicators!$B19,'Data(perSeason,perCrop)'!$O:$O,Indicators!AJ$7,'Data(perSeason,perCrop)'!$C:$C,Indicators!AJ$3,'Data(perSeason,perCrop)'!$R:$R,"IRRIGATED")</f>
        <v>0</v>
      </c>
      <c r="AK19" s="62">
        <f>SUMIFS('Data(perSeason,perCrop)'!$A:$A,'Data(perSeason,perCrop)'!$S:$S,Indicators!$B19,'Data(perSeason,perCrop)'!$O:$O,Indicators!AK$7,'Data(perSeason,perCrop)'!$C:$C,Indicators!AK$3,'Data(perSeason,perCrop)'!$R:$R,"IRRIGATED")</f>
        <v>0</v>
      </c>
      <c r="AL19" s="62">
        <f>SUMIFS('Data(perSeason,perCrop)'!$A:$A,'Data(perSeason,perCrop)'!$S:$S,Indicators!$B19,'Data(perSeason,perCrop)'!$O:$O,Indicators!AL$7,'Data(perSeason,perCrop)'!$C:$C,Indicators!AL$3,'Data(perSeason,perCrop)'!$R:$R,"IRRIGATED")</f>
        <v>1096.9115895187001</v>
      </c>
      <c r="AM19" s="62">
        <f>SUMIFS('Data(perSeason,perCrop)'!$A:$A,'Data(perSeason,perCrop)'!$S:$S,Indicators!$B19,'Data(perSeason,perCrop)'!$O:$O,Indicators!AM$7,'Data(perSeason,perCrop)'!$C:$C,Indicators!AM$3,'Data(perSeason,perCrop)'!$R:$R,"IRRIGATED")</f>
        <v>0</v>
      </c>
      <c r="AN19" s="62">
        <f>SUMIFS('Data(perSeason,perCrop)'!$A:$A,'Data(perSeason,perCrop)'!$S:$S,Indicators!$B19,'Data(perSeason,perCrop)'!$O:$O,Indicators!AN$7,'Data(perSeason,perCrop)'!$C:$C,Indicators!AN$3,'Data(perSeason,perCrop)'!$R:$R,"IRRIGATED")</f>
        <v>0</v>
      </c>
      <c r="AO19" s="62">
        <f>SUMIFS('Data(perSeason,perCrop)'!$A:$A,'Data(perSeason,perCrop)'!$S:$S,Indicators!$B19,'Data(perSeason,perCrop)'!$O:$O,Indicators!AO$7,'Data(perSeason,perCrop)'!$C:$C,Indicators!AO$3,'Data(perSeason,perCrop)'!$R:$R,"IRRIGATED")</f>
        <v>0</v>
      </c>
      <c r="AP19" s="62">
        <f>SUMIFS('Data(perSeason,perCrop)'!$A:$A,'Data(perSeason,perCrop)'!$S:$S,Indicators!$B19,'Data(perSeason,perCrop)'!$O:$O,Indicators!AP$7,'Data(perSeason,perCrop)'!$C:$C,Indicators!AP$3,'Data(perSeason,perCrop)'!$R:$R,"IRRIGATED")</f>
        <v>0</v>
      </c>
      <c r="AQ19" s="62">
        <f>SUMIFS('Data(perSeason,perCrop)'!$A:$A,'Data(perSeason,perCrop)'!$S:$S,Indicators!$B19,'Data(perSeason,perCrop)'!$O:$O,Indicators!AQ$7,'Data(perSeason,perCrop)'!$C:$C,Indicators!AQ$3,'Data(perSeason,perCrop)'!$R:$R,"IRRIGATED")</f>
        <v>0</v>
      </c>
      <c r="AR19" s="62">
        <f>SUMIFS('Data(perSeason,perCrop)'!$A:$A,'Data(perSeason,perCrop)'!$S:$S,Indicators!$B19,'Data(perSeason,perCrop)'!$O:$O,Indicators!AR$7,'Data(perSeason,perCrop)'!$C:$C,Indicators!AR$3,'Data(perSeason,perCrop)'!$R:$R,"IRRIGATED")</f>
        <v>0</v>
      </c>
      <c r="AS19" s="62">
        <f>SUMIFS('Data(perSeason,perCrop)'!$A:$A,'Data(perSeason,perCrop)'!$S:$S,Indicators!$B19,'Data(perSeason,perCrop)'!$O:$O,Indicators!AS$7,'Data(perSeason,perCrop)'!$C:$C,Indicators!AS$3,'Data(perSeason,perCrop)'!$R:$R,"IRRIGATED")</f>
        <v>0</v>
      </c>
      <c r="AT19" s="62">
        <f>SUMIFS('Data(perSeason,perCrop)'!$A:$A,'Data(perSeason,perCrop)'!$S:$S,Indicators!$B19,'Data(perSeason,perCrop)'!$O:$O,Indicators!AT$7,'Data(perSeason,perCrop)'!$C:$C,Indicators!AT$3,'Data(perSeason,perCrop)'!$R:$R,"IRRIGATED")</f>
        <v>0</v>
      </c>
      <c r="AU19" s="62">
        <f>SUMIFS('Data(perSeason,perCrop)'!$A:$A,'Data(perSeason,perCrop)'!$S:$S,Indicators!$B19,'Data(perSeason,perCrop)'!$O:$O,Indicators!AU$7,'Data(perSeason,perCrop)'!$C:$C,Indicators!AU$3,'Data(perSeason,perCrop)'!$R:$R,"IRRIGATED")</f>
        <v>0</v>
      </c>
      <c r="AV19" s="62">
        <f>SUMIFS('Data(perSeason,perCrop)'!$A:$A,'Data(perSeason,perCrop)'!$S:$S,Indicators!$B19,'Data(perSeason,perCrop)'!$O:$O,Indicators!AV$7,'Data(perSeason,perCrop)'!$C:$C,Indicators!AV$3,'Data(perSeason,perCrop)'!$R:$R,"IRRIGATED")</f>
        <v>0</v>
      </c>
      <c r="AW19" s="62">
        <f>SUMIFS('Data(perSeason,perCrop)'!$A:$A,'Data(perSeason,perCrop)'!$S:$S,Indicators!$B19,'Data(perSeason,perCrop)'!$O:$O,Indicators!AW$7,'Data(perSeason,perCrop)'!$C:$C,Indicators!AW$3,'Data(perSeason,perCrop)'!$R:$R,"IRRIGATED")</f>
        <v>0</v>
      </c>
      <c r="AX19" s="7">
        <f>SUMIFS('Data(perSeason,perCrop)'!$A:$A,'Data(perSeason,perCrop)'!$S:$S,Indicators!$B19,'Data(perSeason,perCrop)'!$O:$O,Indicators!AX$7,'Data(perSeason,perCrop)'!$C:$C,Indicators!AX$3,'Data(perSeason,perCrop)'!$R:$R,"IRRIGATED")</f>
        <v>0</v>
      </c>
      <c r="AY19" s="7">
        <f>SUMIFS('Data(perSeason,perCrop)'!$A:$A,'Data(perSeason,perCrop)'!$S:$S,Indicators!$B19,'Data(perSeason,perCrop)'!$O:$O,Indicators!AY$7,'Data(perSeason,perCrop)'!$C:$C,Indicators!AY$3,'Data(perSeason,perCrop)'!$R:$R,"IRRIGATED")</f>
        <v>5823.9955089442101</v>
      </c>
      <c r="AZ19" s="7">
        <f>SUMIFS('Data(perSeason,perCrop)'!$A:$A,'Data(perSeason,perCrop)'!$S:$S,Indicators!$B19,'Data(perSeason,perCrop)'!$O:$O,Indicators!AZ$7,'Data(perSeason,perCrop)'!$C:$C,Indicators!AZ$3,'Data(perSeason,perCrop)'!$R:$R,"IRRIGATED")</f>
        <v>0</v>
      </c>
      <c r="BA19" s="7">
        <f>SUMIFS('Data(perSeason,perCrop)'!$A:$A,'Data(perSeason,perCrop)'!$S:$S,Indicators!$B19,'Data(perSeason,perCrop)'!$O:$O,Indicators!BA$7,'Data(perSeason,perCrop)'!$C:$C,Indicators!BA$3,'Data(perSeason,perCrop)'!$R:$R,"IRRIGATED")</f>
        <v>0</v>
      </c>
      <c r="BB19" s="7">
        <f>SUMIFS('Data(perSeason,perCrop)'!$A:$A,'Data(perSeason,perCrop)'!$S:$S,Indicators!$B19,'Data(perSeason,perCrop)'!$O:$O,Indicators!BB$7,'Data(perSeason,perCrop)'!$C:$C,Indicators!BB$3,'Data(perSeason,perCrop)'!$R:$R,"IRRIGATED")</f>
        <v>0</v>
      </c>
      <c r="BC19" s="7">
        <f>SUMIFS('Data(perSeason,perCrop)'!$A:$A,'Data(perSeason,perCrop)'!$S:$S,Indicators!$B19,'Data(perSeason,perCrop)'!$O:$O,Indicators!BC$7,'Data(perSeason,perCrop)'!$C:$C,Indicators!BC$3,'Data(perSeason,perCrop)'!$R:$R,"IRRIGATED")</f>
        <v>0</v>
      </c>
      <c r="BD19" s="7">
        <f>SUMIFS('Data(perSeason,perCrop)'!$A:$A,'Data(perSeason,perCrop)'!$S:$S,Indicators!$B19,'Data(perSeason,perCrop)'!$O:$O,Indicators!BD$7,'Data(perSeason,perCrop)'!$C:$C,Indicators!BD$3,'Data(perSeason,perCrop)'!$R:$R,"IRRIGATED")</f>
        <v>0</v>
      </c>
      <c r="BE19" s="7">
        <f>SUMIFS('Data(perSeason,perCrop)'!$A:$A,'Data(perSeason,perCrop)'!$S:$S,Indicators!$B19,'Data(perSeason,perCrop)'!$O:$O,Indicators!BE$7,'Data(perSeason,perCrop)'!$C:$C,Indicators!BE$3,'Data(perSeason,perCrop)'!$R:$R,"IRRIGATED")</f>
        <v>0</v>
      </c>
      <c r="BF19" s="7">
        <f>SUMIFS('Data(perSeason,perCrop)'!$A:$A,'Data(perSeason,perCrop)'!$S:$S,Indicators!$B19,'Data(perSeason,perCrop)'!$O:$O,Indicators!BF$7,'Data(perSeason,perCrop)'!$C:$C,Indicators!BF$3,'Data(perSeason,perCrop)'!$R:$R,"IRRIGATED")</f>
        <v>0</v>
      </c>
      <c r="BG19" s="7">
        <f>SUMIFS('Data(perSeason,perCrop)'!$A:$A,'Data(perSeason,perCrop)'!$S:$S,Indicators!$B19,'Data(perSeason,perCrop)'!$O:$O,Indicators!BG$7,'Data(perSeason,perCrop)'!$C:$C,Indicators!BG$3,'Data(perSeason,perCrop)'!$R:$R,"IRRIGATED")</f>
        <v>0</v>
      </c>
      <c r="BH19" s="7">
        <f>SUMIFS('Data(perSeason,perCrop)'!$A:$A,'Data(perSeason,perCrop)'!$S:$S,Indicators!$B19,'Data(perSeason,perCrop)'!$O:$O,Indicators!BH$7,'Data(perSeason,perCrop)'!$C:$C,Indicators!BH$3,'Data(perSeason,perCrop)'!$R:$R,"IRRIGATED")</f>
        <v>0</v>
      </c>
      <c r="BI19" s="7">
        <f>SUMIFS('Data(perSeason,perCrop)'!$A:$A,'Data(perSeason,perCrop)'!$S:$S,Indicators!$B19,'Data(perSeason,perCrop)'!$O:$O,Indicators!BI$7,'Data(perSeason,perCrop)'!$C:$C,Indicators!BI$3,'Data(perSeason,perCrop)'!$R:$R,"IRRIGATED")</f>
        <v>0</v>
      </c>
      <c r="BJ19" s="7">
        <f>SUMIFS('Data(perSeason,perCrop)'!$A:$A,'Data(perSeason,perCrop)'!$S:$S,Indicators!$B19,'Data(perSeason,perCrop)'!$O:$O,Indicators!BJ$7,'Data(perSeason,perCrop)'!$C:$C,Indicators!BJ$3,'Data(perSeason,perCrop)'!$R:$R,"IRRIGATED")</f>
        <v>0</v>
      </c>
      <c r="BK19" s="7">
        <f>SUMIFS('Data(perSeason,perCrop)'!$A:$A,'Data(perSeason,perCrop)'!$S:$S,Indicators!$B19,'Data(perSeason,perCrop)'!$O:$O,Indicators!BK$7,'Data(perSeason,perCrop)'!$C:$C,Indicators!BK$3,'Data(perSeason,perCrop)'!$R:$R,"IRRIGATED")</f>
        <v>0</v>
      </c>
      <c r="BL19" s="7">
        <f>SUMIFS('Data(perSeason,perCrop)'!$A:$A,'Data(perSeason,perCrop)'!$S:$S,Indicators!$B19,'Data(perSeason,perCrop)'!$O:$O,Indicators!BL$7,'Data(perSeason,perCrop)'!$C:$C,Indicators!BL$3,'Data(perSeason,perCrop)'!$R:$R,"IRRIGATED")</f>
        <v>41.669883394939902</v>
      </c>
      <c r="BM19" s="7">
        <f>SUMIFS('Data(perSeason,perCrop)'!$A:$A,'Data(perSeason,perCrop)'!$S:$S,Indicators!$B19,'Data(perSeason,perCrop)'!$O:$O,Indicators!BM$7,'Data(perSeason,perCrop)'!$C:$C,Indicators!BM$3,'Data(perSeason,perCrop)'!$R:$R,"IRRIGATED")</f>
        <v>0</v>
      </c>
      <c r="BN19" s="7">
        <f>SUMIFS('Data(perSeason,perCrop)'!$A:$A,'Data(perSeason,perCrop)'!$S:$S,Indicators!$B19,'Data(perSeason,perCrop)'!$O:$O,Indicators!BN$7,'Data(perSeason,perCrop)'!$C:$C,Indicators!BN$3,'Data(perSeason,perCrop)'!$R:$R,"IRRIGATED")</f>
        <v>293.050721790247</v>
      </c>
      <c r="BO19" s="7">
        <f>SUMIFS('Data(perSeason,perCrop)'!$A:$A,'Data(perSeason,perCrop)'!$S:$S,Indicators!$B19,'Data(perSeason,perCrop)'!$O:$O,Indicators!BO$7,'Data(perSeason,perCrop)'!$C:$C,Indicators!BO$3,'Data(perSeason,perCrop)'!$R:$R,"IRRIGATED")</f>
        <v>0</v>
      </c>
      <c r="BP19" s="7">
        <f>SUMIFS('Data(perSeason,perCrop)'!$A:$A,'Data(perSeason,perCrop)'!$S:$S,Indicators!$B19,'Data(perSeason,perCrop)'!$O:$O,Indicators!BP$7,'Data(perSeason,perCrop)'!$C:$C,Indicators!BP$3,'Data(perSeason,perCrop)'!$R:$R,"IRRIGATED")</f>
        <v>0</v>
      </c>
      <c r="BQ19" s="7">
        <f>SUMIFS('Data(perSeason,perCrop)'!$A:$A,'Data(perSeason,perCrop)'!$S:$S,Indicators!$B19,'Data(perSeason,perCrop)'!$O:$O,Indicators!BQ$7,'Data(perSeason,perCrop)'!$C:$C,Indicators!BQ$3,'Data(perSeason,perCrop)'!$R:$R,"IRRIGATED")</f>
        <v>1066.0127568422799</v>
      </c>
      <c r="BR19" s="7">
        <f>SUMIFS('Data(perSeason,perCrop)'!$A:$A,'Data(perSeason,perCrop)'!$S:$S,Indicators!$B19,'Data(perSeason,perCrop)'!$O:$O,Indicators!BR$7,'Data(perSeason,perCrop)'!$C:$C,Indicators!BR$3,'Data(perSeason,perCrop)'!$R:$R,"IRRIGATED")</f>
        <v>0</v>
      </c>
      <c r="BS19" s="7">
        <f>SUMIFS('Data(perSeason,perCrop)'!$A:$A,'Data(perSeason,perCrop)'!$S:$S,Indicators!$B19,'Data(perSeason,perCrop)'!$O:$O,Indicators!BS$7,'Data(perSeason,perCrop)'!$C:$C,Indicators!BS$3,'Data(perSeason,perCrop)'!$R:$R,"IRRIGATED")</f>
        <v>0</v>
      </c>
      <c r="BT19" s="7">
        <f>SUMIFS('Data(perSeason,perCrop)'!$A:$A,'Data(perSeason,perCrop)'!$S:$S,Indicators!$B19,'Data(perSeason,perCrop)'!$O:$O,Indicators!BT$7,'Data(perSeason,perCrop)'!$C:$C,Indicators!BT$3,'Data(perSeason,perCrop)'!$R:$R,"IRRIGATED")</f>
        <v>0</v>
      </c>
      <c r="BU19" s="7">
        <f>SUMIFS('Data(perSeason,perCrop)'!$A:$A,'Data(perSeason,perCrop)'!$S:$S,Indicators!$B19,'Data(perSeason,perCrop)'!$O:$O,Indicators!BU$7,'Data(perSeason,perCrop)'!$C:$C,Indicators!BU$3,'Data(perSeason,perCrop)'!$R:$R,"IRRIGATED")</f>
        <v>0</v>
      </c>
      <c r="BV19" s="7">
        <f>SUMIFS('Data(perSeason,perCrop)'!$A:$A,'Data(perSeason,perCrop)'!$S:$S,Indicators!$B19,'Data(perSeason,perCrop)'!$O:$O,Indicators!BV$7,'Data(perSeason,perCrop)'!$C:$C,Indicators!BV$3,'Data(perSeason,perCrop)'!$R:$R,"IRRIGATED")</f>
        <v>0</v>
      </c>
      <c r="BW19" s="7">
        <f>SUMIFS('Data(perSeason,perCrop)'!$A:$A,'Data(perSeason,perCrop)'!$S:$S,Indicators!$B19,'Data(perSeason,perCrop)'!$O:$O,Indicators!BW$7,'Data(perSeason,perCrop)'!$C:$C,Indicators!BW$3,'Data(perSeason,perCrop)'!$R:$R,"IRRIGATED")</f>
        <v>0</v>
      </c>
      <c r="BX19" s="7">
        <f>SUMIFS('Data(perSeason,perCrop)'!$A:$A,'Data(perSeason,perCrop)'!$S:$S,Indicators!$B19,'Data(perSeason,perCrop)'!$O:$O,Indicators!BX$7,'Data(perSeason,perCrop)'!$C:$C,Indicators!BX$3,'Data(perSeason,perCrop)'!$R:$R,"IRRIGATED")</f>
        <v>0</v>
      </c>
      <c r="BY19" s="7">
        <f>SUMIFS('Data(perSeason,perCrop)'!$A:$A,'Data(perSeason,perCrop)'!$S:$S,Indicators!$B19,'Data(perSeason,perCrop)'!$O:$O,Indicators!BY$7,'Data(perSeason,perCrop)'!$C:$C,Indicators!BY$3,'Data(perSeason,perCrop)'!$R:$R,"IRRIGATED")</f>
        <v>0</v>
      </c>
      <c r="BZ19" s="7">
        <f>SUMIFS('Data(perSeason,perCrop)'!$A:$A,'Data(perSeason,perCrop)'!$S:$S,Indicators!$B19,'Data(perSeason,perCrop)'!$O:$O,Indicators!BZ$7,'Data(perSeason,perCrop)'!$C:$C,Indicators!BZ$3,'Data(perSeason,perCrop)'!$R:$R,"IRRIGATED")</f>
        <v>0</v>
      </c>
      <c r="CA19" s="7">
        <f>SUMIFS('Data(perSeason,perCrop)'!$A:$A,'Data(perSeason,perCrop)'!$S:$S,Indicators!$B19,'Data(perSeason,perCrop)'!$O:$O,Indicators!CA$7,'Data(perSeason,perCrop)'!$C:$C,Indicators!CA$3,'Data(perSeason,perCrop)'!$R:$R,"IRRIGATED")</f>
        <v>0</v>
      </c>
      <c r="CB19" s="7">
        <f>SUMIFS('Data(perSeason,perCrop)'!$A:$A,'Data(perSeason,perCrop)'!$S:$S,Indicators!$B19,'Data(perSeason,perCrop)'!$O:$O,Indicators!CB$7,'Data(perSeason,perCrop)'!$C:$C,Indicators!CB$3,'Data(perSeason,perCrop)'!$R:$R,"IRRIGATED")</f>
        <v>0</v>
      </c>
      <c r="CC19" s="7">
        <f>SUMIFS('Data(perSeason,perCrop)'!$A:$A,'Data(perSeason,perCrop)'!$S:$S,Indicators!$B19,'Data(perSeason,perCrop)'!$O:$O,Indicators!CC$7,'Data(perSeason,perCrop)'!$C:$C,Indicators!CC$3,'Data(perSeason,perCrop)'!$R:$R,"IRRIGATED")</f>
        <v>0</v>
      </c>
      <c r="CD19" s="7">
        <f>SUMIFS('Data(perSeason,perCrop)'!$A:$A,'Data(perSeason,perCrop)'!$S:$S,Indicators!$B19,'Data(perSeason,perCrop)'!$O:$O,Indicators!CD$7,'Data(perSeason,perCrop)'!$C:$C,Indicators!CD$3,'Data(perSeason,perCrop)'!$R:$R,"IRRIGATED")</f>
        <v>0</v>
      </c>
      <c r="CE19" s="7">
        <f>SUMIFS('Data(perSeason,perCrop)'!$A:$A,'Data(perSeason,perCrop)'!$S:$S,Indicators!$B19,'Data(perSeason,perCrop)'!$O:$O,Indicators!CE$7,'Data(perSeason,perCrop)'!$C:$C,Indicators!CE$3,'Data(perSeason,perCrop)'!$R:$R,"IRRIGATED")</f>
        <v>0</v>
      </c>
      <c r="CF19" s="7">
        <f>SUMIFS('Data(perSeason,perCrop)'!$A:$A,'Data(perSeason,perCrop)'!$S:$S,Indicators!$B19,'Data(perSeason,perCrop)'!$O:$O,Indicators!CF$7,'Data(perSeason,perCrop)'!$C:$C,Indicators!CF$3,'Data(perSeason,perCrop)'!$R:$R,"IRRIGATED")</f>
        <v>0</v>
      </c>
      <c r="CG19" s="7">
        <f>SUMIFS('Data(perSeason,perCrop)'!$A:$A,'Data(perSeason,perCrop)'!$S:$S,Indicators!$B19,'Data(perSeason,perCrop)'!$O:$O,Indicators!CG$7,'Data(perSeason,perCrop)'!$C:$C,Indicators!CG$3,'Data(perSeason,perCrop)'!$R:$R,"IRRIGATED")</f>
        <v>0</v>
      </c>
      <c r="CH19" s="7">
        <f>SUMIFS('Data(perSeason,perCrop)'!$A:$A,'Data(perSeason,perCrop)'!$S:$S,Indicators!$B19,'Data(perSeason,perCrop)'!$O:$O,Indicators!CH$7,'Data(perSeason,perCrop)'!$C:$C,Indicators!CH$3,'Data(perSeason,perCrop)'!$R:$R,"IRRIGATED")</f>
        <v>0</v>
      </c>
      <c r="CI19" s="7">
        <f>SUMIFS('Data(perSeason,perCrop)'!$A:$A,'Data(perSeason,perCrop)'!$S:$S,Indicators!$B19,'Data(perSeason,perCrop)'!$O:$O,Indicators!CI$7,'Data(perSeason,perCrop)'!$C:$C,Indicators!CI$3,'Data(perSeason,perCrop)'!$R:$R,"IRRIGATED")</f>
        <v>0</v>
      </c>
      <c r="CJ19" s="7">
        <f>SUMIFS('Data(perSeason,perCrop)'!$A:$A,'Data(perSeason,perCrop)'!$S:$S,Indicators!$B19,'Data(perSeason,perCrop)'!$O:$O,Indicators!CJ$7,'Data(perSeason,perCrop)'!$C:$C,Indicators!CJ$3,'Data(perSeason,perCrop)'!$R:$R,"IRRIGATED")</f>
        <v>0</v>
      </c>
      <c r="CK19" s="7">
        <f>SUMIFS('Data(perSeason,perCrop)'!$A:$A,'Data(perSeason,perCrop)'!$S:$S,Indicators!$B19,'Data(perSeason,perCrop)'!$O:$O,Indicators!CK$7,'Data(perSeason,perCrop)'!$C:$C,Indicators!CK$3,'Data(perSeason,perCrop)'!$R:$R,"IRRIGATED")</f>
        <v>0</v>
      </c>
      <c r="CL19" s="7">
        <f>SUMIFS('Data(perSeason,perCrop)'!$A:$A,'Data(perSeason,perCrop)'!$S:$S,Indicators!$B19,'Data(perSeason,perCrop)'!$O:$O,Indicators!CL$7,'Data(perSeason,perCrop)'!$C:$C,Indicators!CL$3,'Data(perSeason,perCrop)'!$R:$R,"IRRIGATED")</f>
        <v>0</v>
      </c>
      <c r="CM19" s="7">
        <f>SUMIFS('Data(perSeason,perCrop)'!$A:$A,'Data(perSeason,perCrop)'!$S:$S,Indicators!$B19,'Data(perSeason,perCrop)'!$O:$O,Indicators!CM$7,'Data(perSeason,perCrop)'!$C:$C,Indicators!CM$3,'Data(perSeason,perCrop)'!$R:$R,"IRRIGATED")</f>
        <v>0</v>
      </c>
      <c r="CN19" s="7">
        <f>SUMIFS('Data(perSeason,perCrop)'!$A:$A,'Data(perSeason,perCrop)'!$S:$S,Indicators!$B19,'Data(perSeason,perCrop)'!$O:$O,Indicators!CN$7,'Data(perSeason,perCrop)'!$C:$C,Indicators!CN$3,'Data(perSeason,perCrop)'!$R:$R,"IRRIGATED")</f>
        <v>0</v>
      </c>
      <c r="CO19" s="7">
        <f>SUMIFS('Data(perSeason,perCrop)'!$A:$A,'Data(perSeason,perCrop)'!$S:$S,Indicators!$B19,'Data(perSeason,perCrop)'!$O:$O,Indicators!CO$7,'Data(perSeason,perCrop)'!$C:$C,Indicators!CO$3,'Data(perSeason,perCrop)'!$R:$R,"IRRIGATED")</f>
        <v>0</v>
      </c>
      <c r="CP19" s="7">
        <f>SUMIFS('Data(perSeason,perCrop)'!$A:$A,'Data(perSeason,perCrop)'!$S:$S,Indicators!$B19,'Data(perSeason,perCrop)'!$O:$O,Indicators!CP$7,'Data(perSeason,perCrop)'!$C:$C,Indicators!CP$3,'Data(perSeason,perCrop)'!$R:$R,"IRRIGATED")</f>
        <v>2492.1692321389401</v>
      </c>
      <c r="CQ19" s="7">
        <f>SUMIFS('Data(perSeason,perCrop)'!$A:$A,'Data(perSeason,perCrop)'!$S:$S,Indicators!$B19,'Data(perSeason,perCrop)'!$O:$O,Indicators!CQ$7,'Data(perSeason,perCrop)'!$C:$C,Indicators!CQ$3,'Data(perSeason,perCrop)'!$R:$R,"IRRIGATED")</f>
        <v>271.34829949310802</v>
      </c>
      <c r="CR19" s="7">
        <f>SUMIFS('Data(perSeason,perCrop)'!$A:$A,'Data(perSeason,perCrop)'!$S:$S,Indicators!$B19,'Data(perSeason,perCrop)'!$O:$O,Indicators!CR$7,'Data(perSeason,perCrop)'!$C:$C,Indicators!CR$3,'Data(perSeason,perCrop)'!$R:$R,"IRRIGATED")</f>
        <v>0</v>
      </c>
      <c r="CS19" s="7">
        <f>SUMIFS('Data(perSeason,perCrop)'!$A:$A,'Data(perSeason,perCrop)'!$S:$S,Indicators!$B19,'Data(perSeason,perCrop)'!$O:$O,Indicators!CS$7,'Data(perSeason,perCrop)'!$C:$C,Indicators!CS$3,'Data(perSeason,perCrop)'!$R:$R,"IRRIGATED")</f>
        <v>150.657449786077</v>
      </c>
      <c r="CT19" s="7">
        <f>SUMIFS('Data(perSeason,perCrop)'!$A:$A,'Data(perSeason,perCrop)'!$S:$S,Indicators!$B19,'Data(perSeason,perCrop)'!$O:$O,Indicators!CT$7,'Data(perSeason,perCrop)'!$C:$C,Indicators!CT$3,'Data(perSeason,perCrop)'!$R:$R,"IRRIGATED")</f>
        <v>0</v>
      </c>
      <c r="CU19" s="7">
        <f>SUMIFS('Data(perSeason,perCrop)'!$A:$A,'Data(perSeason,perCrop)'!$S:$S,Indicators!$B19,'Data(perSeason,perCrop)'!$O:$O,Indicators!CU$7,'Data(perSeason,perCrop)'!$C:$C,Indicators!CU$3,'Data(perSeason,perCrop)'!$R:$R,"IRRIGATED")</f>
        <v>0</v>
      </c>
      <c r="CV19" s="7">
        <f>SUMIFS('Data(perSeason,perCrop)'!$A:$A,'Data(perSeason,perCrop)'!$S:$S,Indicators!$B19,'Data(perSeason,perCrop)'!$O:$O,Indicators!CV$7,'Data(perSeason,perCrop)'!$C:$C,Indicators!CV$3,'Data(perSeason,perCrop)'!$R:$R,"IRRIGATED")</f>
        <v>1341.71668184193</v>
      </c>
      <c r="CW19" s="7">
        <f>SUMIFS('Data(perSeason,perCrop)'!$A:$A,'Data(perSeason,perCrop)'!$S:$S,Indicators!$B19,'Data(perSeason,perCrop)'!$O:$O,Indicators!CW$7,'Data(perSeason,perCrop)'!$C:$C,Indicators!CW$3,'Data(perSeason,perCrop)'!$R:$R,"IRRIGATED")</f>
        <v>0</v>
      </c>
      <c r="CX19" s="7">
        <f>SUMIFS('Data(perSeason,perCrop)'!$A:$A,'Data(perSeason,perCrop)'!$S:$S,Indicators!$B19,'Data(perSeason,perCrop)'!$O:$O,Indicators!CX$7,'Data(perSeason,perCrop)'!$C:$C,Indicators!CX$3,'Data(perSeason,perCrop)'!$R:$R,"IRRIGATED")</f>
        <v>0</v>
      </c>
      <c r="CY19" s="7">
        <f>SUMIFS('Data(perSeason,perCrop)'!$A:$A,'Data(perSeason,perCrop)'!$S:$S,Indicators!$B19,'Data(perSeason,perCrop)'!$O:$O,Indicators!CY$7,'Data(perSeason,perCrop)'!$C:$C,Indicators!CY$3,'Data(perSeason,perCrop)'!$R:$R,"IRRIGATED")</f>
        <v>0</v>
      </c>
      <c r="CZ19" s="7">
        <f>SUMIFS('Data(perSeason,perCrop)'!$A:$A,'Data(perSeason,perCrop)'!$S:$S,Indicators!$B19,'Data(perSeason,perCrop)'!$O:$O,Indicators!CZ$7,'Data(perSeason,perCrop)'!$C:$C,Indicators!CZ$3,'Data(perSeason,perCrop)'!$R:$R,"IRRIGATED")</f>
        <v>0</v>
      </c>
      <c r="DA19" s="7">
        <f>SUMIFS('Data(perSeason,perCrop)'!$A:$A,'Data(perSeason,perCrop)'!$S:$S,Indicators!$B19,'Data(perSeason,perCrop)'!$O:$O,Indicators!DA$7,'Data(perSeason,perCrop)'!$C:$C,Indicators!DA$3,'Data(perSeason,perCrop)'!$R:$R,"IRRIGATED")</f>
        <v>0</v>
      </c>
      <c r="DB19" s="7">
        <f>SUMIFS('Data(perSeason,perCrop)'!$A:$A,'Data(perSeason,perCrop)'!$S:$S,Indicators!$B19,'Data(perSeason,perCrop)'!$O:$O,Indicators!DB$7,'Data(perSeason,perCrop)'!$C:$C,Indicators!DB$3,'Data(perSeason,perCrop)'!$R:$R,"IRRIGATED")</f>
        <v>0</v>
      </c>
      <c r="DC19" s="7">
        <f>SUMIFS('Data(perSeason,perCrop)'!$A:$A,'Data(perSeason,perCrop)'!$S:$S,Indicators!$B19,'Data(perSeason,perCrop)'!$O:$O,Indicators!DC$7,'Data(perSeason,perCrop)'!$C:$C,Indicators!DC$3,'Data(perSeason,perCrop)'!$R:$R,"IRRIGATED")</f>
        <v>0</v>
      </c>
      <c r="DD19" s="7">
        <f>SUMIFS('Data(perSeason,perCrop)'!$A:$A,'Data(perSeason,perCrop)'!$S:$S,Indicators!$B19,'Data(perSeason,perCrop)'!$O:$O,Indicators!DD$7,'Data(perSeason,perCrop)'!$C:$C,Indicators!DD$3,'Data(perSeason,perCrop)'!$R:$R,"IRRIGATED")</f>
        <v>0</v>
      </c>
      <c r="DE19" s="7">
        <f>SUMIFS('Data(perSeason,perCrop)'!$A:$A,'Data(perSeason,perCrop)'!$S:$S,Indicators!$B19,'Data(perSeason,perCrop)'!$O:$O,Indicators!DE$7,'Data(perSeason,perCrop)'!$C:$C,Indicators!DE$3,'Data(perSeason,perCrop)'!$R:$R,"IRRIGATED")</f>
        <v>0</v>
      </c>
      <c r="DF19" s="7">
        <f>SUMIFS('Data(perSeason,perCrop)'!$A:$A,'Data(perSeason,perCrop)'!$S:$S,Indicators!$B19,'Data(perSeason,perCrop)'!$O:$O,Indicators!DF$7,'Data(perSeason,perCrop)'!$C:$C,Indicators!DF$3,'Data(perSeason,perCrop)'!$R:$R,"IRRIGATED")</f>
        <v>0</v>
      </c>
      <c r="DG19" s="7">
        <f>SUMIFS('Data(perSeason,perCrop)'!$A:$A,'Data(perSeason,perCrop)'!$S:$S,Indicators!$B19,'Data(perSeason,perCrop)'!$O:$O,Indicators!DG$7,'Data(perSeason,perCrop)'!$C:$C,Indicators!DG$3,'Data(perSeason,perCrop)'!$R:$R,"IRRIGATED")</f>
        <v>0</v>
      </c>
    </row>
    <row r="20" spans="1:111" x14ac:dyDescent="0.25">
      <c r="B20" s="5" t="s">
        <v>66</v>
      </c>
      <c r="C20" s="9">
        <f>AVERAGE(C15:C19)</f>
        <v>5711.8227667705078</v>
      </c>
      <c r="D20" s="9">
        <f t="shared" ref="D20:F20" si="13">AVERAGE(D15:D19)</f>
        <v>6656.2861723416881</v>
      </c>
      <c r="E20" s="9">
        <f t="shared" si="13"/>
        <v>3740.0594823108381</v>
      </c>
      <c r="F20" s="9">
        <f t="shared" si="13"/>
        <v>8485.6458600559072</v>
      </c>
      <c r="G20" s="9"/>
      <c r="H20" s="9"/>
      <c r="I20" s="5"/>
      <c r="J20" s="2" t="s">
        <v>209</v>
      </c>
      <c r="K20" s="9">
        <f t="shared" ref="K20:AF20" si="14">AVERAGE(K15:K19)</f>
        <v>45.710786039703301</v>
      </c>
      <c r="L20" s="9">
        <f t="shared" si="14"/>
        <v>15.81490821171538</v>
      </c>
      <c r="M20" s="9">
        <f t="shared" si="14"/>
        <v>25.157964263960114</v>
      </c>
      <c r="N20" s="9">
        <f t="shared" si="14"/>
        <v>1024.159339567075</v>
      </c>
      <c r="O20" s="9">
        <f t="shared" si="14"/>
        <v>4324.3526399412276</v>
      </c>
      <c r="P20" s="9">
        <f t="shared" si="14"/>
        <v>22.82075417025996</v>
      </c>
      <c r="Q20" s="9">
        <f t="shared" si="14"/>
        <v>3026.0516240736897</v>
      </c>
      <c r="R20" s="9">
        <f t="shared" si="14"/>
        <v>1.577843788276224</v>
      </c>
      <c r="S20" s="63">
        <f t="shared" si="14"/>
        <v>0</v>
      </c>
      <c r="T20" s="63">
        <f t="shared" si="14"/>
        <v>3245.7037788096559</v>
      </c>
      <c r="U20" s="63">
        <f t="shared" si="14"/>
        <v>0</v>
      </c>
      <c r="V20" s="63">
        <f t="shared" si="14"/>
        <v>0</v>
      </c>
      <c r="W20" s="63">
        <f t="shared" si="14"/>
        <v>0</v>
      </c>
      <c r="X20" s="63">
        <f t="shared" si="14"/>
        <v>0</v>
      </c>
      <c r="Y20" s="63">
        <f t="shared" si="14"/>
        <v>0</v>
      </c>
      <c r="Z20" s="63">
        <f t="shared" si="14"/>
        <v>0</v>
      </c>
      <c r="AA20" s="63">
        <f t="shared" si="14"/>
        <v>0</v>
      </c>
      <c r="AB20" s="63">
        <f t="shared" si="14"/>
        <v>0</v>
      </c>
      <c r="AC20" s="63">
        <f t="shared" si="14"/>
        <v>0</v>
      </c>
      <c r="AD20" s="63">
        <f t="shared" si="14"/>
        <v>0</v>
      </c>
      <c r="AE20" s="63">
        <f t="shared" si="14"/>
        <v>0</v>
      </c>
      <c r="AF20" s="63">
        <f t="shared" si="14"/>
        <v>101.03027267360402</v>
      </c>
      <c r="AG20" s="63">
        <f t="shared" ref="AG20:BK20" si="15">AVERAGE(AG15:AG19)</f>
        <v>299.28095101223562</v>
      </c>
      <c r="AH20" s="63">
        <f t="shared" si="15"/>
        <v>0</v>
      </c>
      <c r="AI20" s="63">
        <f t="shared" si="15"/>
        <v>701.32175925361412</v>
      </c>
      <c r="AJ20" s="63">
        <f t="shared" si="15"/>
        <v>0</v>
      </c>
      <c r="AK20" s="63">
        <f t="shared" si="15"/>
        <v>0</v>
      </c>
      <c r="AL20" s="63">
        <f t="shared" si="15"/>
        <v>1364.4860050213974</v>
      </c>
      <c r="AM20" s="63">
        <f t="shared" si="15"/>
        <v>0</v>
      </c>
      <c r="AN20" s="63">
        <f t="shared" si="15"/>
        <v>0</v>
      </c>
      <c r="AO20" s="63">
        <f t="shared" si="15"/>
        <v>0</v>
      </c>
      <c r="AP20" s="63">
        <f t="shared" si="15"/>
        <v>0</v>
      </c>
      <c r="AQ20" s="63">
        <f t="shared" si="15"/>
        <v>0</v>
      </c>
      <c r="AR20" s="63">
        <f t="shared" si="15"/>
        <v>0</v>
      </c>
      <c r="AS20" s="63">
        <f t="shared" si="15"/>
        <v>0</v>
      </c>
      <c r="AT20" s="63">
        <f t="shared" si="15"/>
        <v>0</v>
      </c>
      <c r="AU20" s="63">
        <f t="shared" si="15"/>
        <v>0</v>
      </c>
      <c r="AV20" s="63">
        <f t="shared" si="15"/>
        <v>0</v>
      </c>
      <c r="AW20" s="63">
        <f t="shared" si="15"/>
        <v>0</v>
      </c>
      <c r="AX20" s="9">
        <f t="shared" si="15"/>
        <v>0</v>
      </c>
      <c r="AY20" s="9">
        <f t="shared" si="15"/>
        <v>4628.6912503271624</v>
      </c>
      <c r="AZ20" s="9">
        <f t="shared" si="15"/>
        <v>0</v>
      </c>
      <c r="BA20" s="9">
        <f t="shared" si="15"/>
        <v>0</v>
      </c>
      <c r="BB20" s="9">
        <f t="shared" si="15"/>
        <v>0</v>
      </c>
      <c r="BC20" s="9">
        <f t="shared" si="15"/>
        <v>0</v>
      </c>
      <c r="BD20" s="9">
        <f t="shared" si="15"/>
        <v>0</v>
      </c>
      <c r="BE20" s="9">
        <f t="shared" si="15"/>
        <v>0</v>
      </c>
      <c r="BF20" s="9">
        <f t="shared" si="15"/>
        <v>0</v>
      </c>
      <c r="BG20" s="9">
        <f t="shared" si="15"/>
        <v>0</v>
      </c>
      <c r="BH20" s="9">
        <f t="shared" si="15"/>
        <v>0</v>
      </c>
      <c r="BI20" s="9">
        <f t="shared" si="15"/>
        <v>0</v>
      </c>
      <c r="BJ20" s="9">
        <f t="shared" si="15"/>
        <v>0</v>
      </c>
      <c r="BK20" s="9">
        <f t="shared" si="15"/>
        <v>0</v>
      </c>
      <c r="BL20" s="9">
        <f t="shared" ref="BL20:CO20" si="16">AVERAGE(BL15:BL19)</f>
        <v>66.219954987197525</v>
      </c>
      <c r="BM20" s="9">
        <f t="shared" si="16"/>
        <v>0</v>
      </c>
      <c r="BN20" s="9">
        <f t="shared" si="16"/>
        <v>480.67018027473176</v>
      </c>
      <c r="BO20" s="9">
        <f t="shared" si="16"/>
        <v>0</v>
      </c>
      <c r="BP20" s="9">
        <f t="shared" si="16"/>
        <v>0</v>
      </c>
      <c r="BQ20" s="9">
        <f t="shared" si="16"/>
        <v>1480.704786752598</v>
      </c>
      <c r="BR20" s="9">
        <f t="shared" si="16"/>
        <v>0</v>
      </c>
      <c r="BS20" s="9">
        <f t="shared" si="16"/>
        <v>0</v>
      </c>
      <c r="BT20" s="9">
        <f t="shared" si="16"/>
        <v>0</v>
      </c>
      <c r="BU20" s="9">
        <f t="shared" si="16"/>
        <v>0</v>
      </c>
      <c r="BV20" s="9">
        <f t="shared" si="16"/>
        <v>0</v>
      </c>
      <c r="BW20" s="9">
        <f t="shared" si="16"/>
        <v>0</v>
      </c>
      <c r="BX20" s="9">
        <f t="shared" si="16"/>
        <v>0</v>
      </c>
      <c r="BY20" s="9">
        <f t="shared" si="16"/>
        <v>0</v>
      </c>
      <c r="BZ20" s="9">
        <f t="shared" si="16"/>
        <v>0</v>
      </c>
      <c r="CA20" s="9">
        <f t="shared" si="16"/>
        <v>0</v>
      </c>
      <c r="CB20" s="9">
        <f t="shared" si="16"/>
        <v>0</v>
      </c>
      <c r="CC20" s="9">
        <f t="shared" si="16"/>
        <v>0</v>
      </c>
      <c r="CD20" s="9">
        <f t="shared" si="16"/>
        <v>0</v>
      </c>
      <c r="CE20" s="9">
        <f t="shared" si="16"/>
        <v>0</v>
      </c>
      <c r="CF20" s="9">
        <f t="shared" si="16"/>
        <v>0</v>
      </c>
      <c r="CG20" s="9">
        <f t="shared" si="16"/>
        <v>0</v>
      </c>
      <c r="CH20" s="9">
        <f t="shared" si="16"/>
        <v>0</v>
      </c>
      <c r="CI20" s="9">
        <f t="shared" si="16"/>
        <v>0</v>
      </c>
      <c r="CJ20" s="9">
        <f t="shared" si="16"/>
        <v>0</v>
      </c>
      <c r="CK20" s="9">
        <f t="shared" si="16"/>
        <v>0</v>
      </c>
      <c r="CL20" s="9">
        <f t="shared" si="16"/>
        <v>0</v>
      </c>
      <c r="CM20" s="9">
        <f t="shared" si="16"/>
        <v>0</v>
      </c>
      <c r="CN20" s="9">
        <f t="shared" si="16"/>
        <v>0</v>
      </c>
      <c r="CO20" s="9">
        <f t="shared" si="16"/>
        <v>0</v>
      </c>
      <c r="CP20" s="9">
        <f t="shared" ref="CP20:DG20" si="17">AVERAGE(CP15:CP19)</f>
        <v>1801.102061071088</v>
      </c>
      <c r="CQ20" s="9">
        <f t="shared" si="17"/>
        <v>231.59986879907896</v>
      </c>
      <c r="CR20" s="9">
        <f t="shared" si="17"/>
        <v>0</v>
      </c>
      <c r="CS20" s="9">
        <f t="shared" si="17"/>
        <v>118.96365501838696</v>
      </c>
      <c r="CT20" s="9">
        <f t="shared" si="17"/>
        <v>0</v>
      </c>
      <c r="CU20" s="9">
        <f t="shared" si="17"/>
        <v>0</v>
      </c>
      <c r="CV20" s="9">
        <f t="shared" si="17"/>
        <v>1588.3938974222849</v>
      </c>
      <c r="CW20" s="9">
        <f t="shared" si="17"/>
        <v>0</v>
      </c>
      <c r="CX20" s="9">
        <f t="shared" si="17"/>
        <v>0</v>
      </c>
      <c r="CY20" s="9">
        <f t="shared" si="17"/>
        <v>0</v>
      </c>
      <c r="CZ20" s="9">
        <f t="shared" si="17"/>
        <v>0</v>
      </c>
      <c r="DA20" s="9">
        <f t="shared" si="17"/>
        <v>0</v>
      </c>
      <c r="DB20" s="9">
        <f t="shared" si="17"/>
        <v>0</v>
      </c>
      <c r="DC20" s="9">
        <f t="shared" si="17"/>
        <v>0</v>
      </c>
      <c r="DD20" s="9">
        <f t="shared" si="17"/>
        <v>0</v>
      </c>
      <c r="DE20" s="9">
        <f t="shared" si="17"/>
        <v>0</v>
      </c>
      <c r="DF20" s="9">
        <f t="shared" si="17"/>
        <v>0</v>
      </c>
      <c r="DG20" s="9">
        <f t="shared" si="17"/>
        <v>0</v>
      </c>
    </row>
    <row r="21" spans="1:111" x14ac:dyDescent="0.25">
      <c r="B21" s="5" t="s">
        <v>204</v>
      </c>
      <c r="C21" s="18">
        <f>(MIN(C15:C19)-AVERAGE(C15:C19))/AVERAGE(C15:C19)</f>
        <v>-0.31937770782513236</v>
      </c>
      <c r="D21" s="18">
        <f t="shared" ref="D21:F21" si="18">(MIN(D15:D19)-AVERAGE(D15:D19))/AVERAGE(D15:D19)</f>
        <v>-0.30968825397876099</v>
      </c>
      <c r="E21" s="18">
        <f t="shared" si="18"/>
        <v>-0.405828907595431</v>
      </c>
      <c r="F21" s="18">
        <f t="shared" si="18"/>
        <v>-0.25886551160229399</v>
      </c>
      <c r="G21" s="18"/>
      <c r="H21" s="18"/>
      <c r="I21" s="5"/>
      <c r="K21" s="10">
        <f>K20/SUM($K20:$R20)</f>
        <v>5.3868364050962333E-3</v>
      </c>
      <c r="L21" s="10">
        <f t="shared" ref="L21:R21" si="19">L20/SUM($K20:$R20)</f>
        <v>1.8637247503057103E-3</v>
      </c>
      <c r="M21" s="10">
        <f t="shared" si="19"/>
        <v>2.9647671702144737E-3</v>
      </c>
      <c r="N21" s="10">
        <f t="shared" si="19"/>
        <v>0.12069315128834841</v>
      </c>
      <c r="O21" s="10">
        <f t="shared" si="19"/>
        <v>0.50960795574760609</v>
      </c>
      <c r="P21" s="10">
        <f t="shared" si="19"/>
        <v>2.689336150319807E-3</v>
      </c>
      <c r="Q21" s="10">
        <f t="shared" si="19"/>
        <v>0.35660828580156567</v>
      </c>
      <c r="R21" s="10">
        <f t="shared" si="19"/>
        <v>1.8594268654358249E-4</v>
      </c>
      <c r="S21" s="64">
        <f t="shared" ref="S21:AF21" si="20">S20/SUM($S20:$AH20)</f>
        <v>0</v>
      </c>
      <c r="T21" s="64">
        <f t="shared" si="20"/>
        <v>0.89020582103698176</v>
      </c>
      <c r="U21" s="64">
        <f t="shared" si="20"/>
        <v>0</v>
      </c>
      <c r="V21" s="64">
        <f t="shared" si="20"/>
        <v>0</v>
      </c>
      <c r="W21" s="64">
        <f t="shared" si="20"/>
        <v>0</v>
      </c>
      <c r="X21" s="64">
        <f t="shared" si="20"/>
        <v>0</v>
      </c>
      <c r="Y21" s="64">
        <f t="shared" si="20"/>
        <v>0</v>
      </c>
      <c r="Z21" s="64">
        <f t="shared" si="20"/>
        <v>0</v>
      </c>
      <c r="AA21" s="64">
        <f t="shared" si="20"/>
        <v>0</v>
      </c>
      <c r="AB21" s="64">
        <f t="shared" si="20"/>
        <v>0</v>
      </c>
      <c r="AC21" s="64">
        <f t="shared" si="20"/>
        <v>0</v>
      </c>
      <c r="AD21" s="64">
        <f t="shared" si="20"/>
        <v>0</v>
      </c>
      <c r="AE21" s="64">
        <f t="shared" si="20"/>
        <v>0</v>
      </c>
      <c r="AF21" s="64">
        <f t="shared" si="20"/>
        <v>2.7709779747053808E-2</v>
      </c>
      <c r="AG21" s="64">
        <f>AG20/SUM($S20:$AH20)</f>
        <v>8.2084399215964374E-2</v>
      </c>
      <c r="AH21" s="64">
        <f>AH20/SUM($S20:$AH20)</f>
        <v>0</v>
      </c>
      <c r="AI21" s="64">
        <f t="shared" ref="AI21:AW21" si="21">AI20/SUM($S20:$AH20)</f>
        <v>0.19235295487637824</v>
      </c>
      <c r="AJ21" s="64">
        <f t="shared" si="21"/>
        <v>0</v>
      </c>
      <c r="AK21" s="64">
        <f t="shared" si="21"/>
        <v>0</v>
      </c>
      <c r="AL21" s="64">
        <f t="shared" si="21"/>
        <v>0.37424037040096714</v>
      </c>
      <c r="AM21" s="64">
        <f t="shared" si="21"/>
        <v>0</v>
      </c>
      <c r="AN21" s="64">
        <f t="shared" si="21"/>
        <v>0</v>
      </c>
      <c r="AO21" s="64">
        <f t="shared" si="21"/>
        <v>0</v>
      </c>
      <c r="AP21" s="64">
        <f t="shared" si="21"/>
        <v>0</v>
      </c>
      <c r="AQ21" s="64">
        <f t="shared" si="21"/>
        <v>0</v>
      </c>
      <c r="AR21" s="64">
        <f t="shared" si="21"/>
        <v>0</v>
      </c>
      <c r="AS21" s="64">
        <f t="shared" si="21"/>
        <v>0</v>
      </c>
      <c r="AT21" s="64">
        <f t="shared" si="21"/>
        <v>0</v>
      </c>
      <c r="AU21" s="64">
        <f t="shared" si="21"/>
        <v>0</v>
      </c>
      <c r="AV21" s="64">
        <f t="shared" si="21"/>
        <v>0</v>
      </c>
      <c r="AW21" s="64">
        <f t="shared" si="21"/>
        <v>0</v>
      </c>
      <c r="AX21" s="10">
        <f t="shared" ref="AX21:BK21" si="22">AX20/SUM($AY20:$BM20)</f>
        <v>0</v>
      </c>
      <c r="AY21" s="10">
        <f t="shared" si="22"/>
        <v>0.98589537648502479</v>
      </c>
      <c r="AZ21" s="10">
        <f t="shared" si="22"/>
        <v>0</v>
      </c>
      <c r="BA21" s="10">
        <f t="shared" si="22"/>
        <v>0</v>
      </c>
      <c r="BB21" s="10">
        <f t="shared" si="22"/>
        <v>0</v>
      </c>
      <c r="BC21" s="10">
        <f t="shared" si="22"/>
        <v>0</v>
      </c>
      <c r="BD21" s="10">
        <f t="shared" si="22"/>
        <v>0</v>
      </c>
      <c r="BE21" s="10">
        <f t="shared" si="22"/>
        <v>0</v>
      </c>
      <c r="BF21" s="10">
        <f t="shared" si="22"/>
        <v>0</v>
      </c>
      <c r="BG21" s="10">
        <f t="shared" si="22"/>
        <v>0</v>
      </c>
      <c r="BH21" s="10">
        <f t="shared" si="22"/>
        <v>0</v>
      </c>
      <c r="BI21" s="10">
        <f t="shared" si="22"/>
        <v>0</v>
      </c>
      <c r="BJ21" s="10">
        <f t="shared" si="22"/>
        <v>0</v>
      </c>
      <c r="BK21" s="10">
        <f t="shared" si="22"/>
        <v>0</v>
      </c>
      <c r="BL21" s="10">
        <f>BL20/SUM($AY20:$BM20)</f>
        <v>1.410462351497521E-2</v>
      </c>
      <c r="BM21" s="10">
        <f>BM20/SUM($AY20:$BM20)</f>
        <v>0</v>
      </c>
      <c r="BN21" s="10">
        <f t="shared" ref="BN21:CB21" si="23">BN20/SUM($AY20:$BM20)</f>
        <v>0.10238110142118168</v>
      </c>
      <c r="BO21" s="10">
        <f t="shared" si="23"/>
        <v>0</v>
      </c>
      <c r="BP21" s="10">
        <f t="shared" si="23"/>
        <v>0</v>
      </c>
      <c r="BQ21" s="10">
        <f t="shared" si="23"/>
        <v>0.31538504606360357</v>
      </c>
      <c r="BR21" s="10">
        <f t="shared" si="23"/>
        <v>0</v>
      </c>
      <c r="BS21" s="10">
        <f t="shared" si="23"/>
        <v>0</v>
      </c>
      <c r="BT21" s="10">
        <f t="shared" si="23"/>
        <v>0</v>
      </c>
      <c r="BU21" s="10">
        <f t="shared" si="23"/>
        <v>0</v>
      </c>
      <c r="BV21" s="10">
        <f t="shared" si="23"/>
        <v>0</v>
      </c>
      <c r="BW21" s="10">
        <f t="shared" si="23"/>
        <v>0</v>
      </c>
      <c r="BX21" s="10">
        <f t="shared" si="23"/>
        <v>0</v>
      </c>
      <c r="BY21" s="10">
        <f t="shared" si="23"/>
        <v>0</v>
      </c>
      <c r="BZ21" s="10">
        <f t="shared" si="23"/>
        <v>0</v>
      </c>
      <c r="CA21" s="10">
        <f t="shared" si="23"/>
        <v>0</v>
      </c>
      <c r="CB21" s="10">
        <f t="shared" si="23"/>
        <v>0</v>
      </c>
      <c r="CC21" s="10">
        <f t="shared" ref="CC21:CO21" si="24">CC20/SUM($CD20:$CR20)</f>
        <v>0</v>
      </c>
      <c r="CD21" s="10">
        <f t="shared" si="24"/>
        <v>0</v>
      </c>
      <c r="CE21" s="10">
        <f t="shared" si="24"/>
        <v>0</v>
      </c>
      <c r="CF21" s="10">
        <f t="shared" si="24"/>
        <v>0</v>
      </c>
      <c r="CG21" s="10">
        <f t="shared" si="24"/>
        <v>0</v>
      </c>
      <c r="CH21" s="10">
        <f t="shared" si="24"/>
        <v>0</v>
      </c>
      <c r="CI21" s="10">
        <f t="shared" si="24"/>
        <v>0</v>
      </c>
      <c r="CJ21" s="10">
        <f t="shared" si="24"/>
        <v>0</v>
      </c>
      <c r="CK21" s="10">
        <f t="shared" si="24"/>
        <v>0</v>
      </c>
      <c r="CL21" s="10">
        <f t="shared" si="24"/>
        <v>0</v>
      </c>
      <c r="CM21" s="10">
        <f t="shared" si="24"/>
        <v>0</v>
      </c>
      <c r="CN21" s="10">
        <f t="shared" si="24"/>
        <v>0</v>
      </c>
      <c r="CO21" s="10">
        <f t="shared" si="24"/>
        <v>0</v>
      </c>
      <c r="CP21" s="10">
        <f>CP20/SUM($CD20:$CR20)</f>
        <v>0.88606304476039355</v>
      </c>
      <c r="CQ21" s="10">
        <f>CQ20/SUM($CD20:$CR20)</f>
        <v>0.11393695523960651</v>
      </c>
      <c r="CR21" s="10">
        <f>CR20/SUM($CD20:$CR20)</f>
        <v>0</v>
      </c>
      <c r="CS21" s="10">
        <f t="shared" ref="CS21:DG21" si="25">CS20/SUM($CD20:$CR20)</f>
        <v>5.8524889099694721E-2</v>
      </c>
      <c r="CT21" s="10">
        <f t="shared" si="25"/>
        <v>0</v>
      </c>
      <c r="CU21" s="10">
        <f t="shared" si="25"/>
        <v>0</v>
      </c>
      <c r="CV21" s="10">
        <f t="shared" si="25"/>
        <v>0.78141997805046559</v>
      </c>
      <c r="CW21" s="10">
        <f t="shared" si="25"/>
        <v>0</v>
      </c>
      <c r="CX21" s="10">
        <f t="shared" si="25"/>
        <v>0</v>
      </c>
      <c r="CY21" s="10">
        <f t="shared" si="25"/>
        <v>0</v>
      </c>
      <c r="CZ21" s="10">
        <f t="shared" si="25"/>
        <v>0</v>
      </c>
      <c r="DA21" s="10">
        <f t="shared" si="25"/>
        <v>0</v>
      </c>
      <c r="DB21" s="10">
        <f t="shared" si="25"/>
        <v>0</v>
      </c>
      <c r="DC21" s="10">
        <f t="shared" si="25"/>
        <v>0</v>
      </c>
      <c r="DD21" s="10">
        <f t="shared" si="25"/>
        <v>0</v>
      </c>
      <c r="DE21" s="10">
        <f t="shared" si="25"/>
        <v>0</v>
      </c>
      <c r="DF21" s="10">
        <f t="shared" si="25"/>
        <v>0</v>
      </c>
      <c r="DG21" s="10">
        <f t="shared" si="25"/>
        <v>0</v>
      </c>
    </row>
    <row r="22" spans="1:111" x14ac:dyDescent="0.25">
      <c r="B22" s="5" t="s">
        <v>205</v>
      </c>
      <c r="C22" s="18">
        <f>(MAX(C15:C19)-AVERAGE(C15:C19))/AVERAGE(C15:C19)</f>
        <v>0.3463048213134049</v>
      </c>
      <c r="D22" s="18">
        <f t="shared" ref="D22:E22" si="26">MAX((MAX(D15:D19)-AVERAGE(D15:D19))/AVERAGE(D15:D19),ABS((MIN(D15:D19)-AVERAGE(D15:D19))/AVERAGE(D15:D19)))</f>
        <v>0.30968825397876099</v>
      </c>
      <c r="E22" s="18">
        <f t="shared" si="26"/>
        <v>0.97298704907145617</v>
      </c>
      <c r="F22" s="18">
        <f>MAX((MAX(F15:F19)-AVERAGE(F15:F19))/AVERAGE(F15:F19),ABS((MIN(F15:F19)-AVERAGE(F15:F19))/AVERAGE(F15:F19)))</f>
        <v>0.25886551160229399</v>
      </c>
      <c r="G22" s="18"/>
      <c r="H22" s="18"/>
      <c r="I22" s="5"/>
      <c r="K22" s="10"/>
      <c r="L22" s="10"/>
      <c r="M22" s="10"/>
      <c r="N22" s="10"/>
      <c r="O22" s="10"/>
      <c r="P22" s="10"/>
      <c r="Q22" s="10"/>
      <c r="R22" s="10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</row>
    <row r="23" spans="1:111" ht="18.75" x14ac:dyDescent="0.3">
      <c r="A23" s="4" t="s">
        <v>72</v>
      </c>
      <c r="B23">
        <v>2018</v>
      </c>
      <c r="C23" s="7">
        <f>IF(COUNTIFS('Data(perSeason,perCrop)'!$S:$S,Indicators!$B23)&gt;0,SUMIFS('Data(perSeason,perCrop)'!$A:$A,'Data(perSeason,perCrop)'!$S:$S,Indicators!$B23,'Data(perSeason,perCrop)'!$O:$O,Indicators!C$7,'Data(perSeason,perCrop)'!$R:$R,"RAINFED"),"")</f>
        <v>4068.3598953220298</v>
      </c>
      <c r="D23" s="7">
        <f>IF(COUNTIFS('Data(perSeason,perCrop)'!$S:$S,Indicators!$B23)&gt;0,SUMIFS('Data(perSeason,perCrop)'!$A:$A,'Data(perSeason,perCrop)'!$S:$S,Indicators!$B23,'Data(perSeason,perCrop)'!$O:$O,Indicators!D$7,'Data(perSeason,perCrop)'!$R:$R,"RAINFED"),"")</f>
        <v>2859.9597803694596</v>
      </c>
      <c r="E23" s="7">
        <f>IF(COUNTIFS('Data(perSeason,perCrop)'!$S:$S,Indicators!$B23)&gt;0,SUMIFS('Data(perSeason,perCrop)'!$A:$A,'Data(perSeason,perCrop)'!$S:$S,Indicators!$B23,'Data(perSeason,perCrop)'!$O:$O,Indicators!E$7,'Data(perSeason,perCrop)'!$R:$R,"RAINFED"),"")</f>
        <v>144.54214707786994</v>
      </c>
      <c r="F23" s="7">
        <f>IF(COUNTIFS('Data(perSeason,perCrop)'!$S:$S,Indicators!$B23)&gt;0,SUMIFS('Data(perSeason,perCrop)'!$A:$A,'Data(perSeason,perCrop)'!$S:$S,Indicators!$B23,'Data(perSeason,perCrop)'!$O:$O,Indicators!F$7,'Data(perSeason,perCrop)'!$R:$R,"RAINFED"),"")</f>
        <v>2426.3902205496688</v>
      </c>
      <c r="G23" s="7"/>
      <c r="H23" s="7"/>
      <c r="J23" s="2" t="s">
        <v>209</v>
      </c>
      <c r="K23" s="7">
        <f>SUMIFS('Data(perSeason,perCrop)'!$A:$A,'Data(perSeason,perCrop)'!$S:$S,Indicators!$B23,'Data(perSeason,perCrop)'!$O:$O,Indicators!K$7,'Data(perSeason,perCrop)'!$C:$C,Indicators!K$3,'Data(perSeason,perCrop)'!$R:$R,"RAINFED")</f>
        <v>10.8345299928403</v>
      </c>
      <c r="L23" s="7">
        <f>SUMIFS('Data(perSeason,perCrop)'!$A:$A,'Data(perSeason,perCrop)'!$S:$S,Indicators!$B23,'Data(perSeason,perCrop)'!$O:$O,Indicators!L$7,'Data(perSeason,perCrop)'!$C:$C,Indicators!L$3,'Data(perSeason,perCrop)'!$R:$R,"RAINFED")</f>
        <v>0</v>
      </c>
      <c r="M23" s="7">
        <f>SUMIFS('Data(perSeason,perCrop)'!$A:$A,'Data(perSeason,perCrop)'!$S:$S,Indicators!$B23,'Data(perSeason,perCrop)'!$O:$O,Indicators!M$7,'Data(perSeason,perCrop)'!$C:$C,Indicators!M$3,'Data(perSeason,perCrop)'!$R:$R,"RAINFED")</f>
        <v>0</v>
      </c>
      <c r="N23" s="7">
        <f>SUMIFS('Data(perSeason,perCrop)'!$A:$A,'Data(perSeason,perCrop)'!$S:$S,Indicators!$B23,'Data(perSeason,perCrop)'!$O:$O,Indicators!N$7,'Data(perSeason,perCrop)'!$C:$C,Indicators!N$3,'Data(perSeason,perCrop)'!$R:$R,"RAINFED")</f>
        <v>122.039328824983</v>
      </c>
      <c r="O23" s="7">
        <f>SUMIFS('Data(perSeason,perCrop)'!$A:$A,'Data(perSeason,perCrop)'!$S:$S,Indicators!$B23,'Data(perSeason,perCrop)'!$O:$O,Indicators!O$7,'Data(perSeason,perCrop)'!$C:$C,Indicators!O$3,'Data(perSeason,perCrop)'!$R:$R,"RAINFED")</f>
        <v>2248.5740852476201</v>
      </c>
      <c r="P23" s="7">
        <f>SUMIFS('Data(perSeason,perCrop)'!$A:$A,'Data(perSeason,perCrop)'!$S:$S,Indicators!$B23,'Data(perSeason,perCrop)'!$O:$O,Indicators!P$7,'Data(perSeason,perCrop)'!$C:$C,Indicators!P$3,'Data(perSeason,perCrop)'!$R:$R,"RAINFED")</f>
        <v>0</v>
      </c>
      <c r="Q23" s="7">
        <f>SUMIFS('Data(perSeason,perCrop)'!$A:$A,'Data(perSeason,perCrop)'!$S:$S,Indicators!$B23,'Data(perSeason,perCrop)'!$O:$O,Indicators!Q$7,'Data(perSeason,perCrop)'!$C:$C,Indicators!Q$3,'Data(perSeason,perCrop)'!$R:$R,"RAINFED")</f>
        <v>44.942276484225403</v>
      </c>
      <c r="R23" s="7">
        <f>SUMIFS('Data(perSeason,perCrop)'!$A:$A,'Data(perSeason,perCrop)'!$S:$S,Indicators!$B23,'Data(perSeason,perCrop)'!$O:$O,Indicators!R$7,'Data(perSeason,perCrop)'!$C:$C,Indicators!R$3,'Data(perSeason,perCrop)'!$R:$R,"RAINFED")</f>
        <v>0</v>
      </c>
      <c r="S23" s="62">
        <f>SUMIFS('Data(perSeason,perCrop)'!$A:$A,'Data(perSeason,perCrop)'!$S:$S,Indicators!$B23,'Data(perSeason,perCrop)'!$O:$O,Indicators!S$7,'Data(perSeason,perCrop)'!$C:$C,Indicators!S$3,'Data(perSeason,perCrop)'!$R:$R,"RAINFED")</f>
        <v>0</v>
      </c>
      <c r="T23" s="62">
        <f>SUMIFS('Data(perSeason,perCrop)'!$A:$A,'Data(perSeason,perCrop)'!$S:$S,Indicators!$B23,'Data(perSeason,perCrop)'!$O:$O,Indicators!T$7,'Data(perSeason,perCrop)'!$C:$C,Indicators!T$3,'Data(perSeason,perCrop)'!$R:$R,"RAINFED")</f>
        <v>1596.0865662609799</v>
      </c>
      <c r="U23" s="62">
        <f>SUMIFS('Data(perSeason,perCrop)'!$A:$A,'Data(perSeason,perCrop)'!$S:$S,Indicators!$B23,'Data(perSeason,perCrop)'!$O:$O,Indicators!U$7,'Data(perSeason,perCrop)'!$C:$C,Indicators!U$3,'Data(perSeason,perCrop)'!$R:$R,"RAINFED")</f>
        <v>0</v>
      </c>
      <c r="V23" s="62">
        <f>SUMIFS('Data(perSeason,perCrop)'!$A:$A,'Data(perSeason,perCrop)'!$S:$S,Indicators!$B23,'Data(perSeason,perCrop)'!$O:$O,Indicators!V$7,'Data(perSeason,perCrop)'!$C:$C,Indicators!V$3,'Data(perSeason,perCrop)'!$R:$R,"RAINFED")</f>
        <v>0</v>
      </c>
      <c r="W23" s="62">
        <f>SUMIFS('Data(perSeason,perCrop)'!$A:$A,'Data(perSeason,perCrop)'!$S:$S,Indicators!$B23,'Data(perSeason,perCrop)'!$O:$O,Indicators!W$7,'Data(perSeason,perCrop)'!$C:$C,Indicators!W$3,'Data(perSeason,perCrop)'!$R:$R,"RAINFED")</f>
        <v>0</v>
      </c>
      <c r="X23" s="62">
        <f>SUMIFS('Data(perSeason,perCrop)'!$A:$A,'Data(perSeason,perCrop)'!$S:$S,Indicators!$B23,'Data(perSeason,perCrop)'!$O:$O,Indicators!X$7,'Data(perSeason,perCrop)'!$C:$C,Indicators!X$3,'Data(perSeason,perCrop)'!$R:$R,"RAINFED")</f>
        <v>0</v>
      </c>
      <c r="Y23" s="62">
        <f>SUMIFS('Data(perSeason,perCrop)'!$A:$A,'Data(perSeason,perCrop)'!$S:$S,Indicators!$B23,'Data(perSeason,perCrop)'!$O:$O,Indicators!Y$7,'Data(perSeason,perCrop)'!$C:$C,Indicators!Y$3,'Data(perSeason,perCrop)'!$R:$R,"RAINFED")</f>
        <v>0</v>
      </c>
      <c r="Z23" s="62">
        <f>SUMIFS('Data(perSeason,perCrop)'!$A:$A,'Data(perSeason,perCrop)'!$S:$S,Indicators!$B23,'Data(perSeason,perCrop)'!$O:$O,Indicators!Z$7,'Data(perSeason,perCrop)'!$C:$C,Indicators!Z$3,'Data(perSeason,perCrop)'!$R:$R,"RAINFED")</f>
        <v>0</v>
      </c>
      <c r="AA23" s="62">
        <f>SUMIFS('Data(perSeason,perCrop)'!$A:$A,'Data(perSeason,perCrop)'!$S:$S,Indicators!$B23,'Data(perSeason,perCrop)'!$O:$O,Indicators!AA$7,'Data(perSeason,perCrop)'!$C:$C,Indicators!AA$3,'Data(perSeason,perCrop)'!$R:$R,"RAINFED")</f>
        <v>0</v>
      </c>
      <c r="AB23" s="62">
        <f>SUMIFS('Data(perSeason,perCrop)'!$A:$A,'Data(perSeason,perCrop)'!$S:$S,Indicators!$B23,'Data(perSeason,perCrop)'!$O:$O,Indicators!AB$7,'Data(perSeason,perCrop)'!$C:$C,Indicators!AB$3,'Data(perSeason,perCrop)'!$R:$R,"RAINFED")</f>
        <v>0</v>
      </c>
      <c r="AC23" s="62">
        <f>SUMIFS('Data(perSeason,perCrop)'!$A:$A,'Data(perSeason,perCrop)'!$S:$S,Indicators!$B23,'Data(perSeason,perCrop)'!$O:$O,Indicators!AC$7,'Data(perSeason,perCrop)'!$C:$C,Indicators!AC$3,'Data(perSeason,perCrop)'!$R:$R,"RAINFED")</f>
        <v>0</v>
      </c>
      <c r="AD23" s="62">
        <f>SUMIFS('Data(perSeason,perCrop)'!$A:$A,'Data(perSeason,perCrop)'!$S:$S,Indicators!$B23,'Data(perSeason,perCrop)'!$O:$O,Indicators!AD$7,'Data(perSeason,perCrop)'!$C:$C,Indicators!AD$3,'Data(perSeason,perCrop)'!$R:$R,"RAINFED")</f>
        <v>0</v>
      </c>
      <c r="AE23" s="62">
        <f>SUMIFS('Data(perSeason,perCrop)'!$A:$A,'Data(perSeason,perCrop)'!$S:$S,Indicators!$B23,'Data(perSeason,perCrop)'!$O:$O,Indicators!AE$7,'Data(perSeason,perCrop)'!$C:$C,Indicators!AE$3,'Data(perSeason,perCrop)'!$R:$R,"RAINFED")</f>
        <v>0</v>
      </c>
      <c r="AF23" s="62">
        <f>SUMIFS('Data(perSeason,perCrop)'!$A:$A,'Data(perSeason,perCrop)'!$S:$S,Indicators!$B23,'Data(perSeason,perCrop)'!$O:$O,Indicators!AF$7,'Data(perSeason,perCrop)'!$C:$C,Indicators!AF$3,'Data(perSeason,perCrop)'!$R:$R,"RAINFED")</f>
        <v>13.1352250055171</v>
      </c>
      <c r="AG23" s="62">
        <f>SUMIFS('Data(perSeason,perCrop)'!$A:$A,'Data(perSeason,perCrop)'!$S:$S,Indicators!$B23,'Data(perSeason,perCrop)'!$O:$O,Indicators!AG$7,'Data(perSeason,perCrop)'!$C:$C,Indicators!AG$3,'Data(perSeason,perCrop)'!$R:$R,"RAINFED")</f>
        <v>54.429868623097697</v>
      </c>
      <c r="AH23" s="62">
        <f>SUMIFS('Data(perSeason,perCrop)'!$A:$A,'Data(perSeason,perCrop)'!$S:$S,Indicators!$B23,'Data(perSeason,perCrop)'!$O:$O,Indicators!AH$7,'Data(perSeason,perCrop)'!$C:$C,Indicators!AH$3,'Data(perSeason,perCrop)'!$R:$R,"RAINFED")</f>
        <v>0</v>
      </c>
      <c r="AI23" s="62">
        <f>SUMIFS('Data(perSeason,perCrop)'!$A:$A,'Data(perSeason,perCrop)'!$S:$S,Indicators!$B23,'Data(perSeason,perCrop)'!$O:$O,Indicators!AI$7,'Data(perSeason,perCrop)'!$C:$C,Indicators!AI$3,'Data(perSeason,perCrop)'!$R:$R,"RAINFED")</f>
        <v>490.68952754643101</v>
      </c>
      <c r="AJ23" s="62">
        <f>SUMIFS('Data(perSeason,perCrop)'!$A:$A,'Data(perSeason,perCrop)'!$S:$S,Indicators!$B23,'Data(perSeason,perCrop)'!$O:$O,Indicators!AJ$7,'Data(perSeason,perCrop)'!$C:$C,Indicators!AJ$3,'Data(perSeason,perCrop)'!$R:$R,"RAINFED")</f>
        <v>0</v>
      </c>
      <c r="AK23" s="62">
        <f>SUMIFS('Data(perSeason,perCrop)'!$A:$A,'Data(perSeason,perCrop)'!$S:$S,Indicators!$B23,'Data(perSeason,perCrop)'!$O:$O,Indicators!AK$7,'Data(perSeason,perCrop)'!$C:$C,Indicators!AK$3,'Data(perSeason,perCrop)'!$R:$R,"RAINFED")</f>
        <v>0</v>
      </c>
      <c r="AL23" s="62">
        <f>SUMIFS('Data(perSeason,perCrop)'!$A:$A,'Data(perSeason,perCrop)'!$S:$S,Indicators!$B23,'Data(perSeason,perCrop)'!$O:$O,Indicators!AL$7,'Data(perSeason,perCrop)'!$C:$C,Indicators!AL$3,'Data(perSeason,perCrop)'!$R:$R,"RAINFED")</f>
        <v>327.26933558292399</v>
      </c>
      <c r="AM23" s="62">
        <f>SUMIFS('Data(perSeason,perCrop)'!$A:$A,'Data(perSeason,perCrop)'!$S:$S,Indicators!$B23,'Data(perSeason,perCrop)'!$O:$O,Indicators!AM$7,'Data(perSeason,perCrop)'!$C:$C,Indicators!AM$3,'Data(perSeason,perCrop)'!$R:$R,"RAINFED")</f>
        <v>0</v>
      </c>
      <c r="AN23" s="62">
        <f>SUMIFS('Data(perSeason,perCrop)'!$A:$A,'Data(perSeason,perCrop)'!$S:$S,Indicators!$B23,'Data(perSeason,perCrop)'!$O:$O,Indicators!AN$7,'Data(perSeason,perCrop)'!$C:$C,Indicators!AN$3,'Data(perSeason,perCrop)'!$R:$R,"RAINFED")</f>
        <v>0</v>
      </c>
      <c r="AO23" s="62">
        <f>SUMIFS('Data(perSeason,perCrop)'!$A:$A,'Data(perSeason,perCrop)'!$S:$S,Indicators!$B23,'Data(perSeason,perCrop)'!$O:$O,Indicators!AO$7,'Data(perSeason,perCrop)'!$C:$C,Indicators!AO$3,'Data(perSeason,perCrop)'!$R:$R,"RAINFED")</f>
        <v>0</v>
      </c>
      <c r="AP23" s="62">
        <f>SUMIFS('Data(perSeason,perCrop)'!$A:$A,'Data(perSeason,perCrop)'!$S:$S,Indicators!$B23,'Data(perSeason,perCrop)'!$O:$O,Indicators!AP$7,'Data(perSeason,perCrop)'!$C:$C,Indicators!AP$3,'Data(perSeason,perCrop)'!$R:$R,"RAINFED")</f>
        <v>0</v>
      </c>
      <c r="AQ23" s="62">
        <f>SUMIFS('Data(perSeason,perCrop)'!$A:$A,'Data(perSeason,perCrop)'!$S:$S,Indicators!$B23,'Data(perSeason,perCrop)'!$O:$O,Indicators!AQ$7,'Data(perSeason,perCrop)'!$C:$C,Indicators!AQ$3,'Data(perSeason,perCrop)'!$R:$R,"RAINFED")</f>
        <v>0</v>
      </c>
      <c r="AR23" s="62">
        <f>SUMIFS('Data(perSeason,perCrop)'!$A:$A,'Data(perSeason,perCrop)'!$S:$S,Indicators!$B23,'Data(perSeason,perCrop)'!$O:$O,Indicators!AR$7,'Data(perSeason,perCrop)'!$C:$C,Indicators!AR$3,'Data(perSeason,perCrop)'!$R:$R,"RAINFED")</f>
        <v>0</v>
      </c>
      <c r="AS23" s="62">
        <f>SUMIFS('Data(perSeason,perCrop)'!$A:$A,'Data(perSeason,perCrop)'!$S:$S,Indicators!$B23,'Data(perSeason,perCrop)'!$O:$O,Indicators!AS$7,'Data(perSeason,perCrop)'!$C:$C,Indicators!AS$3,'Data(perSeason,perCrop)'!$R:$R,"RAINFED")</f>
        <v>0</v>
      </c>
      <c r="AT23" s="62">
        <f>SUMIFS('Data(perSeason,perCrop)'!$A:$A,'Data(perSeason,perCrop)'!$S:$S,Indicators!$B23,'Data(perSeason,perCrop)'!$O:$O,Indicators!AT$7,'Data(perSeason,perCrop)'!$C:$C,Indicators!AT$3,'Data(perSeason,perCrop)'!$R:$R,"RAINFED")</f>
        <v>0</v>
      </c>
      <c r="AU23" s="62">
        <f>SUMIFS('Data(perSeason,perCrop)'!$A:$A,'Data(perSeason,perCrop)'!$S:$S,Indicators!$B23,'Data(perSeason,perCrop)'!$O:$O,Indicators!AU$7,'Data(perSeason,perCrop)'!$C:$C,Indicators!AU$3,'Data(perSeason,perCrop)'!$R:$R,"RAINFED")</f>
        <v>0</v>
      </c>
      <c r="AV23" s="62">
        <f>SUMIFS('Data(perSeason,perCrop)'!$A:$A,'Data(perSeason,perCrop)'!$S:$S,Indicators!$B23,'Data(perSeason,perCrop)'!$O:$O,Indicators!AV$7,'Data(perSeason,perCrop)'!$C:$C,Indicators!AV$3,'Data(perSeason,perCrop)'!$R:$R,"RAINFED")</f>
        <v>0</v>
      </c>
      <c r="AW23" s="62">
        <f>SUMIFS('Data(perSeason,perCrop)'!$A:$A,'Data(perSeason,perCrop)'!$S:$S,Indicators!$B23,'Data(perSeason,perCrop)'!$O:$O,Indicators!AW$7,'Data(perSeason,perCrop)'!$C:$C,Indicators!AW$3,'Data(perSeason,perCrop)'!$R:$R,"RAINFED")</f>
        <v>0</v>
      </c>
      <c r="AX23" s="7">
        <f>SUMIFS('Data(perSeason,perCrop)'!$A:$A,'Data(perSeason,perCrop)'!$S:$S,Indicators!$B23,'Data(perSeason,perCrop)'!$O:$O,Indicators!AX$7,'Data(perSeason,perCrop)'!$C:$C,Indicators!AX$3,'Data(perSeason,perCrop)'!$R:$R,"RAINFED")</f>
        <v>0</v>
      </c>
      <c r="AY23" s="7">
        <f>SUMIFS('Data(perSeason,perCrop)'!$A:$A,'Data(perSeason,perCrop)'!$S:$S,Indicators!$B23,'Data(perSeason,perCrop)'!$O:$O,Indicators!AY$7,'Data(perSeason,perCrop)'!$C:$C,Indicators!AY$3,'Data(perSeason,perCrop)'!$R:$R,"RAINFED")</f>
        <v>611.32788979757197</v>
      </c>
      <c r="AZ23" s="7">
        <f>SUMIFS('Data(perSeason,perCrop)'!$A:$A,'Data(perSeason,perCrop)'!$S:$S,Indicators!$B23,'Data(perSeason,perCrop)'!$O:$O,Indicators!AZ$7,'Data(perSeason,perCrop)'!$C:$C,Indicators!AZ$3,'Data(perSeason,perCrop)'!$R:$R,"RAINFED")</f>
        <v>0</v>
      </c>
      <c r="BA23" s="7">
        <f>SUMIFS('Data(perSeason,perCrop)'!$A:$A,'Data(perSeason,perCrop)'!$S:$S,Indicators!$B23,'Data(perSeason,perCrop)'!$O:$O,Indicators!BA$7,'Data(perSeason,perCrop)'!$C:$C,Indicators!BA$3,'Data(perSeason,perCrop)'!$R:$R,"RAINFED")</f>
        <v>0</v>
      </c>
      <c r="BB23" s="7">
        <f>SUMIFS('Data(perSeason,perCrop)'!$A:$A,'Data(perSeason,perCrop)'!$S:$S,Indicators!$B23,'Data(perSeason,perCrop)'!$O:$O,Indicators!BB$7,'Data(perSeason,perCrop)'!$C:$C,Indicators!BB$3,'Data(perSeason,perCrop)'!$R:$R,"RAINFED")</f>
        <v>0</v>
      </c>
      <c r="BC23" s="7">
        <f>SUMIFS('Data(perSeason,perCrop)'!$A:$A,'Data(perSeason,perCrop)'!$S:$S,Indicators!$B23,'Data(perSeason,perCrop)'!$O:$O,Indicators!BC$7,'Data(perSeason,perCrop)'!$C:$C,Indicators!BC$3,'Data(perSeason,perCrop)'!$R:$R,"RAINFED")</f>
        <v>0</v>
      </c>
      <c r="BD23" s="7">
        <f>SUMIFS('Data(perSeason,perCrop)'!$A:$A,'Data(perSeason,perCrop)'!$S:$S,Indicators!$B23,'Data(perSeason,perCrop)'!$O:$O,Indicators!BD$7,'Data(perSeason,perCrop)'!$C:$C,Indicators!BD$3,'Data(perSeason,perCrop)'!$R:$R,"RAINFED")</f>
        <v>0</v>
      </c>
      <c r="BE23" s="7">
        <f>SUMIFS('Data(perSeason,perCrop)'!$A:$A,'Data(perSeason,perCrop)'!$S:$S,Indicators!$B23,'Data(perSeason,perCrop)'!$O:$O,Indicators!BE$7,'Data(perSeason,perCrop)'!$C:$C,Indicators!BE$3,'Data(perSeason,perCrop)'!$R:$R,"RAINFED")</f>
        <v>0</v>
      </c>
      <c r="BF23" s="7">
        <f>SUMIFS('Data(perSeason,perCrop)'!$A:$A,'Data(perSeason,perCrop)'!$S:$S,Indicators!$B23,'Data(perSeason,perCrop)'!$O:$O,Indicators!BF$7,'Data(perSeason,perCrop)'!$C:$C,Indicators!BF$3,'Data(perSeason,perCrop)'!$R:$R,"RAINFED")</f>
        <v>0</v>
      </c>
      <c r="BG23" s="7">
        <f>SUMIFS('Data(perSeason,perCrop)'!$A:$A,'Data(perSeason,perCrop)'!$S:$S,Indicators!$B23,'Data(perSeason,perCrop)'!$O:$O,Indicators!BG$7,'Data(perSeason,perCrop)'!$C:$C,Indicators!BG$3,'Data(perSeason,perCrop)'!$R:$R,"RAINFED")</f>
        <v>0</v>
      </c>
      <c r="BH23" s="7">
        <f>SUMIFS('Data(perSeason,perCrop)'!$A:$A,'Data(perSeason,perCrop)'!$S:$S,Indicators!$B23,'Data(perSeason,perCrop)'!$O:$O,Indicators!BH$7,'Data(perSeason,perCrop)'!$C:$C,Indicators!BH$3,'Data(perSeason,perCrop)'!$R:$R,"RAINFED")</f>
        <v>0</v>
      </c>
      <c r="BI23" s="7">
        <f>SUMIFS('Data(perSeason,perCrop)'!$A:$A,'Data(perSeason,perCrop)'!$S:$S,Indicators!$B23,'Data(perSeason,perCrop)'!$O:$O,Indicators!BI$7,'Data(perSeason,perCrop)'!$C:$C,Indicators!BI$3,'Data(perSeason,perCrop)'!$R:$R,"RAINFED")</f>
        <v>0</v>
      </c>
      <c r="BJ23" s="7">
        <f>SUMIFS('Data(perSeason,perCrop)'!$A:$A,'Data(perSeason,perCrop)'!$S:$S,Indicators!$B23,'Data(perSeason,perCrop)'!$O:$O,Indicators!BJ$7,'Data(perSeason,perCrop)'!$C:$C,Indicators!BJ$3,'Data(perSeason,perCrop)'!$R:$R,"RAINFED")</f>
        <v>0</v>
      </c>
      <c r="BK23" s="7">
        <f>SUMIFS('Data(perSeason,perCrop)'!$A:$A,'Data(perSeason,perCrop)'!$S:$S,Indicators!$B23,'Data(perSeason,perCrop)'!$O:$O,Indicators!BK$7,'Data(perSeason,perCrop)'!$C:$C,Indicators!BK$3,'Data(perSeason,perCrop)'!$R:$R,"RAINFED")</f>
        <v>0</v>
      </c>
      <c r="BL23" s="7">
        <f>SUMIFS('Data(perSeason,perCrop)'!$A:$A,'Data(perSeason,perCrop)'!$S:$S,Indicators!$B23,'Data(perSeason,perCrop)'!$O:$O,Indicators!BL$7,'Data(perSeason,perCrop)'!$C:$C,Indicators!BL$3,'Data(perSeason,perCrop)'!$R:$R,"RAINFED")</f>
        <v>33.8776154336338</v>
      </c>
      <c r="BM23" s="7">
        <f>SUMIFS('Data(perSeason,perCrop)'!$A:$A,'Data(perSeason,perCrop)'!$S:$S,Indicators!$B23,'Data(perSeason,perCrop)'!$O:$O,Indicators!BM$7,'Data(perSeason,perCrop)'!$C:$C,Indicators!BM$3,'Data(perSeason,perCrop)'!$R:$R,"RAINFED")</f>
        <v>0</v>
      </c>
      <c r="BN23" s="7">
        <f>SUMIFS('Data(perSeason,perCrop)'!$A:$A,'Data(perSeason,perCrop)'!$S:$S,Indicators!$B23,'Data(perSeason,perCrop)'!$O:$O,Indicators!BN$7,'Data(perSeason,perCrop)'!$C:$C,Indicators!BN$3,'Data(perSeason,perCrop)'!$R:$R,"RAINFED")</f>
        <v>524.99812069155098</v>
      </c>
      <c r="BO23" s="7">
        <f>SUMIFS('Data(perSeason,perCrop)'!$A:$A,'Data(perSeason,perCrop)'!$S:$S,Indicators!$B23,'Data(perSeason,perCrop)'!$O:$O,Indicators!BO$7,'Data(perSeason,perCrop)'!$C:$C,Indicators!BO$3,'Data(perSeason,perCrop)'!$R:$R,"RAINFED")</f>
        <v>0</v>
      </c>
      <c r="BP23" s="7">
        <f>SUMIFS('Data(perSeason,perCrop)'!$A:$A,'Data(perSeason,perCrop)'!$S:$S,Indicators!$B23,'Data(perSeason,perCrop)'!$O:$O,Indicators!BP$7,'Data(perSeason,perCrop)'!$C:$C,Indicators!BP$3,'Data(perSeason,perCrop)'!$R:$R,"RAINFED")</f>
        <v>0</v>
      </c>
      <c r="BQ23" s="7">
        <f>SUMIFS('Data(perSeason,perCrop)'!$A:$A,'Data(perSeason,perCrop)'!$S:$S,Indicators!$B23,'Data(perSeason,perCrop)'!$O:$O,Indicators!BQ$7,'Data(perSeason,perCrop)'!$C:$C,Indicators!BQ$3,'Data(perSeason,perCrop)'!$R:$R,"RAINFED")</f>
        <v>368.601106548823</v>
      </c>
      <c r="BR23" s="7">
        <f>SUMIFS('Data(perSeason,perCrop)'!$A:$A,'Data(perSeason,perCrop)'!$S:$S,Indicators!$B23,'Data(perSeason,perCrop)'!$O:$O,Indicators!BR$7,'Data(perSeason,perCrop)'!$C:$C,Indicators!BR$3,'Data(perSeason,perCrop)'!$R:$R,"RAINFED")</f>
        <v>0</v>
      </c>
      <c r="BS23" s="7">
        <f>SUMIFS('Data(perSeason,perCrop)'!$A:$A,'Data(perSeason,perCrop)'!$S:$S,Indicators!$B23,'Data(perSeason,perCrop)'!$O:$O,Indicators!BS$7,'Data(perSeason,perCrop)'!$C:$C,Indicators!BS$3,'Data(perSeason,perCrop)'!$R:$R,"RAINFED")</f>
        <v>0</v>
      </c>
      <c r="BT23" s="7">
        <f>SUMIFS('Data(perSeason,perCrop)'!$A:$A,'Data(perSeason,perCrop)'!$S:$S,Indicators!$B23,'Data(perSeason,perCrop)'!$O:$O,Indicators!BT$7,'Data(perSeason,perCrop)'!$C:$C,Indicators!BT$3,'Data(perSeason,perCrop)'!$R:$R,"RAINFED")</f>
        <v>0</v>
      </c>
      <c r="BU23" s="7">
        <f>SUMIFS('Data(perSeason,perCrop)'!$A:$A,'Data(perSeason,perCrop)'!$S:$S,Indicators!$B23,'Data(perSeason,perCrop)'!$O:$O,Indicators!BU$7,'Data(perSeason,perCrop)'!$C:$C,Indicators!BU$3,'Data(perSeason,perCrop)'!$R:$R,"RAINFED")</f>
        <v>0</v>
      </c>
      <c r="BV23" s="7">
        <f>SUMIFS('Data(perSeason,perCrop)'!$A:$A,'Data(perSeason,perCrop)'!$S:$S,Indicators!$B23,'Data(perSeason,perCrop)'!$O:$O,Indicators!BV$7,'Data(perSeason,perCrop)'!$C:$C,Indicators!BV$3,'Data(perSeason,perCrop)'!$R:$R,"RAINFED")</f>
        <v>0</v>
      </c>
      <c r="BW23" s="7">
        <f>SUMIFS('Data(perSeason,perCrop)'!$A:$A,'Data(perSeason,perCrop)'!$S:$S,Indicators!$B23,'Data(perSeason,perCrop)'!$O:$O,Indicators!BW$7,'Data(perSeason,perCrop)'!$C:$C,Indicators!BW$3,'Data(perSeason,perCrop)'!$R:$R,"RAINFED")</f>
        <v>0</v>
      </c>
      <c r="BX23" s="7">
        <f>SUMIFS('Data(perSeason,perCrop)'!$A:$A,'Data(perSeason,perCrop)'!$S:$S,Indicators!$B23,'Data(perSeason,perCrop)'!$O:$O,Indicators!BX$7,'Data(perSeason,perCrop)'!$C:$C,Indicators!BX$3,'Data(perSeason,perCrop)'!$R:$R,"RAINFED")</f>
        <v>0</v>
      </c>
      <c r="BY23" s="7">
        <f>SUMIFS('Data(perSeason,perCrop)'!$A:$A,'Data(perSeason,perCrop)'!$S:$S,Indicators!$B23,'Data(perSeason,perCrop)'!$O:$O,Indicators!BY$7,'Data(perSeason,perCrop)'!$C:$C,Indicators!BY$3,'Data(perSeason,perCrop)'!$R:$R,"RAINFED")</f>
        <v>0</v>
      </c>
      <c r="BZ23" s="7">
        <f>SUMIFS('Data(perSeason,perCrop)'!$A:$A,'Data(perSeason,perCrop)'!$S:$S,Indicators!$B23,'Data(perSeason,perCrop)'!$O:$O,Indicators!BZ$7,'Data(perSeason,perCrop)'!$C:$C,Indicators!BZ$3,'Data(perSeason,perCrop)'!$R:$R,"RAINFED")</f>
        <v>0</v>
      </c>
      <c r="CA23" s="7">
        <f>SUMIFS('Data(perSeason,perCrop)'!$A:$A,'Data(perSeason,perCrop)'!$S:$S,Indicators!$B23,'Data(perSeason,perCrop)'!$O:$O,Indicators!CA$7,'Data(perSeason,perCrop)'!$C:$C,Indicators!CA$3,'Data(perSeason,perCrop)'!$R:$R,"RAINFED")</f>
        <v>0</v>
      </c>
      <c r="CB23" s="7">
        <f>SUMIFS('Data(perSeason,perCrop)'!$A:$A,'Data(perSeason,perCrop)'!$S:$S,Indicators!$B23,'Data(perSeason,perCrop)'!$O:$O,Indicators!CB$7,'Data(perSeason,perCrop)'!$C:$C,Indicators!CB$3,'Data(perSeason,perCrop)'!$R:$R,"RAINFED")</f>
        <v>0</v>
      </c>
      <c r="CC23" s="7">
        <f>SUMIFS('Data(perSeason,perCrop)'!$A:$A,'Data(perSeason,perCrop)'!$S:$S,Indicators!$B23,'Data(perSeason,perCrop)'!$O:$O,Indicators!CC$7,'Data(perSeason,perCrop)'!$C:$C,Indicators!CC$3,'Data(perSeason,perCrop)'!$R:$R,"RAINFED")</f>
        <v>0</v>
      </c>
      <c r="CD23" s="7">
        <f>SUMIFS('Data(perSeason,perCrop)'!$A:$A,'Data(perSeason,perCrop)'!$S:$S,Indicators!$B23,'Data(perSeason,perCrop)'!$O:$O,Indicators!CD$7,'Data(perSeason,perCrop)'!$C:$C,Indicators!CD$3,'Data(perSeason,perCrop)'!$R:$R,"RAINFED")</f>
        <v>0</v>
      </c>
      <c r="CE23" s="7">
        <f>SUMIFS('Data(perSeason,perCrop)'!$A:$A,'Data(perSeason,perCrop)'!$S:$S,Indicators!$B23,'Data(perSeason,perCrop)'!$O:$O,Indicators!CE$7,'Data(perSeason,perCrop)'!$C:$C,Indicators!CE$3,'Data(perSeason,perCrop)'!$R:$R,"RAINFED")</f>
        <v>0</v>
      </c>
      <c r="CF23" s="7">
        <f>SUMIFS('Data(perSeason,perCrop)'!$A:$A,'Data(perSeason,perCrop)'!$S:$S,Indicators!$B23,'Data(perSeason,perCrop)'!$O:$O,Indicators!CF$7,'Data(perSeason,perCrop)'!$C:$C,Indicators!CF$3,'Data(perSeason,perCrop)'!$R:$R,"RAINFED")</f>
        <v>0</v>
      </c>
      <c r="CG23" s="7">
        <f>SUMIFS('Data(perSeason,perCrop)'!$A:$A,'Data(perSeason,perCrop)'!$S:$S,Indicators!$B23,'Data(perSeason,perCrop)'!$O:$O,Indicators!CG$7,'Data(perSeason,perCrop)'!$C:$C,Indicators!CG$3,'Data(perSeason,perCrop)'!$R:$R,"RAINFED")</f>
        <v>0</v>
      </c>
      <c r="CH23" s="7">
        <f>SUMIFS('Data(perSeason,perCrop)'!$A:$A,'Data(perSeason,perCrop)'!$S:$S,Indicators!$B23,'Data(perSeason,perCrop)'!$O:$O,Indicators!CH$7,'Data(perSeason,perCrop)'!$C:$C,Indicators!CH$3,'Data(perSeason,perCrop)'!$R:$R,"RAINFED")</f>
        <v>0</v>
      </c>
      <c r="CI23" s="7">
        <f>SUMIFS('Data(perSeason,perCrop)'!$A:$A,'Data(perSeason,perCrop)'!$S:$S,Indicators!$B23,'Data(perSeason,perCrop)'!$O:$O,Indicators!CI$7,'Data(perSeason,perCrop)'!$C:$C,Indicators!CI$3,'Data(perSeason,perCrop)'!$R:$R,"RAINFED")</f>
        <v>0</v>
      </c>
      <c r="CJ23" s="7">
        <f>SUMIFS('Data(perSeason,perCrop)'!$A:$A,'Data(perSeason,perCrop)'!$S:$S,Indicators!$B23,'Data(perSeason,perCrop)'!$O:$O,Indicators!CJ$7,'Data(perSeason,perCrop)'!$C:$C,Indicators!CJ$3,'Data(perSeason,perCrop)'!$R:$R,"RAINFED")</f>
        <v>0</v>
      </c>
      <c r="CK23" s="7">
        <f>SUMIFS('Data(perSeason,perCrop)'!$A:$A,'Data(perSeason,perCrop)'!$S:$S,Indicators!$B23,'Data(perSeason,perCrop)'!$O:$O,Indicators!CK$7,'Data(perSeason,perCrop)'!$C:$C,Indicators!CK$3,'Data(perSeason,perCrop)'!$R:$R,"RAINFED")</f>
        <v>0</v>
      </c>
      <c r="CL23" s="7">
        <f>SUMIFS('Data(perSeason,perCrop)'!$A:$A,'Data(perSeason,perCrop)'!$S:$S,Indicators!$B23,'Data(perSeason,perCrop)'!$O:$O,Indicators!CL$7,'Data(perSeason,perCrop)'!$C:$C,Indicators!CL$3,'Data(perSeason,perCrop)'!$R:$R,"RAINFED")</f>
        <v>0</v>
      </c>
      <c r="CM23" s="7">
        <f>SUMIFS('Data(perSeason,perCrop)'!$A:$A,'Data(perSeason,perCrop)'!$S:$S,Indicators!$B23,'Data(perSeason,perCrop)'!$O:$O,Indicators!CM$7,'Data(perSeason,perCrop)'!$C:$C,Indicators!CM$3,'Data(perSeason,perCrop)'!$R:$R,"RAINFED")</f>
        <v>0</v>
      </c>
      <c r="CN23" s="7">
        <f>SUMIFS('Data(perSeason,perCrop)'!$A:$A,'Data(perSeason,perCrop)'!$S:$S,Indicators!$B23,'Data(perSeason,perCrop)'!$O:$O,Indicators!CN$7,'Data(perSeason,perCrop)'!$C:$C,Indicators!CN$3,'Data(perSeason,perCrop)'!$R:$R,"RAINFED")</f>
        <v>0</v>
      </c>
      <c r="CO23" s="7">
        <f>SUMIFS('Data(perSeason,perCrop)'!$A:$A,'Data(perSeason,perCrop)'!$S:$S,Indicators!$B23,'Data(perSeason,perCrop)'!$O:$O,Indicators!CO$7,'Data(perSeason,perCrop)'!$C:$C,Indicators!CO$3,'Data(perSeason,perCrop)'!$R:$R,"RAINFED")</f>
        <v>0</v>
      </c>
      <c r="CP23" s="7">
        <f>SUMIFS('Data(perSeason,perCrop)'!$A:$A,'Data(perSeason,perCrop)'!$S:$S,Indicators!$B23,'Data(perSeason,perCrop)'!$O:$O,Indicators!CP$7,'Data(perSeason,perCrop)'!$C:$C,Indicators!CP$3,'Data(perSeason,perCrop)'!$R:$R,"RAINFED")</f>
        <v>23.214123270491001</v>
      </c>
      <c r="CQ23" s="7">
        <f>SUMIFS('Data(perSeason,perCrop)'!$A:$A,'Data(perSeason,perCrop)'!$S:$S,Indicators!$B23,'Data(perSeason,perCrop)'!$O:$O,Indicators!CQ$7,'Data(perSeason,perCrop)'!$C:$C,Indicators!CQ$3,'Data(perSeason,perCrop)'!$R:$R,"RAINFED")</f>
        <v>7.8548074236043304</v>
      </c>
      <c r="CR23" s="7">
        <f>SUMIFS('Data(perSeason,perCrop)'!$A:$A,'Data(perSeason,perCrop)'!$S:$S,Indicators!$B23,'Data(perSeason,perCrop)'!$O:$O,Indicators!CR$7,'Data(perSeason,perCrop)'!$C:$C,Indicators!CR$3,'Data(perSeason,perCrop)'!$R:$R,"RAINFED")</f>
        <v>0</v>
      </c>
      <c r="CS23" s="7">
        <f>SUMIFS('Data(perSeason,perCrop)'!$A:$A,'Data(perSeason,perCrop)'!$S:$S,Indicators!$B23,'Data(perSeason,perCrop)'!$O:$O,Indicators!CS$7,'Data(perSeason,perCrop)'!$C:$C,Indicators!CS$3,'Data(perSeason,perCrop)'!$R:$R,"RAINFED")</f>
        <v>4.0898163182726002</v>
      </c>
      <c r="CT23" s="7">
        <f>SUMIFS('Data(perSeason,perCrop)'!$A:$A,'Data(perSeason,perCrop)'!$S:$S,Indicators!$B23,'Data(perSeason,perCrop)'!$O:$O,Indicators!CT$7,'Data(perSeason,perCrop)'!$C:$C,Indicators!CT$3,'Data(perSeason,perCrop)'!$R:$R,"RAINFED")</f>
        <v>0</v>
      </c>
      <c r="CU23" s="7">
        <f>SUMIFS('Data(perSeason,perCrop)'!$A:$A,'Data(perSeason,perCrop)'!$S:$S,Indicators!$B23,'Data(perSeason,perCrop)'!$O:$O,Indicators!CU$7,'Data(perSeason,perCrop)'!$C:$C,Indicators!CU$3,'Data(perSeason,perCrop)'!$R:$R,"RAINFED")</f>
        <v>0</v>
      </c>
      <c r="CV23" s="7">
        <f>SUMIFS('Data(perSeason,perCrop)'!$A:$A,'Data(perSeason,perCrop)'!$S:$S,Indicators!$B23,'Data(perSeason,perCrop)'!$O:$O,Indicators!CV$7,'Data(perSeason,perCrop)'!$C:$C,Indicators!CV$3,'Data(perSeason,perCrop)'!$R:$R,"RAINFED")</f>
        <v>55.825652434880801</v>
      </c>
      <c r="CW23" s="7">
        <f>SUMIFS('Data(perSeason,perCrop)'!$A:$A,'Data(perSeason,perCrop)'!$S:$S,Indicators!$B23,'Data(perSeason,perCrop)'!$O:$O,Indicators!CW$7,'Data(perSeason,perCrop)'!$C:$C,Indicators!CW$3,'Data(perSeason,perCrop)'!$R:$R,"RAINFED")</f>
        <v>0</v>
      </c>
      <c r="CX23" s="7">
        <f>SUMIFS('Data(perSeason,perCrop)'!$A:$A,'Data(perSeason,perCrop)'!$S:$S,Indicators!$B23,'Data(perSeason,perCrop)'!$O:$O,Indicators!CX$7,'Data(perSeason,perCrop)'!$C:$C,Indicators!CX$3,'Data(perSeason,perCrop)'!$R:$R,"RAINFED")</f>
        <v>0</v>
      </c>
      <c r="CY23" s="7">
        <f>SUMIFS('Data(perSeason,perCrop)'!$A:$A,'Data(perSeason,perCrop)'!$S:$S,Indicators!$B23,'Data(perSeason,perCrop)'!$O:$O,Indicators!CY$7,'Data(perSeason,perCrop)'!$C:$C,Indicators!CY$3,'Data(perSeason,perCrop)'!$R:$R,"RAINFED")</f>
        <v>0</v>
      </c>
      <c r="CZ23" s="7">
        <f>SUMIFS('Data(perSeason,perCrop)'!$A:$A,'Data(perSeason,perCrop)'!$S:$S,Indicators!$B23,'Data(perSeason,perCrop)'!$O:$O,Indicators!CZ$7,'Data(perSeason,perCrop)'!$C:$C,Indicators!CZ$3,'Data(perSeason,perCrop)'!$R:$R,"RAINFED")</f>
        <v>0</v>
      </c>
      <c r="DA23" s="7">
        <f>SUMIFS('Data(perSeason,perCrop)'!$A:$A,'Data(perSeason,perCrop)'!$S:$S,Indicators!$B23,'Data(perSeason,perCrop)'!$O:$O,Indicators!DA$7,'Data(perSeason,perCrop)'!$C:$C,Indicators!DA$3,'Data(perSeason,perCrop)'!$R:$R,"RAINFED")</f>
        <v>0</v>
      </c>
      <c r="DB23" s="7">
        <f>SUMIFS('Data(perSeason,perCrop)'!$A:$A,'Data(perSeason,perCrop)'!$S:$S,Indicators!$B23,'Data(perSeason,perCrop)'!$O:$O,Indicators!DB$7,'Data(perSeason,perCrop)'!$C:$C,Indicators!DB$3,'Data(perSeason,perCrop)'!$R:$R,"RAINFED")</f>
        <v>0</v>
      </c>
      <c r="DC23" s="7">
        <f>SUMIFS('Data(perSeason,perCrop)'!$A:$A,'Data(perSeason,perCrop)'!$S:$S,Indicators!$B23,'Data(perSeason,perCrop)'!$O:$O,Indicators!DC$7,'Data(perSeason,perCrop)'!$C:$C,Indicators!DC$3,'Data(perSeason,perCrop)'!$R:$R,"RAINFED")</f>
        <v>0</v>
      </c>
      <c r="DD23" s="7">
        <f>SUMIFS('Data(perSeason,perCrop)'!$A:$A,'Data(perSeason,perCrop)'!$S:$S,Indicators!$B23,'Data(perSeason,perCrop)'!$O:$O,Indicators!DD$7,'Data(perSeason,perCrop)'!$C:$C,Indicators!DD$3,'Data(perSeason,perCrop)'!$R:$R,"RAINFED")</f>
        <v>0</v>
      </c>
      <c r="DE23" s="7">
        <f>SUMIFS('Data(perSeason,perCrop)'!$A:$A,'Data(perSeason,perCrop)'!$S:$S,Indicators!$B23,'Data(perSeason,perCrop)'!$O:$O,Indicators!DE$7,'Data(perSeason,perCrop)'!$C:$C,Indicators!DE$3,'Data(perSeason,perCrop)'!$R:$R,"RAINFED")</f>
        <v>0</v>
      </c>
      <c r="DF23" s="7">
        <f>SUMIFS('Data(perSeason,perCrop)'!$A:$A,'Data(perSeason,perCrop)'!$S:$S,Indicators!$B23,'Data(perSeason,perCrop)'!$O:$O,Indicators!DF$7,'Data(perSeason,perCrop)'!$C:$C,Indicators!DF$3,'Data(perSeason,perCrop)'!$R:$R,"RAINFED")</f>
        <v>0</v>
      </c>
      <c r="DG23" s="7">
        <f>SUMIFS('Data(perSeason,perCrop)'!$A:$A,'Data(perSeason,perCrop)'!$S:$S,Indicators!$B23,'Data(perSeason,perCrop)'!$O:$O,Indicators!DG$7,'Data(perSeason,perCrop)'!$C:$C,Indicators!DG$3,'Data(perSeason,perCrop)'!$R:$R,"RAINFED")</f>
        <v>0</v>
      </c>
    </row>
    <row r="24" spans="1:111" x14ac:dyDescent="0.25">
      <c r="A24" t="s">
        <v>68</v>
      </c>
      <c r="B24">
        <v>2019</v>
      </c>
      <c r="C24" s="7">
        <f>IF(COUNTIFS('Data(perSeason,perCrop)'!$S:$S,Indicators!$B24)&gt;0,SUMIFS('Data(perSeason,perCrop)'!$A:$A,'Data(perSeason,perCrop)'!$S:$S,Indicators!$B24,'Data(perSeason,perCrop)'!$O:$O,Indicators!C$7,'Data(perSeason,perCrop)'!$R:$R,"RAINFED"),"")</f>
        <v>6479.4823503288862</v>
      </c>
      <c r="D24" s="7">
        <f>IF(COUNTIFS('Data(perSeason,perCrop)'!$S:$S,Indicators!$B24)&gt;0,SUMIFS('Data(perSeason,perCrop)'!$A:$A,'Data(perSeason,perCrop)'!$S:$S,Indicators!$B24,'Data(perSeason,perCrop)'!$O:$O,Indicators!D$7,'Data(perSeason,perCrop)'!$R:$R,"RAINFED"),"")</f>
        <v>4984.8783078672213</v>
      </c>
      <c r="E24" s="7">
        <f>IF(COUNTIFS('Data(perSeason,perCrop)'!$S:$S,Indicators!$B24)&gt;0,SUMIFS('Data(perSeason,perCrop)'!$A:$A,'Data(perSeason,perCrop)'!$S:$S,Indicators!$B24,'Data(perSeason,perCrop)'!$O:$O,Indicators!E$7,'Data(perSeason,perCrop)'!$R:$R,"RAINFED"),"")</f>
        <v>860.52707599872019</v>
      </c>
      <c r="F24" s="7">
        <f>IF(COUNTIFS('Data(perSeason,perCrop)'!$S:$S,Indicators!$B24)&gt;0,SUMIFS('Data(perSeason,perCrop)'!$A:$A,'Data(perSeason,perCrop)'!$S:$S,Indicators!$B24,'Data(perSeason,perCrop)'!$O:$O,Indicators!F$7,'Data(perSeason,perCrop)'!$R:$R,"RAINFED"),"")</f>
        <v>3121.394836170306</v>
      </c>
      <c r="G24" s="7"/>
      <c r="H24" s="7"/>
      <c r="J24" s="2" t="s">
        <v>209</v>
      </c>
      <c r="K24" s="7">
        <f>SUMIFS('Data(perSeason,perCrop)'!$A:$A,'Data(perSeason,perCrop)'!$S:$S,Indicators!$B24,'Data(perSeason,perCrop)'!$O:$O,Indicators!K$7,'Data(perSeason,perCrop)'!$C:$C,Indicators!K$3,'Data(perSeason,perCrop)'!$R:$R,"RAINFED")</f>
        <v>42.775744847127903</v>
      </c>
      <c r="L24" s="7">
        <f>SUMIFS('Data(perSeason,perCrop)'!$A:$A,'Data(perSeason,perCrop)'!$S:$S,Indicators!$B24,'Data(perSeason,perCrop)'!$O:$O,Indicators!L$7,'Data(perSeason,perCrop)'!$C:$C,Indicators!L$3,'Data(perSeason,perCrop)'!$R:$R,"RAINFED")</f>
        <v>0</v>
      </c>
      <c r="M24" s="7">
        <f>SUMIFS('Data(perSeason,perCrop)'!$A:$A,'Data(perSeason,perCrop)'!$S:$S,Indicators!$B24,'Data(perSeason,perCrop)'!$O:$O,Indicators!M$7,'Data(perSeason,perCrop)'!$C:$C,Indicators!M$3,'Data(perSeason,perCrop)'!$R:$R,"RAINFED")</f>
        <v>0</v>
      </c>
      <c r="N24" s="7">
        <f>SUMIFS('Data(perSeason,perCrop)'!$A:$A,'Data(perSeason,perCrop)'!$S:$S,Indicators!$B24,'Data(perSeason,perCrop)'!$O:$O,Indicators!N$7,'Data(perSeason,perCrop)'!$C:$C,Indicators!N$3,'Data(perSeason,perCrop)'!$R:$R,"RAINFED")</f>
        <v>738.90942443782103</v>
      </c>
      <c r="O24" s="7">
        <f>SUMIFS('Data(perSeason,perCrop)'!$A:$A,'Data(perSeason,perCrop)'!$S:$S,Indicators!$B24,'Data(perSeason,perCrop)'!$O:$O,Indicators!O$7,'Data(perSeason,perCrop)'!$C:$C,Indicators!O$3,'Data(perSeason,perCrop)'!$R:$R,"RAINFED")</f>
        <v>2020.15637318266</v>
      </c>
      <c r="P24" s="7">
        <f>SUMIFS('Data(perSeason,perCrop)'!$A:$A,'Data(perSeason,perCrop)'!$S:$S,Indicators!$B24,'Data(perSeason,perCrop)'!$O:$O,Indicators!P$7,'Data(perSeason,perCrop)'!$C:$C,Indicators!P$3,'Data(perSeason,perCrop)'!$R:$R,"RAINFED")</f>
        <v>39.735976500746702</v>
      </c>
      <c r="Q24" s="7">
        <f>SUMIFS('Data(perSeason,perCrop)'!$A:$A,'Data(perSeason,perCrop)'!$S:$S,Indicators!$B24,'Data(perSeason,perCrop)'!$O:$O,Indicators!Q$7,'Data(perSeason,perCrop)'!$C:$C,Indicators!Q$3,'Data(perSeason,perCrop)'!$R:$R,"RAINFED")</f>
        <v>279.81731720195</v>
      </c>
      <c r="R24" s="7">
        <f>SUMIFS('Data(perSeason,perCrop)'!$A:$A,'Data(perSeason,perCrop)'!$S:$S,Indicators!$B24,'Data(perSeason,perCrop)'!$O:$O,Indicators!R$7,'Data(perSeason,perCrop)'!$C:$C,Indicators!R$3,'Data(perSeason,perCrop)'!$R:$R,"RAINFED")</f>
        <v>0</v>
      </c>
      <c r="S24" s="62">
        <f>SUMIFS('Data(perSeason,perCrop)'!$A:$A,'Data(perSeason,perCrop)'!$S:$S,Indicators!$B24,'Data(perSeason,perCrop)'!$O:$O,Indicators!S$7,'Data(perSeason,perCrop)'!$C:$C,Indicators!S$3,'Data(perSeason,perCrop)'!$R:$R,"RAINFED")</f>
        <v>0</v>
      </c>
      <c r="T24" s="62">
        <f>SUMIFS('Data(perSeason,perCrop)'!$A:$A,'Data(perSeason,perCrop)'!$S:$S,Indicators!$B24,'Data(perSeason,perCrop)'!$O:$O,Indicators!T$7,'Data(perSeason,perCrop)'!$C:$C,Indicators!T$3,'Data(perSeason,perCrop)'!$R:$R,"RAINFED")</f>
        <v>1871.1957558742299</v>
      </c>
      <c r="U24" s="62">
        <f>SUMIFS('Data(perSeason,perCrop)'!$A:$A,'Data(perSeason,perCrop)'!$S:$S,Indicators!$B24,'Data(perSeason,perCrop)'!$O:$O,Indicators!U$7,'Data(perSeason,perCrop)'!$C:$C,Indicators!U$3,'Data(perSeason,perCrop)'!$R:$R,"RAINFED")</f>
        <v>0</v>
      </c>
      <c r="V24" s="62">
        <f>SUMIFS('Data(perSeason,perCrop)'!$A:$A,'Data(perSeason,perCrop)'!$S:$S,Indicators!$B24,'Data(perSeason,perCrop)'!$O:$O,Indicators!V$7,'Data(perSeason,perCrop)'!$C:$C,Indicators!V$3,'Data(perSeason,perCrop)'!$R:$R,"RAINFED")</f>
        <v>0</v>
      </c>
      <c r="W24" s="62">
        <f>SUMIFS('Data(perSeason,perCrop)'!$A:$A,'Data(perSeason,perCrop)'!$S:$S,Indicators!$B24,'Data(perSeason,perCrop)'!$O:$O,Indicators!W$7,'Data(perSeason,perCrop)'!$C:$C,Indicators!W$3,'Data(perSeason,perCrop)'!$R:$R,"RAINFED")</f>
        <v>0</v>
      </c>
      <c r="X24" s="62">
        <f>SUMIFS('Data(perSeason,perCrop)'!$A:$A,'Data(perSeason,perCrop)'!$S:$S,Indicators!$B24,'Data(perSeason,perCrop)'!$O:$O,Indicators!X$7,'Data(perSeason,perCrop)'!$C:$C,Indicators!X$3,'Data(perSeason,perCrop)'!$R:$R,"RAINFED")</f>
        <v>0</v>
      </c>
      <c r="Y24" s="62">
        <f>SUMIFS('Data(perSeason,perCrop)'!$A:$A,'Data(perSeason,perCrop)'!$S:$S,Indicators!$B24,'Data(perSeason,perCrop)'!$O:$O,Indicators!Y$7,'Data(perSeason,perCrop)'!$C:$C,Indicators!Y$3,'Data(perSeason,perCrop)'!$R:$R,"RAINFED")</f>
        <v>0</v>
      </c>
      <c r="Z24" s="62">
        <f>SUMIFS('Data(perSeason,perCrop)'!$A:$A,'Data(perSeason,perCrop)'!$S:$S,Indicators!$B24,'Data(perSeason,perCrop)'!$O:$O,Indicators!Z$7,'Data(perSeason,perCrop)'!$C:$C,Indicators!Z$3,'Data(perSeason,perCrop)'!$R:$R,"RAINFED")</f>
        <v>0</v>
      </c>
      <c r="AA24" s="62">
        <f>SUMIFS('Data(perSeason,perCrop)'!$A:$A,'Data(perSeason,perCrop)'!$S:$S,Indicators!$B24,'Data(perSeason,perCrop)'!$O:$O,Indicators!AA$7,'Data(perSeason,perCrop)'!$C:$C,Indicators!AA$3,'Data(perSeason,perCrop)'!$R:$R,"RAINFED")</f>
        <v>0</v>
      </c>
      <c r="AB24" s="62">
        <f>SUMIFS('Data(perSeason,perCrop)'!$A:$A,'Data(perSeason,perCrop)'!$S:$S,Indicators!$B24,'Data(perSeason,perCrop)'!$O:$O,Indicators!AB$7,'Data(perSeason,perCrop)'!$C:$C,Indicators!AB$3,'Data(perSeason,perCrop)'!$R:$R,"RAINFED")</f>
        <v>0</v>
      </c>
      <c r="AC24" s="62">
        <f>SUMIFS('Data(perSeason,perCrop)'!$A:$A,'Data(perSeason,perCrop)'!$S:$S,Indicators!$B24,'Data(perSeason,perCrop)'!$O:$O,Indicators!AC$7,'Data(perSeason,perCrop)'!$C:$C,Indicators!AC$3,'Data(perSeason,perCrop)'!$R:$R,"RAINFED")</f>
        <v>0</v>
      </c>
      <c r="AD24" s="62">
        <f>SUMIFS('Data(perSeason,perCrop)'!$A:$A,'Data(perSeason,perCrop)'!$S:$S,Indicators!$B24,'Data(perSeason,perCrop)'!$O:$O,Indicators!AD$7,'Data(perSeason,perCrop)'!$C:$C,Indicators!AD$3,'Data(perSeason,perCrop)'!$R:$R,"RAINFED")</f>
        <v>0</v>
      </c>
      <c r="AE24" s="62">
        <f>SUMIFS('Data(perSeason,perCrop)'!$A:$A,'Data(perSeason,perCrop)'!$S:$S,Indicators!$B24,'Data(perSeason,perCrop)'!$O:$O,Indicators!AE$7,'Data(perSeason,perCrop)'!$C:$C,Indicators!AE$3,'Data(perSeason,perCrop)'!$R:$R,"RAINFED")</f>
        <v>0</v>
      </c>
      <c r="AF24" s="62">
        <f>SUMIFS('Data(perSeason,perCrop)'!$A:$A,'Data(perSeason,perCrop)'!$S:$S,Indicators!$B24,'Data(perSeason,perCrop)'!$O:$O,Indicators!AF$7,'Data(perSeason,perCrop)'!$C:$C,Indicators!AF$3,'Data(perSeason,perCrop)'!$R:$R,"RAINFED")</f>
        <v>17.898486158761401</v>
      </c>
      <c r="AG24" s="62">
        <f>SUMIFS('Data(perSeason,perCrop)'!$A:$A,'Data(perSeason,perCrop)'!$S:$S,Indicators!$B24,'Data(perSeason,perCrop)'!$O:$O,Indicators!AG$7,'Data(perSeason,perCrop)'!$C:$C,Indicators!AG$3,'Data(perSeason,perCrop)'!$R:$R,"RAINFED")</f>
        <v>103.48927470282101</v>
      </c>
      <c r="AH24" s="62">
        <f>SUMIFS('Data(perSeason,perCrop)'!$A:$A,'Data(perSeason,perCrop)'!$S:$S,Indicators!$B24,'Data(perSeason,perCrop)'!$O:$O,Indicators!AH$7,'Data(perSeason,perCrop)'!$C:$C,Indicators!AH$3,'Data(perSeason,perCrop)'!$R:$R,"RAINFED")</f>
        <v>0</v>
      </c>
      <c r="AI24" s="62">
        <f>SUMIFS('Data(perSeason,perCrop)'!$A:$A,'Data(perSeason,perCrop)'!$S:$S,Indicators!$B24,'Data(perSeason,perCrop)'!$O:$O,Indicators!AI$7,'Data(perSeason,perCrop)'!$C:$C,Indicators!AI$3,'Data(perSeason,perCrop)'!$R:$R,"RAINFED")</f>
        <v>1024.75739646173</v>
      </c>
      <c r="AJ24" s="62">
        <f>SUMIFS('Data(perSeason,perCrop)'!$A:$A,'Data(perSeason,perCrop)'!$S:$S,Indicators!$B24,'Data(perSeason,perCrop)'!$O:$O,Indicators!AJ$7,'Data(perSeason,perCrop)'!$C:$C,Indicators!AJ$3,'Data(perSeason,perCrop)'!$R:$R,"RAINFED")</f>
        <v>0</v>
      </c>
      <c r="AK24" s="62">
        <f>SUMIFS('Data(perSeason,perCrop)'!$A:$A,'Data(perSeason,perCrop)'!$S:$S,Indicators!$B24,'Data(perSeason,perCrop)'!$O:$O,Indicators!AK$7,'Data(perSeason,perCrop)'!$C:$C,Indicators!AK$3,'Data(perSeason,perCrop)'!$R:$R,"RAINFED")</f>
        <v>0</v>
      </c>
      <c r="AL24" s="62">
        <f>SUMIFS('Data(perSeason,perCrop)'!$A:$A,'Data(perSeason,perCrop)'!$S:$S,Indicators!$B24,'Data(perSeason,perCrop)'!$O:$O,Indicators!AL$7,'Data(perSeason,perCrop)'!$C:$C,Indicators!AL$3,'Data(perSeason,perCrop)'!$R:$R,"RAINFED")</f>
        <v>2611.0197078524102</v>
      </c>
      <c r="AM24" s="62">
        <f>SUMIFS('Data(perSeason,perCrop)'!$A:$A,'Data(perSeason,perCrop)'!$S:$S,Indicators!$B24,'Data(perSeason,perCrop)'!$O:$O,Indicators!AM$7,'Data(perSeason,perCrop)'!$C:$C,Indicators!AM$3,'Data(perSeason,perCrop)'!$R:$R,"RAINFED")</f>
        <v>0</v>
      </c>
      <c r="AN24" s="62">
        <f>SUMIFS('Data(perSeason,perCrop)'!$A:$A,'Data(perSeason,perCrop)'!$S:$S,Indicators!$B24,'Data(perSeason,perCrop)'!$O:$O,Indicators!AN$7,'Data(perSeason,perCrop)'!$C:$C,Indicators!AN$3,'Data(perSeason,perCrop)'!$R:$R,"RAINFED")</f>
        <v>0</v>
      </c>
      <c r="AO24" s="62">
        <f>SUMIFS('Data(perSeason,perCrop)'!$A:$A,'Data(perSeason,perCrop)'!$S:$S,Indicators!$B24,'Data(perSeason,perCrop)'!$O:$O,Indicators!AO$7,'Data(perSeason,perCrop)'!$C:$C,Indicators!AO$3,'Data(perSeason,perCrop)'!$R:$R,"RAINFED")</f>
        <v>0</v>
      </c>
      <c r="AP24" s="62">
        <f>SUMIFS('Data(perSeason,perCrop)'!$A:$A,'Data(perSeason,perCrop)'!$S:$S,Indicators!$B24,'Data(perSeason,perCrop)'!$O:$O,Indicators!AP$7,'Data(perSeason,perCrop)'!$C:$C,Indicators!AP$3,'Data(perSeason,perCrop)'!$R:$R,"RAINFED")</f>
        <v>0</v>
      </c>
      <c r="AQ24" s="62">
        <f>SUMIFS('Data(perSeason,perCrop)'!$A:$A,'Data(perSeason,perCrop)'!$S:$S,Indicators!$B24,'Data(perSeason,perCrop)'!$O:$O,Indicators!AQ$7,'Data(perSeason,perCrop)'!$C:$C,Indicators!AQ$3,'Data(perSeason,perCrop)'!$R:$R,"RAINFED")</f>
        <v>0</v>
      </c>
      <c r="AR24" s="62">
        <f>SUMIFS('Data(perSeason,perCrop)'!$A:$A,'Data(perSeason,perCrop)'!$S:$S,Indicators!$B24,'Data(perSeason,perCrop)'!$O:$O,Indicators!AR$7,'Data(perSeason,perCrop)'!$C:$C,Indicators!AR$3,'Data(perSeason,perCrop)'!$R:$R,"RAINFED")</f>
        <v>0</v>
      </c>
      <c r="AS24" s="62">
        <f>SUMIFS('Data(perSeason,perCrop)'!$A:$A,'Data(perSeason,perCrop)'!$S:$S,Indicators!$B24,'Data(perSeason,perCrop)'!$O:$O,Indicators!AS$7,'Data(perSeason,perCrop)'!$C:$C,Indicators!AS$3,'Data(perSeason,perCrop)'!$R:$R,"RAINFED")</f>
        <v>0</v>
      </c>
      <c r="AT24" s="62">
        <f>SUMIFS('Data(perSeason,perCrop)'!$A:$A,'Data(perSeason,perCrop)'!$S:$S,Indicators!$B24,'Data(perSeason,perCrop)'!$O:$O,Indicators!AT$7,'Data(perSeason,perCrop)'!$C:$C,Indicators!AT$3,'Data(perSeason,perCrop)'!$R:$R,"RAINFED")</f>
        <v>0</v>
      </c>
      <c r="AU24" s="62">
        <f>SUMIFS('Data(perSeason,perCrop)'!$A:$A,'Data(perSeason,perCrop)'!$S:$S,Indicators!$B24,'Data(perSeason,perCrop)'!$O:$O,Indicators!AU$7,'Data(perSeason,perCrop)'!$C:$C,Indicators!AU$3,'Data(perSeason,perCrop)'!$R:$R,"RAINFED")</f>
        <v>0</v>
      </c>
      <c r="AV24" s="62">
        <f>SUMIFS('Data(perSeason,perCrop)'!$A:$A,'Data(perSeason,perCrop)'!$S:$S,Indicators!$B24,'Data(perSeason,perCrop)'!$O:$O,Indicators!AV$7,'Data(perSeason,perCrop)'!$C:$C,Indicators!AV$3,'Data(perSeason,perCrop)'!$R:$R,"RAINFED")</f>
        <v>0</v>
      </c>
      <c r="AW24" s="62">
        <f>SUMIFS('Data(perSeason,perCrop)'!$A:$A,'Data(perSeason,perCrop)'!$S:$S,Indicators!$B24,'Data(perSeason,perCrop)'!$O:$O,Indicators!AW$7,'Data(perSeason,perCrop)'!$C:$C,Indicators!AW$3,'Data(perSeason,perCrop)'!$R:$R,"RAINFED")</f>
        <v>0</v>
      </c>
      <c r="AX24" s="7">
        <f>SUMIFS('Data(perSeason,perCrop)'!$A:$A,'Data(perSeason,perCrop)'!$S:$S,Indicators!$B24,'Data(perSeason,perCrop)'!$O:$O,Indicators!AX$7,'Data(perSeason,perCrop)'!$C:$C,Indicators!AX$3,'Data(perSeason,perCrop)'!$R:$R,"RAINFED")</f>
        <v>0</v>
      </c>
      <c r="AY24" s="7">
        <f>SUMIFS('Data(perSeason,perCrop)'!$A:$A,'Data(perSeason,perCrop)'!$S:$S,Indicators!$B24,'Data(perSeason,perCrop)'!$O:$O,Indicators!AY$7,'Data(perSeason,perCrop)'!$C:$C,Indicators!AY$3,'Data(perSeason,perCrop)'!$R:$R,"RAINFED")</f>
        <v>978.73345579923796</v>
      </c>
      <c r="AZ24" s="7">
        <f>SUMIFS('Data(perSeason,perCrop)'!$A:$A,'Data(perSeason,perCrop)'!$S:$S,Indicators!$B24,'Data(perSeason,perCrop)'!$O:$O,Indicators!AZ$7,'Data(perSeason,perCrop)'!$C:$C,Indicators!AZ$3,'Data(perSeason,perCrop)'!$R:$R,"RAINFED")</f>
        <v>0</v>
      </c>
      <c r="BA24" s="7">
        <f>SUMIFS('Data(perSeason,perCrop)'!$A:$A,'Data(perSeason,perCrop)'!$S:$S,Indicators!$B24,'Data(perSeason,perCrop)'!$O:$O,Indicators!BA$7,'Data(perSeason,perCrop)'!$C:$C,Indicators!BA$3,'Data(perSeason,perCrop)'!$R:$R,"RAINFED")</f>
        <v>0</v>
      </c>
      <c r="BB24" s="7">
        <f>SUMIFS('Data(perSeason,perCrop)'!$A:$A,'Data(perSeason,perCrop)'!$S:$S,Indicators!$B24,'Data(perSeason,perCrop)'!$O:$O,Indicators!BB$7,'Data(perSeason,perCrop)'!$C:$C,Indicators!BB$3,'Data(perSeason,perCrop)'!$R:$R,"RAINFED")</f>
        <v>0</v>
      </c>
      <c r="BC24" s="7">
        <f>SUMIFS('Data(perSeason,perCrop)'!$A:$A,'Data(perSeason,perCrop)'!$S:$S,Indicators!$B24,'Data(perSeason,perCrop)'!$O:$O,Indicators!BC$7,'Data(perSeason,perCrop)'!$C:$C,Indicators!BC$3,'Data(perSeason,perCrop)'!$R:$R,"RAINFED")</f>
        <v>0</v>
      </c>
      <c r="BD24" s="7">
        <f>SUMIFS('Data(perSeason,perCrop)'!$A:$A,'Data(perSeason,perCrop)'!$S:$S,Indicators!$B24,'Data(perSeason,perCrop)'!$O:$O,Indicators!BD$7,'Data(perSeason,perCrop)'!$C:$C,Indicators!BD$3,'Data(perSeason,perCrop)'!$R:$R,"RAINFED")</f>
        <v>0</v>
      </c>
      <c r="BE24" s="7">
        <f>SUMIFS('Data(perSeason,perCrop)'!$A:$A,'Data(perSeason,perCrop)'!$S:$S,Indicators!$B24,'Data(perSeason,perCrop)'!$O:$O,Indicators!BE$7,'Data(perSeason,perCrop)'!$C:$C,Indicators!BE$3,'Data(perSeason,perCrop)'!$R:$R,"RAINFED")</f>
        <v>0</v>
      </c>
      <c r="BF24" s="7">
        <f>SUMIFS('Data(perSeason,perCrop)'!$A:$A,'Data(perSeason,perCrop)'!$S:$S,Indicators!$B24,'Data(perSeason,perCrop)'!$O:$O,Indicators!BF$7,'Data(perSeason,perCrop)'!$C:$C,Indicators!BF$3,'Data(perSeason,perCrop)'!$R:$R,"RAINFED")</f>
        <v>0</v>
      </c>
      <c r="BG24" s="7">
        <f>SUMIFS('Data(perSeason,perCrop)'!$A:$A,'Data(perSeason,perCrop)'!$S:$S,Indicators!$B24,'Data(perSeason,perCrop)'!$O:$O,Indicators!BG$7,'Data(perSeason,perCrop)'!$C:$C,Indicators!BG$3,'Data(perSeason,perCrop)'!$R:$R,"RAINFED")</f>
        <v>0</v>
      </c>
      <c r="BH24" s="7">
        <f>SUMIFS('Data(perSeason,perCrop)'!$A:$A,'Data(perSeason,perCrop)'!$S:$S,Indicators!$B24,'Data(perSeason,perCrop)'!$O:$O,Indicators!BH$7,'Data(perSeason,perCrop)'!$C:$C,Indicators!BH$3,'Data(perSeason,perCrop)'!$R:$R,"RAINFED")</f>
        <v>0</v>
      </c>
      <c r="BI24" s="7">
        <f>SUMIFS('Data(perSeason,perCrop)'!$A:$A,'Data(perSeason,perCrop)'!$S:$S,Indicators!$B24,'Data(perSeason,perCrop)'!$O:$O,Indicators!BI$7,'Data(perSeason,perCrop)'!$C:$C,Indicators!BI$3,'Data(perSeason,perCrop)'!$R:$R,"RAINFED")</f>
        <v>0</v>
      </c>
      <c r="BJ24" s="7">
        <f>SUMIFS('Data(perSeason,perCrop)'!$A:$A,'Data(perSeason,perCrop)'!$S:$S,Indicators!$B24,'Data(perSeason,perCrop)'!$O:$O,Indicators!BJ$7,'Data(perSeason,perCrop)'!$C:$C,Indicators!BJ$3,'Data(perSeason,perCrop)'!$R:$R,"RAINFED")</f>
        <v>0</v>
      </c>
      <c r="BK24" s="7">
        <f>SUMIFS('Data(perSeason,perCrop)'!$A:$A,'Data(perSeason,perCrop)'!$S:$S,Indicators!$B24,'Data(perSeason,perCrop)'!$O:$O,Indicators!BK$7,'Data(perSeason,perCrop)'!$C:$C,Indicators!BK$3,'Data(perSeason,perCrop)'!$R:$R,"RAINFED")</f>
        <v>0</v>
      </c>
      <c r="BL24" s="7">
        <f>SUMIFS('Data(perSeason,perCrop)'!$A:$A,'Data(perSeason,perCrop)'!$S:$S,Indicators!$B24,'Data(perSeason,perCrop)'!$O:$O,Indicators!BL$7,'Data(perSeason,perCrop)'!$C:$C,Indicators!BL$3,'Data(perSeason,perCrop)'!$R:$R,"RAINFED")</f>
        <v>115.70220411026</v>
      </c>
      <c r="BM24" s="7">
        <f>SUMIFS('Data(perSeason,perCrop)'!$A:$A,'Data(perSeason,perCrop)'!$S:$S,Indicators!$B24,'Data(perSeason,perCrop)'!$O:$O,Indicators!BM$7,'Data(perSeason,perCrop)'!$C:$C,Indicators!BM$3,'Data(perSeason,perCrop)'!$R:$R,"RAINFED")</f>
        <v>0</v>
      </c>
      <c r="BN24" s="7">
        <f>SUMIFS('Data(perSeason,perCrop)'!$A:$A,'Data(perSeason,perCrop)'!$S:$S,Indicators!$B24,'Data(perSeason,perCrop)'!$O:$O,Indicators!BN$7,'Data(perSeason,perCrop)'!$C:$C,Indicators!BN$3,'Data(perSeason,perCrop)'!$R:$R,"RAINFED")</f>
        <v>1159.5291868817301</v>
      </c>
      <c r="BO24" s="7">
        <f>SUMIFS('Data(perSeason,perCrop)'!$A:$A,'Data(perSeason,perCrop)'!$S:$S,Indicators!$B24,'Data(perSeason,perCrop)'!$O:$O,Indicators!BO$7,'Data(perSeason,perCrop)'!$C:$C,Indicators!BO$3,'Data(perSeason,perCrop)'!$R:$R,"RAINFED")</f>
        <v>0</v>
      </c>
      <c r="BP24" s="7">
        <f>SUMIFS('Data(perSeason,perCrop)'!$A:$A,'Data(perSeason,perCrop)'!$S:$S,Indicators!$B24,'Data(perSeason,perCrop)'!$O:$O,Indicators!BP$7,'Data(perSeason,perCrop)'!$C:$C,Indicators!BP$3,'Data(perSeason,perCrop)'!$R:$R,"RAINFED")</f>
        <v>0</v>
      </c>
      <c r="BQ24" s="7">
        <f>SUMIFS('Data(perSeason,perCrop)'!$A:$A,'Data(perSeason,perCrop)'!$S:$S,Indicators!$B24,'Data(perSeason,perCrop)'!$O:$O,Indicators!BQ$7,'Data(perSeason,perCrop)'!$C:$C,Indicators!BQ$3,'Data(perSeason,perCrop)'!$R:$R,"RAINFED")</f>
        <v>2096.6907208323801</v>
      </c>
      <c r="BR24" s="7">
        <f>SUMIFS('Data(perSeason,perCrop)'!$A:$A,'Data(perSeason,perCrop)'!$S:$S,Indicators!$B24,'Data(perSeason,perCrop)'!$O:$O,Indicators!BR$7,'Data(perSeason,perCrop)'!$C:$C,Indicators!BR$3,'Data(perSeason,perCrop)'!$R:$R,"RAINFED")</f>
        <v>0</v>
      </c>
      <c r="BS24" s="7">
        <f>SUMIFS('Data(perSeason,perCrop)'!$A:$A,'Data(perSeason,perCrop)'!$S:$S,Indicators!$B24,'Data(perSeason,perCrop)'!$O:$O,Indicators!BS$7,'Data(perSeason,perCrop)'!$C:$C,Indicators!BS$3,'Data(perSeason,perCrop)'!$R:$R,"RAINFED")</f>
        <v>0</v>
      </c>
      <c r="BT24" s="7">
        <f>SUMIFS('Data(perSeason,perCrop)'!$A:$A,'Data(perSeason,perCrop)'!$S:$S,Indicators!$B24,'Data(perSeason,perCrop)'!$O:$O,Indicators!BT$7,'Data(perSeason,perCrop)'!$C:$C,Indicators!BT$3,'Data(perSeason,perCrop)'!$R:$R,"RAINFED")</f>
        <v>0</v>
      </c>
      <c r="BU24" s="7">
        <f>SUMIFS('Data(perSeason,perCrop)'!$A:$A,'Data(perSeason,perCrop)'!$S:$S,Indicators!$B24,'Data(perSeason,perCrop)'!$O:$O,Indicators!BU$7,'Data(perSeason,perCrop)'!$C:$C,Indicators!BU$3,'Data(perSeason,perCrop)'!$R:$R,"RAINFED")</f>
        <v>0</v>
      </c>
      <c r="BV24" s="7">
        <f>SUMIFS('Data(perSeason,perCrop)'!$A:$A,'Data(perSeason,perCrop)'!$S:$S,Indicators!$B24,'Data(perSeason,perCrop)'!$O:$O,Indicators!BV$7,'Data(perSeason,perCrop)'!$C:$C,Indicators!BV$3,'Data(perSeason,perCrop)'!$R:$R,"RAINFED")</f>
        <v>0</v>
      </c>
      <c r="BW24" s="7">
        <f>SUMIFS('Data(perSeason,perCrop)'!$A:$A,'Data(perSeason,perCrop)'!$S:$S,Indicators!$B24,'Data(perSeason,perCrop)'!$O:$O,Indicators!BW$7,'Data(perSeason,perCrop)'!$C:$C,Indicators!BW$3,'Data(perSeason,perCrop)'!$R:$R,"RAINFED")</f>
        <v>0</v>
      </c>
      <c r="BX24" s="7">
        <f>SUMIFS('Data(perSeason,perCrop)'!$A:$A,'Data(perSeason,perCrop)'!$S:$S,Indicators!$B24,'Data(perSeason,perCrop)'!$O:$O,Indicators!BX$7,'Data(perSeason,perCrop)'!$C:$C,Indicators!BX$3,'Data(perSeason,perCrop)'!$R:$R,"RAINFED")</f>
        <v>0</v>
      </c>
      <c r="BY24" s="7">
        <f>SUMIFS('Data(perSeason,perCrop)'!$A:$A,'Data(perSeason,perCrop)'!$S:$S,Indicators!$B24,'Data(perSeason,perCrop)'!$O:$O,Indicators!BY$7,'Data(perSeason,perCrop)'!$C:$C,Indicators!BY$3,'Data(perSeason,perCrop)'!$R:$R,"RAINFED")</f>
        <v>0</v>
      </c>
      <c r="BZ24" s="7">
        <f>SUMIFS('Data(perSeason,perCrop)'!$A:$A,'Data(perSeason,perCrop)'!$S:$S,Indicators!$B24,'Data(perSeason,perCrop)'!$O:$O,Indicators!BZ$7,'Data(perSeason,perCrop)'!$C:$C,Indicators!BZ$3,'Data(perSeason,perCrop)'!$R:$R,"RAINFED")</f>
        <v>0</v>
      </c>
      <c r="CA24" s="7">
        <f>SUMIFS('Data(perSeason,perCrop)'!$A:$A,'Data(perSeason,perCrop)'!$S:$S,Indicators!$B24,'Data(perSeason,perCrop)'!$O:$O,Indicators!CA$7,'Data(perSeason,perCrop)'!$C:$C,Indicators!CA$3,'Data(perSeason,perCrop)'!$R:$R,"RAINFED")</f>
        <v>0</v>
      </c>
      <c r="CB24" s="7">
        <f>SUMIFS('Data(perSeason,perCrop)'!$A:$A,'Data(perSeason,perCrop)'!$S:$S,Indicators!$B24,'Data(perSeason,perCrop)'!$O:$O,Indicators!CB$7,'Data(perSeason,perCrop)'!$C:$C,Indicators!CB$3,'Data(perSeason,perCrop)'!$R:$R,"RAINFED")</f>
        <v>0</v>
      </c>
      <c r="CC24" s="7">
        <f>SUMIFS('Data(perSeason,perCrop)'!$A:$A,'Data(perSeason,perCrop)'!$S:$S,Indicators!$B24,'Data(perSeason,perCrop)'!$O:$O,Indicators!CC$7,'Data(perSeason,perCrop)'!$C:$C,Indicators!CC$3,'Data(perSeason,perCrop)'!$R:$R,"RAINFED")</f>
        <v>0</v>
      </c>
      <c r="CD24" s="7">
        <f>SUMIFS('Data(perSeason,perCrop)'!$A:$A,'Data(perSeason,perCrop)'!$S:$S,Indicators!$B24,'Data(perSeason,perCrop)'!$O:$O,Indicators!CD$7,'Data(perSeason,perCrop)'!$C:$C,Indicators!CD$3,'Data(perSeason,perCrop)'!$R:$R,"RAINFED")</f>
        <v>0</v>
      </c>
      <c r="CE24" s="7">
        <f>SUMIFS('Data(perSeason,perCrop)'!$A:$A,'Data(perSeason,perCrop)'!$S:$S,Indicators!$B24,'Data(perSeason,perCrop)'!$O:$O,Indicators!CE$7,'Data(perSeason,perCrop)'!$C:$C,Indicators!CE$3,'Data(perSeason,perCrop)'!$R:$R,"RAINFED")</f>
        <v>0</v>
      </c>
      <c r="CF24" s="7">
        <f>SUMIFS('Data(perSeason,perCrop)'!$A:$A,'Data(perSeason,perCrop)'!$S:$S,Indicators!$B24,'Data(perSeason,perCrop)'!$O:$O,Indicators!CF$7,'Data(perSeason,perCrop)'!$C:$C,Indicators!CF$3,'Data(perSeason,perCrop)'!$R:$R,"RAINFED")</f>
        <v>0</v>
      </c>
      <c r="CG24" s="7">
        <f>SUMIFS('Data(perSeason,perCrop)'!$A:$A,'Data(perSeason,perCrop)'!$S:$S,Indicators!$B24,'Data(perSeason,perCrop)'!$O:$O,Indicators!CG$7,'Data(perSeason,perCrop)'!$C:$C,Indicators!CG$3,'Data(perSeason,perCrop)'!$R:$R,"RAINFED")</f>
        <v>0</v>
      </c>
      <c r="CH24" s="7">
        <f>SUMIFS('Data(perSeason,perCrop)'!$A:$A,'Data(perSeason,perCrop)'!$S:$S,Indicators!$B24,'Data(perSeason,perCrop)'!$O:$O,Indicators!CH$7,'Data(perSeason,perCrop)'!$C:$C,Indicators!CH$3,'Data(perSeason,perCrop)'!$R:$R,"RAINFED")</f>
        <v>0</v>
      </c>
      <c r="CI24" s="7">
        <f>SUMIFS('Data(perSeason,perCrop)'!$A:$A,'Data(perSeason,perCrop)'!$S:$S,Indicators!$B24,'Data(perSeason,perCrop)'!$O:$O,Indicators!CI$7,'Data(perSeason,perCrop)'!$C:$C,Indicators!CI$3,'Data(perSeason,perCrop)'!$R:$R,"RAINFED")</f>
        <v>0</v>
      </c>
      <c r="CJ24" s="7">
        <f>SUMIFS('Data(perSeason,perCrop)'!$A:$A,'Data(perSeason,perCrop)'!$S:$S,Indicators!$B24,'Data(perSeason,perCrop)'!$O:$O,Indicators!CJ$7,'Data(perSeason,perCrop)'!$C:$C,Indicators!CJ$3,'Data(perSeason,perCrop)'!$R:$R,"RAINFED")</f>
        <v>0</v>
      </c>
      <c r="CK24" s="7">
        <f>SUMIFS('Data(perSeason,perCrop)'!$A:$A,'Data(perSeason,perCrop)'!$S:$S,Indicators!$B24,'Data(perSeason,perCrop)'!$O:$O,Indicators!CK$7,'Data(perSeason,perCrop)'!$C:$C,Indicators!CK$3,'Data(perSeason,perCrop)'!$R:$R,"RAINFED")</f>
        <v>0</v>
      </c>
      <c r="CL24" s="7">
        <f>SUMIFS('Data(perSeason,perCrop)'!$A:$A,'Data(perSeason,perCrop)'!$S:$S,Indicators!$B24,'Data(perSeason,perCrop)'!$O:$O,Indicators!CL$7,'Data(perSeason,perCrop)'!$C:$C,Indicators!CL$3,'Data(perSeason,perCrop)'!$R:$R,"RAINFED")</f>
        <v>0</v>
      </c>
      <c r="CM24" s="7">
        <f>SUMIFS('Data(perSeason,perCrop)'!$A:$A,'Data(perSeason,perCrop)'!$S:$S,Indicators!$B24,'Data(perSeason,perCrop)'!$O:$O,Indicators!CM$7,'Data(perSeason,perCrop)'!$C:$C,Indicators!CM$3,'Data(perSeason,perCrop)'!$R:$R,"RAINFED")</f>
        <v>0</v>
      </c>
      <c r="CN24" s="7">
        <f>SUMIFS('Data(perSeason,perCrop)'!$A:$A,'Data(perSeason,perCrop)'!$S:$S,Indicators!$B24,'Data(perSeason,perCrop)'!$O:$O,Indicators!CN$7,'Data(perSeason,perCrop)'!$C:$C,Indicators!CN$3,'Data(perSeason,perCrop)'!$R:$R,"RAINFED")</f>
        <v>0</v>
      </c>
      <c r="CO24" s="7">
        <f>SUMIFS('Data(perSeason,perCrop)'!$A:$A,'Data(perSeason,perCrop)'!$S:$S,Indicators!$B24,'Data(perSeason,perCrop)'!$O:$O,Indicators!CO$7,'Data(perSeason,perCrop)'!$C:$C,Indicators!CO$3,'Data(perSeason,perCrop)'!$R:$R,"RAINFED")</f>
        <v>0</v>
      </c>
      <c r="CP24" s="7">
        <f>SUMIFS('Data(perSeason,perCrop)'!$A:$A,'Data(perSeason,perCrop)'!$S:$S,Indicators!$B24,'Data(perSeason,perCrop)'!$O:$O,Indicators!CP$7,'Data(perSeason,perCrop)'!$C:$C,Indicators!CP$3,'Data(perSeason,perCrop)'!$R:$R,"RAINFED")</f>
        <v>60.9508809673234</v>
      </c>
      <c r="CQ24" s="7">
        <f>SUMIFS('Data(perSeason,perCrop)'!$A:$A,'Data(perSeason,perCrop)'!$S:$S,Indicators!$B24,'Data(perSeason,perCrop)'!$O:$O,Indicators!CQ$7,'Data(perSeason,perCrop)'!$C:$C,Indicators!CQ$3,'Data(perSeason,perCrop)'!$R:$R,"RAINFED")</f>
        <v>51.878162759704502</v>
      </c>
      <c r="CR24" s="7">
        <f>SUMIFS('Data(perSeason,perCrop)'!$A:$A,'Data(perSeason,perCrop)'!$S:$S,Indicators!$B24,'Data(perSeason,perCrop)'!$O:$O,Indicators!CR$7,'Data(perSeason,perCrop)'!$C:$C,Indicators!CR$3,'Data(perSeason,perCrop)'!$R:$R,"RAINFED")</f>
        <v>0</v>
      </c>
      <c r="CS24" s="7">
        <f>SUMIFS('Data(perSeason,perCrop)'!$A:$A,'Data(perSeason,perCrop)'!$S:$S,Indicators!$B24,'Data(perSeason,perCrop)'!$O:$O,Indicators!CS$7,'Data(perSeason,perCrop)'!$C:$C,Indicators!CS$3,'Data(perSeason,perCrop)'!$R:$R,"RAINFED")</f>
        <v>58.6419466260812</v>
      </c>
      <c r="CT24" s="7">
        <f>SUMIFS('Data(perSeason,perCrop)'!$A:$A,'Data(perSeason,perCrop)'!$S:$S,Indicators!$B24,'Data(perSeason,perCrop)'!$O:$O,Indicators!CT$7,'Data(perSeason,perCrop)'!$C:$C,Indicators!CT$3,'Data(perSeason,perCrop)'!$R:$R,"RAINFED")</f>
        <v>0</v>
      </c>
      <c r="CU24" s="7">
        <f>SUMIFS('Data(perSeason,perCrop)'!$A:$A,'Data(perSeason,perCrop)'!$S:$S,Indicators!$B24,'Data(perSeason,perCrop)'!$O:$O,Indicators!CU$7,'Data(perSeason,perCrop)'!$C:$C,Indicators!CU$3,'Data(perSeason,perCrop)'!$R:$R,"RAINFED")</f>
        <v>0</v>
      </c>
      <c r="CV24" s="7">
        <f>SUMIFS('Data(perSeason,perCrop)'!$A:$A,'Data(perSeason,perCrop)'!$S:$S,Indicators!$B24,'Data(perSeason,perCrop)'!$O:$O,Indicators!CV$7,'Data(perSeason,perCrop)'!$C:$C,Indicators!CV$3,'Data(perSeason,perCrop)'!$R:$R,"RAINFED")</f>
        <v>558.16472716569501</v>
      </c>
      <c r="CW24" s="7">
        <f>SUMIFS('Data(perSeason,perCrop)'!$A:$A,'Data(perSeason,perCrop)'!$S:$S,Indicators!$B24,'Data(perSeason,perCrop)'!$O:$O,Indicators!CW$7,'Data(perSeason,perCrop)'!$C:$C,Indicators!CW$3,'Data(perSeason,perCrop)'!$R:$R,"RAINFED")</f>
        <v>0</v>
      </c>
      <c r="CX24" s="7">
        <f>SUMIFS('Data(perSeason,perCrop)'!$A:$A,'Data(perSeason,perCrop)'!$S:$S,Indicators!$B24,'Data(perSeason,perCrop)'!$O:$O,Indicators!CX$7,'Data(perSeason,perCrop)'!$C:$C,Indicators!CX$3,'Data(perSeason,perCrop)'!$R:$R,"RAINFED")</f>
        <v>0</v>
      </c>
      <c r="CY24" s="7">
        <f>SUMIFS('Data(perSeason,perCrop)'!$A:$A,'Data(perSeason,perCrop)'!$S:$S,Indicators!$B24,'Data(perSeason,perCrop)'!$O:$O,Indicators!CY$7,'Data(perSeason,perCrop)'!$C:$C,Indicators!CY$3,'Data(perSeason,perCrop)'!$R:$R,"RAINFED")</f>
        <v>0</v>
      </c>
      <c r="CZ24" s="7">
        <f>SUMIFS('Data(perSeason,perCrop)'!$A:$A,'Data(perSeason,perCrop)'!$S:$S,Indicators!$B24,'Data(perSeason,perCrop)'!$O:$O,Indicators!CZ$7,'Data(perSeason,perCrop)'!$C:$C,Indicators!CZ$3,'Data(perSeason,perCrop)'!$R:$R,"RAINFED")</f>
        <v>0</v>
      </c>
      <c r="DA24" s="7">
        <f>SUMIFS('Data(perSeason,perCrop)'!$A:$A,'Data(perSeason,perCrop)'!$S:$S,Indicators!$B24,'Data(perSeason,perCrop)'!$O:$O,Indicators!DA$7,'Data(perSeason,perCrop)'!$C:$C,Indicators!DA$3,'Data(perSeason,perCrop)'!$R:$R,"RAINFED")</f>
        <v>0</v>
      </c>
      <c r="DB24" s="7">
        <f>SUMIFS('Data(perSeason,perCrop)'!$A:$A,'Data(perSeason,perCrop)'!$S:$S,Indicators!$B24,'Data(perSeason,perCrop)'!$O:$O,Indicators!DB$7,'Data(perSeason,perCrop)'!$C:$C,Indicators!DB$3,'Data(perSeason,perCrop)'!$R:$R,"RAINFED")</f>
        <v>0</v>
      </c>
      <c r="DC24" s="7">
        <f>SUMIFS('Data(perSeason,perCrop)'!$A:$A,'Data(perSeason,perCrop)'!$S:$S,Indicators!$B24,'Data(perSeason,perCrop)'!$O:$O,Indicators!DC$7,'Data(perSeason,perCrop)'!$C:$C,Indicators!DC$3,'Data(perSeason,perCrop)'!$R:$R,"RAINFED")</f>
        <v>0</v>
      </c>
      <c r="DD24" s="7">
        <f>SUMIFS('Data(perSeason,perCrop)'!$A:$A,'Data(perSeason,perCrop)'!$S:$S,Indicators!$B24,'Data(perSeason,perCrop)'!$O:$O,Indicators!DD$7,'Data(perSeason,perCrop)'!$C:$C,Indicators!DD$3,'Data(perSeason,perCrop)'!$R:$R,"RAINFED")</f>
        <v>0</v>
      </c>
      <c r="DE24" s="7">
        <f>SUMIFS('Data(perSeason,perCrop)'!$A:$A,'Data(perSeason,perCrop)'!$S:$S,Indicators!$B24,'Data(perSeason,perCrop)'!$O:$O,Indicators!DE$7,'Data(perSeason,perCrop)'!$C:$C,Indicators!DE$3,'Data(perSeason,perCrop)'!$R:$R,"RAINFED")</f>
        <v>0</v>
      </c>
      <c r="DF24" s="7">
        <f>SUMIFS('Data(perSeason,perCrop)'!$A:$A,'Data(perSeason,perCrop)'!$S:$S,Indicators!$B24,'Data(perSeason,perCrop)'!$O:$O,Indicators!DF$7,'Data(perSeason,perCrop)'!$C:$C,Indicators!DF$3,'Data(perSeason,perCrop)'!$R:$R,"RAINFED")</f>
        <v>0</v>
      </c>
      <c r="DG24" s="7">
        <f>SUMIFS('Data(perSeason,perCrop)'!$A:$A,'Data(perSeason,perCrop)'!$S:$S,Indicators!$B24,'Data(perSeason,perCrop)'!$O:$O,Indicators!DG$7,'Data(perSeason,perCrop)'!$C:$C,Indicators!DG$3,'Data(perSeason,perCrop)'!$R:$R,"RAINFED")</f>
        <v>0</v>
      </c>
    </row>
    <row r="25" spans="1:111" x14ac:dyDescent="0.25">
      <c r="B25">
        <v>2020</v>
      </c>
      <c r="C25" s="7">
        <f>IF(COUNTIFS('Data(perSeason,perCrop)'!$S:$S,Indicators!$B25)&gt;0,SUMIFS('Data(perSeason,perCrop)'!$A:$A,'Data(perSeason,perCrop)'!$S:$S,Indicators!$B25,'Data(perSeason,perCrop)'!$O:$O,Indicators!C$7,'Data(perSeason,perCrop)'!$R:$R,"RAINFED"),"")</f>
        <v>6601.7263652364563</v>
      </c>
      <c r="D25" s="7">
        <f>IF(COUNTIFS('Data(perSeason,perCrop)'!$S:$S,Indicators!$B25)&gt;0,SUMIFS('Data(perSeason,perCrop)'!$A:$A,'Data(perSeason,perCrop)'!$S:$S,Indicators!$B25,'Data(perSeason,perCrop)'!$O:$O,Indicators!D$7,'Data(perSeason,perCrop)'!$R:$R,"RAINFED"),"")</f>
        <v>5027.2254689122183</v>
      </c>
      <c r="E25" s="7">
        <f>IF(COUNTIFS('Data(perSeason,perCrop)'!$S:$S,Indicators!$B25)&gt;0,SUMIFS('Data(perSeason,perCrop)'!$A:$A,'Data(perSeason,perCrop)'!$S:$S,Indicators!$B25,'Data(perSeason,perCrop)'!$O:$O,Indicators!E$7,'Data(perSeason,perCrop)'!$R:$R,"RAINFED"),"")</f>
        <v>88.685248587595396</v>
      </c>
      <c r="F25" s="7">
        <f>IF(COUNTIFS('Data(perSeason,perCrop)'!$S:$S,Indicators!$B25)&gt;0,SUMIFS('Data(perSeason,perCrop)'!$A:$A,'Data(perSeason,perCrop)'!$S:$S,Indicators!$B25,'Data(perSeason,perCrop)'!$O:$O,Indicators!F$7,'Data(perSeason,perCrop)'!$R:$R,"RAINFED"),"")</f>
        <v>4268.4209477461736</v>
      </c>
      <c r="G25" s="7"/>
      <c r="H25" s="7"/>
      <c r="J25" s="2" t="s">
        <v>209</v>
      </c>
      <c r="K25" s="7">
        <f>SUMIFS('Data(perSeason,perCrop)'!$A:$A,'Data(perSeason,perCrop)'!$S:$S,Indicators!$B25,'Data(perSeason,perCrop)'!$O:$O,Indicators!K$7,'Data(perSeason,perCrop)'!$C:$C,Indicators!K$3,'Data(perSeason,perCrop)'!$R:$R,"RAINFED")</f>
        <v>34.237430110910402</v>
      </c>
      <c r="L25" s="7">
        <f>SUMIFS('Data(perSeason,perCrop)'!$A:$A,'Data(perSeason,perCrop)'!$S:$S,Indicators!$B25,'Data(perSeason,perCrop)'!$O:$O,Indicators!L$7,'Data(perSeason,perCrop)'!$C:$C,Indicators!L$3,'Data(perSeason,perCrop)'!$R:$R,"RAINFED")</f>
        <v>0</v>
      </c>
      <c r="M25" s="7">
        <f>SUMIFS('Data(perSeason,perCrop)'!$A:$A,'Data(perSeason,perCrop)'!$S:$S,Indicators!$B25,'Data(perSeason,perCrop)'!$O:$O,Indicators!M$7,'Data(perSeason,perCrop)'!$C:$C,Indicators!M$3,'Data(perSeason,perCrop)'!$R:$R,"RAINFED")</f>
        <v>0</v>
      </c>
      <c r="N25" s="7">
        <f>SUMIFS('Data(perSeason,perCrop)'!$A:$A,'Data(perSeason,perCrop)'!$S:$S,Indicators!$B25,'Data(perSeason,perCrop)'!$O:$O,Indicators!N$7,'Data(perSeason,perCrop)'!$C:$C,Indicators!N$3,'Data(perSeason,perCrop)'!$R:$R,"RAINFED")</f>
        <v>55.763782093179699</v>
      </c>
      <c r="O25" s="7">
        <f>SUMIFS('Data(perSeason,perCrop)'!$A:$A,'Data(perSeason,perCrop)'!$S:$S,Indicators!$B25,'Data(perSeason,perCrop)'!$O:$O,Indicators!O$7,'Data(perSeason,perCrop)'!$C:$C,Indicators!O$3,'Data(perSeason,perCrop)'!$R:$R,"RAINFED")</f>
        <v>4062.36004724544</v>
      </c>
      <c r="P25" s="7">
        <f>SUMIFS('Data(perSeason,perCrop)'!$A:$A,'Data(perSeason,perCrop)'!$S:$S,Indicators!$B25,'Data(perSeason,perCrop)'!$O:$O,Indicators!P$7,'Data(perSeason,perCrop)'!$C:$C,Indicators!P$3,'Data(perSeason,perCrop)'!$R:$R,"RAINFED")</f>
        <v>13.2184320975599</v>
      </c>
      <c r="Q25" s="7">
        <f>SUMIFS('Data(perSeason,perCrop)'!$A:$A,'Data(perSeason,perCrop)'!$S:$S,Indicators!$B25,'Data(perSeason,perCrop)'!$O:$O,Indicators!Q$7,'Data(perSeason,perCrop)'!$C:$C,Indicators!Q$3,'Data(perSeason,perCrop)'!$R:$R,"RAINFED")</f>
        <v>102.84125619908301</v>
      </c>
      <c r="R25" s="7">
        <f>SUMIFS('Data(perSeason,perCrop)'!$A:$A,'Data(perSeason,perCrop)'!$S:$S,Indicators!$B25,'Data(perSeason,perCrop)'!$O:$O,Indicators!R$7,'Data(perSeason,perCrop)'!$C:$C,Indicators!R$3,'Data(perSeason,perCrop)'!$R:$R,"RAINFED")</f>
        <v>0</v>
      </c>
      <c r="S25" s="62">
        <f>SUMIFS('Data(perSeason,perCrop)'!$A:$A,'Data(perSeason,perCrop)'!$S:$S,Indicators!$B25,'Data(perSeason,perCrop)'!$O:$O,Indicators!S$7,'Data(perSeason,perCrop)'!$C:$C,Indicators!S$3,'Data(perSeason,perCrop)'!$R:$R,"RAINFED")</f>
        <v>0</v>
      </c>
      <c r="T25" s="62">
        <f>SUMIFS('Data(perSeason,perCrop)'!$A:$A,'Data(perSeason,perCrop)'!$S:$S,Indicators!$B25,'Data(perSeason,perCrop)'!$O:$O,Indicators!T$7,'Data(perSeason,perCrop)'!$C:$C,Indicators!T$3,'Data(perSeason,perCrop)'!$R:$R,"RAINFED")</f>
        <v>2373.1180318533902</v>
      </c>
      <c r="U25" s="62">
        <f>SUMIFS('Data(perSeason,perCrop)'!$A:$A,'Data(perSeason,perCrop)'!$S:$S,Indicators!$B25,'Data(perSeason,perCrop)'!$O:$O,Indicators!U$7,'Data(perSeason,perCrop)'!$C:$C,Indicators!U$3,'Data(perSeason,perCrop)'!$R:$R,"RAINFED")</f>
        <v>0</v>
      </c>
      <c r="V25" s="62">
        <f>SUMIFS('Data(perSeason,perCrop)'!$A:$A,'Data(perSeason,perCrop)'!$S:$S,Indicators!$B25,'Data(perSeason,perCrop)'!$O:$O,Indicators!V$7,'Data(perSeason,perCrop)'!$C:$C,Indicators!V$3,'Data(perSeason,perCrop)'!$R:$R,"RAINFED")</f>
        <v>0</v>
      </c>
      <c r="W25" s="62">
        <f>SUMIFS('Data(perSeason,perCrop)'!$A:$A,'Data(perSeason,perCrop)'!$S:$S,Indicators!$B25,'Data(perSeason,perCrop)'!$O:$O,Indicators!W$7,'Data(perSeason,perCrop)'!$C:$C,Indicators!W$3,'Data(perSeason,perCrop)'!$R:$R,"RAINFED")</f>
        <v>0</v>
      </c>
      <c r="X25" s="62">
        <f>SUMIFS('Data(perSeason,perCrop)'!$A:$A,'Data(perSeason,perCrop)'!$S:$S,Indicators!$B25,'Data(perSeason,perCrop)'!$O:$O,Indicators!X$7,'Data(perSeason,perCrop)'!$C:$C,Indicators!X$3,'Data(perSeason,perCrop)'!$R:$R,"RAINFED")</f>
        <v>0</v>
      </c>
      <c r="Y25" s="62">
        <f>SUMIFS('Data(perSeason,perCrop)'!$A:$A,'Data(perSeason,perCrop)'!$S:$S,Indicators!$B25,'Data(perSeason,perCrop)'!$O:$O,Indicators!Y$7,'Data(perSeason,perCrop)'!$C:$C,Indicators!Y$3,'Data(perSeason,perCrop)'!$R:$R,"RAINFED")</f>
        <v>0</v>
      </c>
      <c r="Z25" s="62">
        <f>SUMIFS('Data(perSeason,perCrop)'!$A:$A,'Data(perSeason,perCrop)'!$S:$S,Indicators!$B25,'Data(perSeason,perCrop)'!$O:$O,Indicators!Z$7,'Data(perSeason,perCrop)'!$C:$C,Indicators!Z$3,'Data(perSeason,perCrop)'!$R:$R,"RAINFED")</f>
        <v>0</v>
      </c>
      <c r="AA25" s="62">
        <f>SUMIFS('Data(perSeason,perCrop)'!$A:$A,'Data(perSeason,perCrop)'!$S:$S,Indicators!$B25,'Data(perSeason,perCrop)'!$O:$O,Indicators!AA$7,'Data(perSeason,perCrop)'!$C:$C,Indicators!AA$3,'Data(perSeason,perCrop)'!$R:$R,"RAINFED")</f>
        <v>0</v>
      </c>
      <c r="AB25" s="62">
        <f>SUMIFS('Data(perSeason,perCrop)'!$A:$A,'Data(perSeason,perCrop)'!$S:$S,Indicators!$B25,'Data(perSeason,perCrop)'!$O:$O,Indicators!AB$7,'Data(perSeason,perCrop)'!$C:$C,Indicators!AB$3,'Data(perSeason,perCrop)'!$R:$R,"RAINFED")</f>
        <v>0</v>
      </c>
      <c r="AC25" s="62">
        <f>SUMIFS('Data(perSeason,perCrop)'!$A:$A,'Data(perSeason,perCrop)'!$S:$S,Indicators!$B25,'Data(perSeason,perCrop)'!$O:$O,Indicators!AC$7,'Data(perSeason,perCrop)'!$C:$C,Indicators!AC$3,'Data(perSeason,perCrop)'!$R:$R,"RAINFED")</f>
        <v>0</v>
      </c>
      <c r="AD25" s="62">
        <f>SUMIFS('Data(perSeason,perCrop)'!$A:$A,'Data(perSeason,perCrop)'!$S:$S,Indicators!$B25,'Data(perSeason,perCrop)'!$O:$O,Indicators!AD$7,'Data(perSeason,perCrop)'!$C:$C,Indicators!AD$3,'Data(perSeason,perCrop)'!$R:$R,"RAINFED")</f>
        <v>0</v>
      </c>
      <c r="AE25" s="62">
        <f>SUMIFS('Data(perSeason,perCrop)'!$A:$A,'Data(perSeason,perCrop)'!$S:$S,Indicators!$B25,'Data(perSeason,perCrop)'!$O:$O,Indicators!AE$7,'Data(perSeason,perCrop)'!$C:$C,Indicators!AE$3,'Data(perSeason,perCrop)'!$R:$R,"RAINFED")</f>
        <v>0</v>
      </c>
      <c r="AF25" s="62">
        <f>SUMIFS('Data(perSeason,perCrop)'!$A:$A,'Data(perSeason,perCrop)'!$S:$S,Indicators!$B25,'Data(perSeason,perCrop)'!$O:$O,Indicators!AF$7,'Data(perSeason,perCrop)'!$C:$C,Indicators!AF$3,'Data(perSeason,perCrop)'!$R:$R,"RAINFED")</f>
        <v>21.1342349227426</v>
      </c>
      <c r="AG25" s="62">
        <f>SUMIFS('Data(perSeason,perCrop)'!$A:$A,'Data(perSeason,perCrop)'!$S:$S,Indicators!$B25,'Data(perSeason,perCrop)'!$O:$O,Indicators!AG$7,'Data(perSeason,perCrop)'!$C:$C,Indicators!AG$3,'Data(perSeason,perCrop)'!$R:$R,"RAINFED")</f>
        <v>38.9010275597456</v>
      </c>
      <c r="AH25" s="62">
        <f>SUMIFS('Data(perSeason,perCrop)'!$A:$A,'Data(perSeason,perCrop)'!$S:$S,Indicators!$B25,'Data(perSeason,perCrop)'!$O:$O,Indicators!AH$7,'Data(perSeason,perCrop)'!$C:$C,Indicators!AH$3,'Data(perSeason,perCrop)'!$R:$R,"RAINFED")</f>
        <v>0</v>
      </c>
      <c r="AI25" s="62">
        <f>SUMIFS('Data(perSeason,perCrop)'!$A:$A,'Data(perSeason,perCrop)'!$S:$S,Indicators!$B25,'Data(perSeason,perCrop)'!$O:$O,Indicators!AI$7,'Data(perSeason,perCrop)'!$C:$C,Indicators!AI$3,'Data(perSeason,perCrop)'!$R:$R,"RAINFED")</f>
        <v>905.21449989134499</v>
      </c>
      <c r="AJ25" s="62">
        <f>SUMIFS('Data(perSeason,perCrop)'!$A:$A,'Data(perSeason,perCrop)'!$S:$S,Indicators!$B25,'Data(perSeason,perCrop)'!$O:$O,Indicators!AJ$7,'Data(perSeason,perCrop)'!$C:$C,Indicators!AJ$3,'Data(perSeason,perCrop)'!$R:$R,"RAINFED")</f>
        <v>0</v>
      </c>
      <c r="AK25" s="62">
        <f>SUMIFS('Data(perSeason,perCrop)'!$A:$A,'Data(perSeason,perCrop)'!$S:$S,Indicators!$B25,'Data(perSeason,perCrop)'!$O:$O,Indicators!AK$7,'Data(perSeason,perCrop)'!$C:$C,Indicators!AK$3,'Data(perSeason,perCrop)'!$R:$R,"RAINFED")</f>
        <v>0</v>
      </c>
      <c r="AL25" s="62">
        <f>SUMIFS('Data(perSeason,perCrop)'!$A:$A,'Data(perSeason,perCrop)'!$S:$S,Indicators!$B25,'Data(perSeason,perCrop)'!$O:$O,Indicators!AL$7,'Data(perSeason,perCrop)'!$C:$C,Indicators!AL$3,'Data(perSeason,perCrop)'!$R:$R,"RAINFED")</f>
        <v>205.053150076984</v>
      </c>
      <c r="AM25" s="62">
        <f>SUMIFS('Data(perSeason,perCrop)'!$A:$A,'Data(perSeason,perCrop)'!$S:$S,Indicators!$B25,'Data(perSeason,perCrop)'!$O:$O,Indicators!AM$7,'Data(perSeason,perCrop)'!$C:$C,Indicators!AM$3,'Data(perSeason,perCrop)'!$R:$R,"RAINFED")</f>
        <v>0</v>
      </c>
      <c r="AN25" s="62">
        <f>SUMIFS('Data(perSeason,perCrop)'!$A:$A,'Data(perSeason,perCrop)'!$S:$S,Indicators!$B25,'Data(perSeason,perCrop)'!$O:$O,Indicators!AN$7,'Data(perSeason,perCrop)'!$C:$C,Indicators!AN$3,'Data(perSeason,perCrop)'!$R:$R,"RAINFED")</f>
        <v>0</v>
      </c>
      <c r="AO25" s="62">
        <f>SUMIFS('Data(perSeason,perCrop)'!$A:$A,'Data(perSeason,perCrop)'!$S:$S,Indicators!$B25,'Data(perSeason,perCrop)'!$O:$O,Indicators!AO$7,'Data(perSeason,perCrop)'!$C:$C,Indicators!AO$3,'Data(perSeason,perCrop)'!$R:$R,"RAINFED")</f>
        <v>0</v>
      </c>
      <c r="AP25" s="62">
        <f>SUMIFS('Data(perSeason,perCrop)'!$A:$A,'Data(perSeason,perCrop)'!$S:$S,Indicators!$B25,'Data(perSeason,perCrop)'!$O:$O,Indicators!AP$7,'Data(perSeason,perCrop)'!$C:$C,Indicators!AP$3,'Data(perSeason,perCrop)'!$R:$R,"RAINFED")</f>
        <v>0</v>
      </c>
      <c r="AQ25" s="62">
        <f>SUMIFS('Data(perSeason,perCrop)'!$A:$A,'Data(perSeason,perCrop)'!$S:$S,Indicators!$B25,'Data(perSeason,perCrop)'!$O:$O,Indicators!AQ$7,'Data(perSeason,perCrop)'!$C:$C,Indicators!AQ$3,'Data(perSeason,perCrop)'!$R:$R,"RAINFED")</f>
        <v>0</v>
      </c>
      <c r="AR25" s="62">
        <f>SUMIFS('Data(perSeason,perCrop)'!$A:$A,'Data(perSeason,perCrop)'!$S:$S,Indicators!$B25,'Data(perSeason,perCrop)'!$O:$O,Indicators!AR$7,'Data(perSeason,perCrop)'!$C:$C,Indicators!AR$3,'Data(perSeason,perCrop)'!$R:$R,"RAINFED")</f>
        <v>0</v>
      </c>
      <c r="AS25" s="62">
        <f>SUMIFS('Data(perSeason,perCrop)'!$A:$A,'Data(perSeason,perCrop)'!$S:$S,Indicators!$B25,'Data(perSeason,perCrop)'!$O:$O,Indicators!AS$7,'Data(perSeason,perCrop)'!$C:$C,Indicators!AS$3,'Data(perSeason,perCrop)'!$R:$R,"RAINFED")</f>
        <v>0</v>
      </c>
      <c r="AT25" s="62">
        <f>SUMIFS('Data(perSeason,perCrop)'!$A:$A,'Data(perSeason,perCrop)'!$S:$S,Indicators!$B25,'Data(perSeason,perCrop)'!$O:$O,Indicators!AT$7,'Data(perSeason,perCrop)'!$C:$C,Indicators!AT$3,'Data(perSeason,perCrop)'!$R:$R,"RAINFED")</f>
        <v>0</v>
      </c>
      <c r="AU25" s="62">
        <f>SUMIFS('Data(perSeason,perCrop)'!$A:$A,'Data(perSeason,perCrop)'!$S:$S,Indicators!$B25,'Data(perSeason,perCrop)'!$O:$O,Indicators!AU$7,'Data(perSeason,perCrop)'!$C:$C,Indicators!AU$3,'Data(perSeason,perCrop)'!$R:$R,"RAINFED")</f>
        <v>0</v>
      </c>
      <c r="AV25" s="62">
        <f>SUMIFS('Data(perSeason,perCrop)'!$A:$A,'Data(perSeason,perCrop)'!$S:$S,Indicators!$B25,'Data(perSeason,perCrop)'!$O:$O,Indicators!AV$7,'Data(perSeason,perCrop)'!$C:$C,Indicators!AV$3,'Data(perSeason,perCrop)'!$R:$R,"RAINFED")</f>
        <v>0</v>
      </c>
      <c r="AW25" s="62">
        <f>SUMIFS('Data(perSeason,perCrop)'!$A:$A,'Data(perSeason,perCrop)'!$S:$S,Indicators!$B25,'Data(perSeason,perCrop)'!$O:$O,Indicators!AW$7,'Data(perSeason,perCrop)'!$C:$C,Indicators!AW$3,'Data(perSeason,perCrop)'!$R:$R,"RAINFED")</f>
        <v>0</v>
      </c>
      <c r="AX25" s="7">
        <f>SUMIFS('Data(perSeason,perCrop)'!$A:$A,'Data(perSeason,perCrop)'!$S:$S,Indicators!$B25,'Data(perSeason,perCrop)'!$O:$O,Indicators!AX$7,'Data(perSeason,perCrop)'!$C:$C,Indicators!AX$3,'Data(perSeason,perCrop)'!$R:$R,"RAINFED")</f>
        <v>0</v>
      </c>
      <c r="AY25" s="7">
        <f>SUMIFS('Data(perSeason,perCrop)'!$A:$A,'Data(perSeason,perCrop)'!$S:$S,Indicators!$B25,'Data(perSeason,perCrop)'!$O:$O,Indicators!AY$7,'Data(perSeason,perCrop)'!$C:$C,Indicators!AY$3,'Data(perSeason,perCrop)'!$R:$R,"RAINFED")</f>
        <v>847.05382950554895</v>
      </c>
      <c r="AZ25" s="7">
        <f>SUMIFS('Data(perSeason,perCrop)'!$A:$A,'Data(perSeason,perCrop)'!$S:$S,Indicators!$B25,'Data(perSeason,perCrop)'!$O:$O,Indicators!AZ$7,'Data(perSeason,perCrop)'!$C:$C,Indicators!AZ$3,'Data(perSeason,perCrop)'!$R:$R,"RAINFED")</f>
        <v>0</v>
      </c>
      <c r="BA25" s="7">
        <f>SUMIFS('Data(perSeason,perCrop)'!$A:$A,'Data(perSeason,perCrop)'!$S:$S,Indicators!$B25,'Data(perSeason,perCrop)'!$O:$O,Indicators!BA$7,'Data(perSeason,perCrop)'!$C:$C,Indicators!BA$3,'Data(perSeason,perCrop)'!$R:$R,"RAINFED")</f>
        <v>0</v>
      </c>
      <c r="BB25" s="7">
        <f>SUMIFS('Data(perSeason,perCrop)'!$A:$A,'Data(perSeason,perCrop)'!$S:$S,Indicators!$B25,'Data(perSeason,perCrop)'!$O:$O,Indicators!BB$7,'Data(perSeason,perCrop)'!$C:$C,Indicators!BB$3,'Data(perSeason,perCrop)'!$R:$R,"RAINFED")</f>
        <v>0</v>
      </c>
      <c r="BC25" s="7">
        <f>SUMIFS('Data(perSeason,perCrop)'!$A:$A,'Data(perSeason,perCrop)'!$S:$S,Indicators!$B25,'Data(perSeason,perCrop)'!$O:$O,Indicators!BC$7,'Data(perSeason,perCrop)'!$C:$C,Indicators!BC$3,'Data(perSeason,perCrop)'!$R:$R,"RAINFED")</f>
        <v>0</v>
      </c>
      <c r="BD25" s="7">
        <f>SUMIFS('Data(perSeason,perCrop)'!$A:$A,'Data(perSeason,perCrop)'!$S:$S,Indicators!$B25,'Data(perSeason,perCrop)'!$O:$O,Indicators!BD$7,'Data(perSeason,perCrop)'!$C:$C,Indicators!BD$3,'Data(perSeason,perCrop)'!$R:$R,"RAINFED")</f>
        <v>0</v>
      </c>
      <c r="BE25" s="7">
        <f>SUMIFS('Data(perSeason,perCrop)'!$A:$A,'Data(perSeason,perCrop)'!$S:$S,Indicators!$B25,'Data(perSeason,perCrop)'!$O:$O,Indicators!BE$7,'Data(perSeason,perCrop)'!$C:$C,Indicators!BE$3,'Data(perSeason,perCrop)'!$R:$R,"RAINFED")</f>
        <v>0</v>
      </c>
      <c r="BF25" s="7">
        <f>SUMIFS('Data(perSeason,perCrop)'!$A:$A,'Data(perSeason,perCrop)'!$S:$S,Indicators!$B25,'Data(perSeason,perCrop)'!$O:$O,Indicators!BF$7,'Data(perSeason,perCrop)'!$C:$C,Indicators!BF$3,'Data(perSeason,perCrop)'!$R:$R,"RAINFED")</f>
        <v>0</v>
      </c>
      <c r="BG25" s="7">
        <f>SUMIFS('Data(perSeason,perCrop)'!$A:$A,'Data(perSeason,perCrop)'!$S:$S,Indicators!$B25,'Data(perSeason,perCrop)'!$O:$O,Indicators!BG$7,'Data(perSeason,perCrop)'!$C:$C,Indicators!BG$3,'Data(perSeason,perCrop)'!$R:$R,"RAINFED")</f>
        <v>0</v>
      </c>
      <c r="BH25" s="7">
        <f>SUMIFS('Data(perSeason,perCrop)'!$A:$A,'Data(perSeason,perCrop)'!$S:$S,Indicators!$B25,'Data(perSeason,perCrop)'!$O:$O,Indicators!BH$7,'Data(perSeason,perCrop)'!$C:$C,Indicators!BH$3,'Data(perSeason,perCrop)'!$R:$R,"RAINFED")</f>
        <v>0</v>
      </c>
      <c r="BI25" s="7">
        <f>SUMIFS('Data(perSeason,perCrop)'!$A:$A,'Data(perSeason,perCrop)'!$S:$S,Indicators!$B25,'Data(perSeason,perCrop)'!$O:$O,Indicators!BI$7,'Data(perSeason,perCrop)'!$C:$C,Indicators!BI$3,'Data(perSeason,perCrop)'!$R:$R,"RAINFED")</f>
        <v>0</v>
      </c>
      <c r="BJ25" s="7">
        <f>SUMIFS('Data(perSeason,perCrop)'!$A:$A,'Data(perSeason,perCrop)'!$S:$S,Indicators!$B25,'Data(perSeason,perCrop)'!$O:$O,Indicators!BJ$7,'Data(perSeason,perCrop)'!$C:$C,Indicators!BJ$3,'Data(perSeason,perCrop)'!$R:$R,"RAINFED")</f>
        <v>0</v>
      </c>
      <c r="BK25" s="7">
        <f>SUMIFS('Data(perSeason,perCrop)'!$A:$A,'Data(perSeason,perCrop)'!$S:$S,Indicators!$B25,'Data(perSeason,perCrop)'!$O:$O,Indicators!BK$7,'Data(perSeason,perCrop)'!$C:$C,Indicators!BK$3,'Data(perSeason,perCrop)'!$R:$R,"RAINFED")</f>
        <v>0</v>
      </c>
      <c r="BL25" s="7">
        <f>SUMIFS('Data(perSeason,perCrop)'!$A:$A,'Data(perSeason,perCrop)'!$S:$S,Indicators!$B25,'Data(perSeason,perCrop)'!$O:$O,Indicators!BL$7,'Data(perSeason,perCrop)'!$C:$C,Indicators!BL$3,'Data(perSeason,perCrop)'!$R:$R,"RAINFED")</f>
        <v>18.052470426097202</v>
      </c>
      <c r="BM25" s="7">
        <f>SUMIFS('Data(perSeason,perCrop)'!$A:$A,'Data(perSeason,perCrop)'!$S:$S,Indicators!$B25,'Data(perSeason,perCrop)'!$O:$O,Indicators!BM$7,'Data(perSeason,perCrop)'!$C:$C,Indicators!BM$3,'Data(perSeason,perCrop)'!$R:$R,"RAINFED")</f>
        <v>0</v>
      </c>
      <c r="BN25" s="7">
        <f>SUMIFS('Data(perSeason,perCrop)'!$A:$A,'Data(perSeason,perCrop)'!$S:$S,Indicators!$B25,'Data(perSeason,perCrop)'!$O:$O,Indicators!BN$7,'Data(perSeason,perCrop)'!$C:$C,Indicators!BN$3,'Data(perSeason,perCrop)'!$R:$R,"RAINFED")</f>
        <v>886.03518602663905</v>
      </c>
      <c r="BO25" s="7">
        <f>SUMIFS('Data(perSeason,perCrop)'!$A:$A,'Data(perSeason,perCrop)'!$S:$S,Indicators!$B25,'Data(perSeason,perCrop)'!$O:$O,Indicators!BO$7,'Data(perSeason,perCrop)'!$C:$C,Indicators!BO$3,'Data(perSeason,perCrop)'!$R:$R,"RAINFED")</f>
        <v>0</v>
      </c>
      <c r="BP25" s="7">
        <f>SUMIFS('Data(perSeason,perCrop)'!$A:$A,'Data(perSeason,perCrop)'!$S:$S,Indicators!$B25,'Data(perSeason,perCrop)'!$O:$O,Indicators!BP$7,'Data(perSeason,perCrop)'!$C:$C,Indicators!BP$3,'Data(perSeason,perCrop)'!$R:$R,"RAINFED")</f>
        <v>0</v>
      </c>
      <c r="BQ25" s="7">
        <f>SUMIFS('Data(perSeason,perCrop)'!$A:$A,'Data(perSeason,perCrop)'!$S:$S,Indicators!$B25,'Data(perSeason,perCrop)'!$O:$O,Indicators!BQ$7,'Data(perSeason,perCrop)'!$C:$C,Indicators!BQ$3,'Data(perSeason,perCrop)'!$R:$R,"RAINFED")</f>
        <v>177.92077258367399</v>
      </c>
      <c r="BR25" s="7">
        <f>SUMIFS('Data(perSeason,perCrop)'!$A:$A,'Data(perSeason,perCrop)'!$S:$S,Indicators!$B25,'Data(perSeason,perCrop)'!$O:$O,Indicators!BR$7,'Data(perSeason,perCrop)'!$C:$C,Indicators!BR$3,'Data(perSeason,perCrop)'!$R:$R,"RAINFED")</f>
        <v>0</v>
      </c>
      <c r="BS25" s="7">
        <f>SUMIFS('Data(perSeason,perCrop)'!$A:$A,'Data(perSeason,perCrop)'!$S:$S,Indicators!$B25,'Data(perSeason,perCrop)'!$O:$O,Indicators!BS$7,'Data(perSeason,perCrop)'!$C:$C,Indicators!BS$3,'Data(perSeason,perCrop)'!$R:$R,"RAINFED")</f>
        <v>0</v>
      </c>
      <c r="BT25" s="7">
        <f>SUMIFS('Data(perSeason,perCrop)'!$A:$A,'Data(perSeason,perCrop)'!$S:$S,Indicators!$B25,'Data(perSeason,perCrop)'!$O:$O,Indicators!BT$7,'Data(perSeason,perCrop)'!$C:$C,Indicators!BT$3,'Data(perSeason,perCrop)'!$R:$R,"RAINFED")</f>
        <v>0</v>
      </c>
      <c r="BU25" s="7">
        <f>SUMIFS('Data(perSeason,perCrop)'!$A:$A,'Data(perSeason,perCrop)'!$S:$S,Indicators!$B25,'Data(perSeason,perCrop)'!$O:$O,Indicators!BU$7,'Data(perSeason,perCrop)'!$C:$C,Indicators!BU$3,'Data(perSeason,perCrop)'!$R:$R,"RAINFED")</f>
        <v>0</v>
      </c>
      <c r="BV25" s="7">
        <f>SUMIFS('Data(perSeason,perCrop)'!$A:$A,'Data(perSeason,perCrop)'!$S:$S,Indicators!$B25,'Data(perSeason,perCrop)'!$O:$O,Indicators!BV$7,'Data(perSeason,perCrop)'!$C:$C,Indicators!BV$3,'Data(perSeason,perCrop)'!$R:$R,"RAINFED")</f>
        <v>0</v>
      </c>
      <c r="BW25" s="7">
        <f>SUMIFS('Data(perSeason,perCrop)'!$A:$A,'Data(perSeason,perCrop)'!$S:$S,Indicators!$B25,'Data(perSeason,perCrop)'!$O:$O,Indicators!BW$7,'Data(perSeason,perCrop)'!$C:$C,Indicators!BW$3,'Data(perSeason,perCrop)'!$R:$R,"RAINFED")</f>
        <v>0</v>
      </c>
      <c r="BX25" s="7">
        <f>SUMIFS('Data(perSeason,perCrop)'!$A:$A,'Data(perSeason,perCrop)'!$S:$S,Indicators!$B25,'Data(perSeason,perCrop)'!$O:$O,Indicators!BX$7,'Data(perSeason,perCrop)'!$C:$C,Indicators!BX$3,'Data(perSeason,perCrop)'!$R:$R,"RAINFED")</f>
        <v>0</v>
      </c>
      <c r="BY25" s="7">
        <f>SUMIFS('Data(perSeason,perCrop)'!$A:$A,'Data(perSeason,perCrop)'!$S:$S,Indicators!$B25,'Data(perSeason,perCrop)'!$O:$O,Indicators!BY$7,'Data(perSeason,perCrop)'!$C:$C,Indicators!BY$3,'Data(perSeason,perCrop)'!$R:$R,"RAINFED")</f>
        <v>0</v>
      </c>
      <c r="BZ25" s="7">
        <f>SUMIFS('Data(perSeason,perCrop)'!$A:$A,'Data(perSeason,perCrop)'!$S:$S,Indicators!$B25,'Data(perSeason,perCrop)'!$O:$O,Indicators!BZ$7,'Data(perSeason,perCrop)'!$C:$C,Indicators!BZ$3,'Data(perSeason,perCrop)'!$R:$R,"RAINFED")</f>
        <v>0</v>
      </c>
      <c r="CA25" s="7">
        <f>SUMIFS('Data(perSeason,perCrop)'!$A:$A,'Data(perSeason,perCrop)'!$S:$S,Indicators!$B25,'Data(perSeason,perCrop)'!$O:$O,Indicators!CA$7,'Data(perSeason,perCrop)'!$C:$C,Indicators!CA$3,'Data(perSeason,perCrop)'!$R:$R,"RAINFED")</f>
        <v>0</v>
      </c>
      <c r="CB25" s="7">
        <f>SUMIFS('Data(perSeason,perCrop)'!$A:$A,'Data(perSeason,perCrop)'!$S:$S,Indicators!$B25,'Data(perSeason,perCrop)'!$O:$O,Indicators!CB$7,'Data(perSeason,perCrop)'!$C:$C,Indicators!CB$3,'Data(perSeason,perCrop)'!$R:$R,"RAINFED")</f>
        <v>0</v>
      </c>
      <c r="CC25" s="7">
        <f>SUMIFS('Data(perSeason,perCrop)'!$A:$A,'Data(perSeason,perCrop)'!$S:$S,Indicators!$B25,'Data(perSeason,perCrop)'!$O:$O,Indicators!CC$7,'Data(perSeason,perCrop)'!$C:$C,Indicators!CC$3,'Data(perSeason,perCrop)'!$R:$R,"RAINFED")</f>
        <v>0</v>
      </c>
      <c r="CD25" s="7">
        <f>SUMIFS('Data(perSeason,perCrop)'!$A:$A,'Data(perSeason,perCrop)'!$S:$S,Indicators!$B25,'Data(perSeason,perCrop)'!$O:$O,Indicators!CD$7,'Data(perSeason,perCrop)'!$C:$C,Indicators!CD$3,'Data(perSeason,perCrop)'!$R:$R,"RAINFED")</f>
        <v>0</v>
      </c>
      <c r="CE25" s="7">
        <f>SUMIFS('Data(perSeason,perCrop)'!$A:$A,'Data(perSeason,perCrop)'!$S:$S,Indicators!$B25,'Data(perSeason,perCrop)'!$O:$O,Indicators!CE$7,'Data(perSeason,perCrop)'!$C:$C,Indicators!CE$3,'Data(perSeason,perCrop)'!$R:$R,"RAINFED")</f>
        <v>0</v>
      </c>
      <c r="CF25" s="7">
        <f>SUMIFS('Data(perSeason,perCrop)'!$A:$A,'Data(perSeason,perCrop)'!$S:$S,Indicators!$B25,'Data(perSeason,perCrop)'!$O:$O,Indicators!CF$7,'Data(perSeason,perCrop)'!$C:$C,Indicators!CF$3,'Data(perSeason,perCrop)'!$R:$R,"RAINFED")</f>
        <v>0</v>
      </c>
      <c r="CG25" s="7">
        <f>SUMIFS('Data(perSeason,perCrop)'!$A:$A,'Data(perSeason,perCrop)'!$S:$S,Indicators!$B25,'Data(perSeason,perCrop)'!$O:$O,Indicators!CG$7,'Data(perSeason,perCrop)'!$C:$C,Indicators!CG$3,'Data(perSeason,perCrop)'!$R:$R,"RAINFED")</f>
        <v>0</v>
      </c>
      <c r="CH25" s="7">
        <f>SUMIFS('Data(perSeason,perCrop)'!$A:$A,'Data(perSeason,perCrop)'!$S:$S,Indicators!$B25,'Data(perSeason,perCrop)'!$O:$O,Indicators!CH$7,'Data(perSeason,perCrop)'!$C:$C,Indicators!CH$3,'Data(perSeason,perCrop)'!$R:$R,"RAINFED")</f>
        <v>0</v>
      </c>
      <c r="CI25" s="7">
        <f>SUMIFS('Data(perSeason,perCrop)'!$A:$A,'Data(perSeason,perCrop)'!$S:$S,Indicators!$B25,'Data(perSeason,perCrop)'!$O:$O,Indicators!CI$7,'Data(perSeason,perCrop)'!$C:$C,Indicators!CI$3,'Data(perSeason,perCrop)'!$R:$R,"RAINFED")</f>
        <v>0</v>
      </c>
      <c r="CJ25" s="7">
        <f>SUMIFS('Data(perSeason,perCrop)'!$A:$A,'Data(perSeason,perCrop)'!$S:$S,Indicators!$B25,'Data(perSeason,perCrop)'!$O:$O,Indicators!CJ$7,'Data(perSeason,perCrop)'!$C:$C,Indicators!CJ$3,'Data(perSeason,perCrop)'!$R:$R,"RAINFED")</f>
        <v>0</v>
      </c>
      <c r="CK25" s="7">
        <f>SUMIFS('Data(perSeason,perCrop)'!$A:$A,'Data(perSeason,perCrop)'!$S:$S,Indicators!$B25,'Data(perSeason,perCrop)'!$O:$O,Indicators!CK$7,'Data(perSeason,perCrop)'!$C:$C,Indicators!CK$3,'Data(perSeason,perCrop)'!$R:$R,"RAINFED")</f>
        <v>0</v>
      </c>
      <c r="CL25" s="7">
        <f>SUMIFS('Data(perSeason,perCrop)'!$A:$A,'Data(perSeason,perCrop)'!$S:$S,Indicators!$B25,'Data(perSeason,perCrop)'!$O:$O,Indicators!CL$7,'Data(perSeason,perCrop)'!$C:$C,Indicators!CL$3,'Data(perSeason,perCrop)'!$R:$R,"RAINFED")</f>
        <v>0</v>
      </c>
      <c r="CM25" s="7">
        <f>SUMIFS('Data(perSeason,perCrop)'!$A:$A,'Data(perSeason,perCrop)'!$S:$S,Indicators!$B25,'Data(perSeason,perCrop)'!$O:$O,Indicators!CM$7,'Data(perSeason,perCrop)'!$C:$C,Indicators!CM$3,'Data(perSeason,perCrop)'!$R:$R,"RAINFED")</f>
        <v>0</v>
      </c>
      <c r="CN25" s="7">
        <f>SUMIFS('Data(perSeason,perCrop)'!$A:$A,'Data(perSeason,perCrop)'!$S:$S,Indicators!$B25,'Data(perSeason,perCrop)'!$O:$O,Indicators!CN$7,'Data(perSeason,perCrop)'!$C:$C,Indicators!CN$3,'Data(perSeason,perCrop)'!$R:$R,"RAINFED")</f>
        <v>0</v>
      </c>
      <c r="CO25" s="7">
        <f>SUMIFS('Data(perSeason,perCrop)'!$A:$A,'Data(perSeason,perCrop)'!$S:$S,Indicators!$B25,'Data(perSeason,perCrop)'!$O:$O,Indicators!CO$7,'Data(perSeason,perCrop)'!$C:$C,Indicators!CO$3,'Data(perSeason,perCrop)'!$R:$R,"RAINFED")</f>
        <v>0</v>
      </c>
      <c r="CP25" s="7">
        <f>SUMIFS('Data(perSeason,perCrop)'!$A:$A,'Data(perSeason,perCrop)'!$S:$S,Indicators!$B25,'Data(perSeason,perCrop)'!$O:$O,Indicators!CP$7,'Data(perSeason,perCrop)'!$C:$C,Indicators!CP$3,'Data(perSeason,perCrop)'!$R:$R,"RAINFED")</f>
        <v>22.176328235081598</v>
      </c>
      <c r="CQ25" s="7">
        <f>SUMIFS('Data(perSeason,perCrop)'!$A:$A,'Data(perSeason,perCrop)'!$S:$S,Indicators!$B25,'Data(perSeason,perCrop)'!$O:$O,Indicators!CQ$7,'Data(perSeason,perCrop)'!$C:$C,Indicators!CQ$3,'Data(perSeason,perCrop)'!$R:$R,"RAINFED")</f>
        <v>5.0111631835339097</v>
      </c>
      <c r="CR25" s="7">
        <f>SUMIFS('Data(perSeason,perCrop)'!$A:$A,'Data(perSeason,perCrop)'!$S:$S,Indicators!$B25,'Data(perSeason,perCrop)'!$O:$O,Indicators!CR$7,'Data(perSeason,perCrop)'!$C:$C,Indicators!CR$3,'Data(perSeason,perCrop)'!$R:$R,"RAINFED")</f>
        <v>0</v>
      </c>
      <c r="CS25" s="7">
        <f>SUMIFS('Data(perSeason,perCrop)'!$A:$A,'Data(perSeason,perCrop)'!$S:$S,Indicators!$B25,'Data(perSeason,perCrop)'!$O:$O,Indicators!CS$7,'Data(perSeason,perCrop)'!$C:$C,Indicators!CS$3,'Data(perSeason,perCrop)'!$R:$R,"RAINFED")</f>
        <v>13.050283949082299</v>
      </c>
      <c r="CT25" s="7">
        <f>SUMIFS('Data(perSeason,perCrop)'!$A:$A,'Data(perSeason,perCrop)'!$S:$S,Indicators!$B25,'Data(perSeason,perCrop)'!$O:$O,Indicators!CT$7,'Data(perSeason,perCrop)'!$C:$C,Indicators!CT$3,'Data(perSeason,perCrop)'!$R:$R,"RAINFED")</f>
        <v>0</v>
      </c>
      <c r="CU25" s="7">
        <f>SUMIFS('Data(perSeason,perCrop)'!$A:$A,'Data(perSeason,perCrop)'!$S:$S,Indicators!$B25,'Data(perSeason,perCrop)'!$O:$O,Indicators!CU$7,'Data(perSeason,perCrop)'!$C:$C,Indicators!CU$3,'Data(perSeason,perCrop)'!$R:$R,"RAINFED")</f>
        <v>0</v>
      </c>
      <c r="CV25" s="7">
        <f>SUMIFS('Data(perSeason,perCrop)'!$A:$A,'Data(perSeason,perCrop)'!$S:$S,Indicators!$B25,'Data(perSeason,perCrop)'!$O:$O,Indicators!CV$7,'Data(perSeason,perCrop)'!$C:$C,Indicators!CV$3,'Data(perSeason,perCrop)'!$R:$R,"RAINFED")</f>
        <v>26.7700866105173</v>
      </c>
      <c r="CW25" s="7">
        <f>SUMIFS('Data(perSeason,perCrop)'!$A:$A,'Data(perSeason,perCrop)'!$S:$S,Indicators!$B25,'Data(perSeason,perCrop)'!$O:$O,Indicators!CW$7,'Data(perSeason,perCrop)'!$C:$C,Indicators!CW$3,'Data(perSeason,perCrop)'!$R:$R,"RAINFED")</f>
        <v>0</v>
      </c>
      <c r="CX25" s="7">
        <f>SUMIFS('Data(perSeason,perCrop)'!$A:$A,'Data(perSeason,perCrop)'!$S:$S,Indicators!$B25,'Data(perSeason,perCrop)'!$O:$O,Indicators!CX$7,'Data(perSeason,perCrop)'!$C:$C,Indicators!CX$3,'Data(perSeason,perCrop)'!$R:$R,"RAINFED")</f>
        <v>0</v>
      </c>
      <c r="CY25" s="7">
        <f>SUMIFS('Data(perSeason,perCrop)'!$A:$A,'Data(perSeason,perCrop)'!$S:$S,Indicators!$B25,'Data(perSeason,perCrop)'!$O:$O,Indicators!CY$7,'Data(perSeason,perCrop)'!$C:$C,Indicators!CY$3,'Data(perSeason,perCrop)'!$R:$R,"RAINFED")</f>
        <v>0</v>
      </c>
      <c r="CZ25" s="7">
        <f>SUMIFS('Data(perSeason,perCrop)'!$A:$A,'Data(perSeason,perCrop)'!$S:$S,Indicators!$B25,'Data(perSeason,perCrop)'!$O:$O,Indicators!CZ$7,'Data(perSeason,perCrop)'!$C:$C,Indicators!CZ$3,'Data(perSeason,perCrop)'!$R:$R,"RAINFED")</f>
        <v>0</v>
      </c>
      <c r="DA25" s="7">
        <f>SUMIFS('Data(perSeason,perCrop)'!$A:$A,'Data(perSeason,perCrop)'!$S:$S,Indicators!$B25,'Data(perSeason,perCrop)'!$O:$O,Indicators!DA$7,'Data(perSeason,perCrop)'!$C:$C,Indicators!DA$3,'Data(perSeason,perCrop)'!$R:$R,"RAINFED")</f>
        <v>0</v>
      </c>
      <c r="DB25" s="7">
        <f>SUMIFS('Data(perSeason,perCrop)'!$A:$A,'Data(perSeason,perCrop)'!$S:$S,Indicators!$B25,'Data(perSeason,perCrop)'!$O:$O,Indicators!DB$7,'Data(perSeason,perCrop)'!$C:$C,Indicators!DB$3,'Data(perSeason,perCrop)'!$R:$R,"RAINFED")</f>
        <v>0</v>
      </c>
      <c r="DC25" s="7">
        <f>SUMIFS('Data(perSeason,perCrop)'!$A:$A,'Data(perSeason,perCrop)'!$S:$S,Indicators!$B25,'Data(perSeason,perCrop)'!$O:$O,Indicators!DC$7,'Data(perSeason,perCrop)'!$C:$C,Indicators!DC$3,'Data(perSeason,perCrop)'!$R:$R,"RAINFED")</f>
        <v>0</v>
      </c>
      <c r="DD25" s="7">
        <f>SUMIFS('Data(perSeason,perCrop)'!$A:$A,'Data(perSeason,perCrop)'!$S:$S,Indicators!$B25,'Data(perSeason,perCrop)'!$O:$O,Indicators!DD$7,'Data(perSeason,perCrop)'!$C:$C,Indicators!DD$3,'Data(perSeason,perCrop)'!$R:$R,"RAINFED")</f>
        <v>0</v>
      </c>
      <c r="DE25" s="7">
        <f>SUMIFS('Data(perSeason,perCrop)'!$A:$A,'Data(perSeason,perCrop)'!$S:$S,Indicators!$B25,'Data(perSeason,perCrop)'!$O:$O,Indicators!DE$7,'Data(perSeason,perCrop)'!$C:$C,Indicators!DE$3,'Data(perSeason,perCrop)'!$R:$R,"RAINFED")</f>
        <v>0</v>
      </c>
      <c r="DF25" s="7">
        <f>SUMIFS('Data(perSeason,perCrop)'!$A:$A,'Data(perSeason,perCrop)'!$S:$S,Indicators!$B25,'Data(perSeason,perCrop)'!$O:$O,Indicators!DF$7,'Data(perSeason,perCrop)'!$C:$C,Indicators!DF$3,'Data(perSeason,perCrop)'!$R:$R,"RAINFED")</f>
        <v>0</v>
      </c>
      <c r="DG25" s="7">
        <f>SUMIFS('Data(perSeason,perCrop)'!$A:$A,'Data(perSeason,perCrop)'!$S:$S,Indicators!$B25,'Data(perSeason,perCrop)'!$O:$O,Indicators!DG$7,'Data(perSeason,perCrop)'!$C:$C,Indicators!DG$3,'Data(perSeason,perCrop)'!$R:$R,"RAINFED")</f>
        <v>0</v>
      </c>
    </row>
    <row r="26" spans="1:111" x14ac:dyDescent="0.25">
      <c r="B26">
        <v>2021</v>
      </c>
      <c r="C26" s="7">
        <f>IF(COUNTIFS('Data(perSeason,perCrop)'!$S:$S,Indicators!$B26)&gt;0,SUMIFS('Data(perSeason,perCrop)'!$A:$A,'Data(perSeason,perCrop)'!$S:$S,Indicators!$B26,'Data(perSeason,perCrop)'!$O:$O,Indicators!C$7,'Data(perSeason,perCrop)'!$R:$R,"RAINFED"),"")</f>
        <v>4685.361318748659</v>
      </c>
      <c r="D26" s="7">
        <f>IF(COUNTIFS('Data(perSeason,perCrop)'!$S:$S,Indicators!$B26)&gt;0,SUMIFS('Data(perSeason,perCrop)'!$A:$A,'Data(perSeason,perCrop)'!$S:$S,Indicators!$B26,'Data(perSeason,perCrop)'!$O:$O,Indicators!D$7,'Data(perSeason,perCrop)'!$R:$R,"RAINFED"),"")</f>
        <v>2635.1550121547129</v>
      </c>
      <c r="E26" s="7">
        <f>IF(COUNTIFS('Data(perSeason,perCrop)'!$S:$S,Indicators!$B26)&gt;0,SUMIFS('Data(perSeason,perCrop)'!$A:$A,'Data(perSeason,perCrop)'!$S:$S,Indicators!$B26,'Data(perSeason,perCrop)'!$O:$O,Indicators!E$7,'Data(perSeason,perCrop)'!$R:$R,"RAINFED"),"")</f>
        <v>169.31232119760784</v>
      </c>
      <c r="F26" s="7">
        <f>IF(COUNTIFS('Data(perSeason,perCrop)'!$S:$S,Indicators!$B26)&gt;0,SUMIFS('Data(perSeason,perCrop)'!$A:$A,'Data(perSeason,perCrop)'!$S:$S,Indicators!$B26,'Data(perSeason,perCrop)'!$O:$O,Indicators!F$7,'Data(perSeason,perCrop)'!$R:$R,"RAINFED"),"")</f>
        <v>2187.114959057873</v>
      </c>
      <c r="G26" s="7"/>
      <c r="H26" s="7"/>
      <c r="J26" s="2" t="s">
        <v>209</v>
      </c>
      <c r="K26" s="7">
        <f>SUMIFS('Data(perSeason,perCrop)'!$A:$A,'Data(perSeason,perCrop)'!$S:$S,Indicators!$B26,'Data(perSeason,perCrop)'!$O:$O,Indicators!K$7,'Data(perSeason,perCrop)'!$C:$C,Indicators!K$3,'Data(perSeason,perCrop)'!$R:$R,"RAINFED")</f>
        <v>47.0761432160919</v>
      </c>
      <c r="L26" s="7">
        <f>SUMIFS('Data(perSeason,perCrop)'!$A:$A,'Data(perSeason,perCrop)'!$S:$S,Indicators!$B26,'Data(perSeason,perCrop)'!$O:$O,Indicators!L$7,'Data(perSeason,perCrop)'!$C:$C,Indicators!L$3,'Data(perSeason,perCrop)'!$R:$R,"RAINFED")</f>
        <v>0</v>
      </c>
      <c r="M26" s="7">
        <f>SUMIFS('Data(perSeason,perCrop)'!$A:$A,'Data(perSeason,perCrop)'!$S:$S,Indicators!$B26,'Data(perSeason,perCrop)'!$O:$O,Indicators!M$7,'Data(perSeason,perCrop)'!$C:$C,Indicators!M$3,'Data(perSeason,perCrop)'!$R:$R,"RAINFED")</f>
        <v>0</v>
      </c>
      <c r="N26" s="7">
        <f>SUMIFS('Data(perSeason,perCrop)'!$A:$A,'Data(perSeason,perCrop)'!$S:$S,Indicators!$B26,'Data(perSeason,perCrop)'!$O:$O,Indicators!N$7,'Data(perSeason,perCrop)'!$C:$C,Indicators!N$3,'Data(perSeason,perCrop)'!$R:$R,"RAINFED")</f>
        <v>87.113644428076597</v>
      </c>
      <c r="O26" s="7">
        <f>SUMIFS('Data(perSeason,perCrop)'!$A:$A,'Data(perSeason,perCrop)'!$S:$S,Indicators!$B26,'Data(perSeason,perCrop)'!$O:$O,Indicators!O$7,'Data(perSeason,perCrop)'!$C:$C,Indicators!O$3,'Data(perSeason,perCrop)'!$R:$R,"RAINFED")</f>
        <v>1975.2109936388099</v>
      </c>
      <c r="P26" s="7">
        <f>SUMIFS('Data(perSeason,perCrop)'!$A:$A,'Data(perSeason,perCrop)'!$S:$S,Indicators!$B26,'Data(perSeason,perCrop)'!$O:$O,Indicators!P$7,'Data(perSeason,perCrop)'!$C:$C,Indicators!P$3,'Data(perSeason,perCrop)'!$R:$R,"RAINFED")</f>
        <v>48.515824106585903</v>
      </c>
      <c r="Q26" s="7">
        <f>SUMIFS('Data(perSeason,perCrop)'!$A:$A,'Data(perSeason,perCrop)'!$S:$S,Indicators!$B26,'Data(perSeason,perCrop)'!$O:$O,Indicators!Q$7,'Data(perSeason,perCrop)'!$C:$C,Indicators!Q$3,'Data(perSeason,perCrop)'!$R:$R,"RAINFED")</f>
        <v>29.198353668308599</v>
      </c>
      <c r="R26" s="7">
        <f>SUMIFS('Data(perSeason,perCrop)'!$A:$A,'Data(perSeason,perCrop)'!$S:$S,Indicators!$B26,'Data(perSeason,perCrop)'!$O:$O,Indicators!R$7,'Data(perSeason,perCrop)'!$C:$C,Indicators!R$3,'Data(perSeason,perCrop)'!$R:$R,"RAINFED")</f>
        <v>0</v>
      </c>
      <c r="S26" s="62">
        <f>SUMIFS('Data(perSeason,perCrop)'!$A:$A,'Data(perSeason,perCrop)'!$S:$S,Indicators!$B26,'Data(perSeason,perCrop)'!$O:$O,Indicators!S$7,'Data(perSeason,perCrop)'!$C:$C,Indicators!S$3,'Data(perSeason,perCrop)'!$R:$R,"RAINFED")</f>
        <v>0</v>
      </c>
      <c r="T26" s="62">
        <f>SUMIFS('Data(perSeason,perCrop)'!$A:$A,'Data(perSeason,perCrop)'!$S:$S,Indicators!$B26,'Data(perSeason,perCrop)'!$O:$O,Indicators!T$7,'Data(perSeason,perCrop)'!$C:$C,Indicators!T$3,'Data(perSeason,perCrop)'!$R:$R,"RAINFED")</f>
        <v>2209.5633261469302</v>
      </c>
      <c r="U26" s="62">
        <f>SUMIFS('Data(perSeason,perCrop)'!$A:$A,'Data(perSeason,perCrop)'!$S:$S,Indicators!$B26,'Data(perSeason,perCrop)'!$O:$O,Indicators!U$7,'Data(perSeason,perCrop)'!$C:$C,Indicators!U$3,'Data(perSeason,perCrop)'!$R:$R,"RAINFED")</f>
        <v>0</v>
      </c>
      <c r="V26" s="62">
        <f>SUMIFS('Data(perSeason,perCrop)'!$A:$A,'Data(perSeason,perCrop)'!$S:$S,Indicators!$B26,'Data(perSeason,perCrop)'!$O:$O,Indicators!V$7,'Data(perSeason,perCrop)'!$C:$C,Indicators!V$3,'Data(perSeason,perCrop)'!$R:$R,"RAINFED")</f>
        <v>0</v>
      </c>
      <c r="W26" s="62">
        <f>SUMIFS('Data(perSeason,perCrop)'!$A:$A,'Data(perSeason,perCrop)'!$S:$S,Indicators!$B26,'Data(perSeason,perCrop)'!$O:$O,Indicators!W$7,'Data(perSeason,perCrop)'!$C:$C,Indicators!W$3,'Data(perSeason,perCrop)'!$R:$R,"RAINFED")</f>
        <v>0</v>
      </c>
      <c r="X26" s="62">
        <f>SUMIFS('Data(perSeason,perCrop)'!$A:$A,'Data(perSeason,perCrop)'!$S:$S,Indicators!$B26,'Data(perSeason,perCrop)'!$O:$O,Indicators!X$7,'Data(perSeason,perCrop)'!$C:$C,Indicators!X$3,'Data(perSeason,perCrop)'!$R:$R,"RAINFED")</f>
        <v>0</v>
      </c>
      <c r="Y26" s="62">
        <f>SUMIFS('Data(perSeason,perCrop)'!$A:$A,'Data(perSeason,perCrop)'!$S:$S,Indicators!$B26,'Data(perSeason,perCrop)'!$O:$O,Indicators!Y$7,'Data(perSeason,perCrop)'!$C:$C,Indicators!Y$3,'Data(perSeason,perCrop)'!$R:$R,"RAINFED")</f>
        <v>0</v>
      </c>
      <c r="Z26" s="62">
        <f>SUMIFS('Data(perSeason,perCrop)'!$A:$A,'Data(perSeason,perCrop)'!$S:$S,Indicators!$B26,'Data(perSeason,perCrop)'!$O:$O,Indicators!Z$7,'Data(perSeason,perCrop)'!$C:$C,Indicators!Z$3,'Data(perSeason,perCrop)'!$R:$R,"RAINFED")</f>
        <v>0</v>
      </c>
      <c r="AA26" s="62">
        <f>SUMIFS('Data(perSeason,perCrop)'!$A:$A,'Data(perSeason,perCrop)'!$S:$S,Indicators!$B26,'Data(perSeason,perCrop)'!$O:$O,Indicators!AA$7,'Data(perSeason,perCrop)'!$C:$C,Indicators!AA$3,'Data(perSeason,perCrop)'!$R:$R,"RAINFED")</f>
        <v>0</v>
      </c>
      <c r="AB26" s="62">
        <f>SUMIFS('Data(perSeason,perCrop)'!$A:$A,'Data(perSeason,perCrop)'!$S:$S,Indicators!$B26,'Data(perSeason,perCrop)'!$O:$O,Indicators!AB$7,'Data(perSeason,perCrop)'!$C:$C,Indicators!AB$3,'Data(perSeason,perCrop)'!$R:$R,"RAINFED")</f>
        <v>0</v>
      </c>
      <c r="AC26" s="62">
        <f>SUMIFS('Data(perSeason,perCrop)'!$A:$A,'Data(perSeason,perCrop)'!$S:$S,Indicators!$B26,'Data(perSeason,perCrop)'!$O:$O,Indicators!AC$7,'Data(perSeason,perCrop)'!$C:$C,Indicators!AC$3,'Data(perSeason,perCrop)'!$R:$R,"RAINFED")</f>
        <v>0</v>
      </c>
      <c r="AD26" s="62">
        <f>SUMIFS('Data(perSeason,perCrop)'!$A:$A,'Data(perSeason,perCrop)'!$S:$S,Indicators!$B26,'Data(perSeason,perCrop)'!$O:$O,Indicators!AD$7,'Data(perSeason,perCrop)'!$C:$C,Indicators!AD$3,'Data(perSeason,perCrop)'!$R:$R,"RAINFED")</f>
        <v>0</v>
      </c>
      <c r="AE26" s="62">
        <f>SUMIFS('Data(perSeason,perCrop)'!$A:$A,'Data(perSeason,perCrop)'!$S:$S,Indicators!$B26,'Data(perSeason,perCrop)'!$O:$O,Indicators!AE$7,'Data(perSeason,perCrop)'!$C:$C,Indicators!AE$3,'Data(perSeason,perCrop)'!$R:$R,"RAINFED")</f>
        <v>0</v>
      </c>
      <c r="AF26" s="62">
        <f>SUMIFS('Data(perSeason,perCrop)'!$A:$A,'Data(perSeason,perCrop)'!$S:$S,Indicators!$B26,'Data(perSeason,perCrop)'!$O:$O,Indicators!AF$7,'Data(perSeason,perCrop)'!$C:$C,Indicators!AF$3,'Data(perSeason,perCrop)'!$R:$R,"RAINFED")</f>
        <v>0</v>
      </c>
      <c r="AG26" s="62">
        <f>SUMIFS('Data(perSeason,perCrop)'!$A:$A,'Data(perSeason,perCrop)'!$S:$S,Indicators!$B26,'Data(perSeason,perCrop)'!$O:$O,Indicators!AG$7,'Data(perSeason,perCrop)'!$C:$C,Indicators!AG$3,'Data(perSeason,perCrop)'!$R:$R,"RAINFED")</f>
        <v>28.491664179842999</v>
      </c>
      <c r="AH26" s="62">
        <f>SUMIFS('Data(perSeason,perCrop)'!$A:$A,'Data(perSeason,perCrop)'!$S:$S,Indicators!$B26,'Data(perSeason,perCrop)'!$O:$O,Indicators!AH$7,'Data(perSeason,perCrop)'!$C:$C,Indicators!AH$3,'Data(perSeason,perCrop)'!$R:$R,"RAINFED")</f>
        <v>0</v>
      </c>
      <c r="AI26" s="62">
        <f>SUMIFS('Data(perSeason,perCrop)'!$A:$A,'Data(perSeason,perCrop)'!$S:$S,Indicators!$B26,'Data(perSeason,perCrop)'!$O:$O,Indicators!AI$7,'Data(perSeason,perCrop)'!$C:$C,Indicators!AI$3,'Data(perSeason,perCrop)'!$R:$R,"RAINFED")</f>
        <v>889.40239345230395</v>
      </c>
      <c r="AJ26" s="62">
        <f>SUMIFS('Data(perSeason,perCrop)'!$A:$A,'Data(perSeason,perCrop)'!$S:$S,Indicators!$B26,'Data(perSeason,perCrop)'!$O:$O,Indicators!AJ$7,'Data(perSeason,perCrop)'!$C:$C,Indicators!AJ$3,'Data(perSeason,perCrop)'!$R:$R,"RAINFED")</f>
        <v>0</v>
      </c>
      <c r="AK26" s="62">
        <f>SUMIFS('Data(perSeason,perCrop)'!$A:$A,'Data(perSeason,perCrop)'!$S:$S,Indicators!$B26,'Data(perSeason,perCrop)'!$O:$O,Indicators!AK$7,'Data(perSeason,perCrop)'!$C:$C,Indicators!AK$3,'Data(perSeason,perCrop)'!$R:$R,"RAINFED")</f>
        <v>0</v>
      </c>
      <c r="AL26" s="62">
        <f>SUMIFS('Data(perSeason,perCrop)'!$A:$A,'Data(perSeason,perCrop)'!$S:$S,Indicators!$B26,'Data(perSeason,perCrop)'!$O:$O,Indicators!AL$7,'Data(perSeason,perCrop)'!$C:$C,Indicators!AL$3,'Data(perSeason,perCrop)'!$R:$R,"RAINFED")</f>
        <v>347.71338569999199</v>
      </c>
      <c r="AM26" s="62">
        <f>SUMIFS('Data(perSeason,perCrop)'!$A:$A,'Data(perSeason,perCrop)'!$S:$S,Indicators!$B26,'Data(perSeason,perCrop)'!$O:$O,Indicators!AM$7,'Data(perSeason,perCrop)'!$C:$C,Indicators!AM$3,'Data(perSeason,perCrop)'!$R:$R,"RAINFED")</f>
        <v>0</v>
      </c>
      <c r="AN26" s="62">
        <f>SUMIFS('Data(perSeason,perCrop)'!$A:$A,'Data(perSeason,perCrop)'!$S:$S,Indicators!$B26,'Data(perSeason,perCrop)'!$O:$O,Indicators!AN$7,'Data(perSeason,perCrop)'!$C:$C,Indicators!AN$3,'Data(perSeason,perCrop)'!$R:$R,"RAINFED")</f>
        <v>0</v>
      </c>
      <c r="AO26" s="62">
        <f>SUMIFS('Data(perSeason,perCrop)'!$A:$A,'Data(perSeason,perCrop)'!$S:$S,Indicators!$B26,'Data(perSeason,perCrop)'!$O:$O,Indicators!AO$7,'Data(perSeason,perCrop)'!$C:$C,Indicators!AO$3,'Data(perSeason,perCrop)'!$R:$R,"RAINFED")</f>
        <v>0</v>
      </c>
      <c r="AP26" s="62">
        <f>SUMIFS('Data(perSeason,perCrop)'!$A:$A,'Data(perSeason,perCrop)'!$S:$S,Indicators!$B26,'Data(perSeason,perCrop)'!$O:$O,Indicators!AP$7,'Data(perSeason,perCrop)'!$C:$C,Indicators!AP$3,'Data(perSeason,perCrop)'!$R:$R,"RAINFED")</f>
        <v>0</v>
      </c>
      <c r="AQ26" s="62">
        <f>SUMIFS('Data(perSeason,perCrop)'!$A:$A,'Data(perSeason,perCrop)'!$S:$S,Indicators!$B26,'Data(perSeason,perCrop)'!$O:$O,Indicators!AQ$7,'Data(perSeason,perCrop)'!$C:$C,Indicators!AQ$3,'Data(perSeason,perCrop)'!$R:$R,"RAINFED")</f>
        <v>0</v>
      </c>
      <c r="AR26" s="62">
        <f>SUMIFS('Data(perSeason,perCrop)'!$A:$A,'Data(perSeason,perCrop)'!$S:$S,Indicators!$B26,'Data(perSeason,perCrop)'!$O:$O,Indicators!AR$7,'Data(perSeason,perCrop)'!$C:$C,Indicators!AR$3,'Data(perSeason,perCrop)'!$R:$R,"RAINFED")</f>
        <v>0</v>
      </c>
      <c r="AS26" s="62">
        <f>SUMIFS('Data(perSeason,perCrop)'!$A:$A,'Data(perSeason,perCrop)'!$S:$S,Indicators!$B26,'Data(perSeason,perCrop)'!$O:$O,Indicators!AS$7,'Data(perSeason,perCrop)'!$C:$C,Indicators!AS$3,'Data(perSeason,perCrop)'!$R:$R,"RAINFED")</f>
        <v>0</v>
      </c>
      <c r="AT26" s="62">
        <f>SUMIFS('Data(perSeason,perCrop)'!$A:$A,'Data(perSeason,perCrop)'!$S:$S,Indicators!$B26,'Data(perSeason,perCrop)'!$O:$O,Indicators!AT$7,'Data(perSeason,perCrop)'!$C:$C,Indicators!AT$3,'Data(perSeason,perCrop)'!$R:$R,"RAINFED")</f>
        <v>0</v>
      </c>
      <c r="AU26" s="62">
        <f>SUMIFS('Data(perSeason,perCrop)'!$A:$A,'Data(perSeason,perCrop)'!$S:$S,Indicators!$B26,'Data(perSeason,perCrop)'!$O:$O,Indicators!AU$7,'Data(perSeason,perCrop)'!$C:$C,Indicators!AU$3,'Data(perSeason,perCrop)'!$R:$R,"RAINFED")</f>
        <v>0</v>
      </c>
      <c r="AV26" s="62">
        <f>SUMIFS('Data(perSeason,perCrop)'!$A:$A,'Data(perSeason,perCrop)'!$S:$S,Indicators!$B26,'Data(perSeason,perCrop)'!$O:$O,Indicators!AV$7,'Data(perSeason,perCrop)'!$C:$C,Indicators!AV$3,'Data(perSeason,perCrop)'!$R:$R,"RAINFED")</f>
        <v>0</v>
      </c>
      <c r="AW26" s="62">
        <f>SUMIFS('Data(perSeason,perCrop)'!$A:$A,'Data(perSeason,perCrop)'!$S:$S,Indicators!$B26,'Data(perSeason,perCrop)'!$O:$O,Indicators!AW$7,'Data(perSeason,perCrop)'!$C:$C,Indicators!AW$3,'Data(perSeason,perCrop)'!$R:$R,"RAINFED")</f>
        <v>0</v>
      </c>
      <c r="AX26" s="7">
        <f>SUMIFS('Data(perSeason,perCrop)'!$A:$A,'Data(perSeason,perCrop)'!$S:$S,Indicators!$B26,'Data(perSeason,perCrop)'!$O:$O,Indicators!AX$7,'Data(perSeason,perCrop)'!$C:$C,Indicators!AX$3,'Data(perSeason,perCrop)'!$R:$R,"RAINFED")</f>
        <v>0</v>
      </c>
      <c r="AY26" s="7">
        <f>SUMIFS('Data(perSeason,perCrop)'!$A:$A,'Data(perSeason,perCrop)'!$S:$S,Indicators!$B26,'Data(perSeason,perCrop)'!$O:$O,Indicators!AY$7,'Data(perSeason,perCrop)'!$C:$C,Indicators!AY$3,'Data(perSeason,perCrop)'!$R:$R,"RAINFED")</f>
        <v>540.83614711940902</v>
      </c>
      <c r="AZ26" s="7">
        <f>SUMIFS('Data(perSeason,perCrop)'!$A:$A,'Data(perSeason,perCrop)'!$S:$S,Indicators!$B26,'Data(perSeason,perCrop)'!$O:$O,Indicators!AZ$7,'Data(perSeason,perCrop)'!$C:$C,Indicators!AZ$3,'Data(perSeason,perCrop)'!$R:$R,"RAINFED")</f>
        <v>0</v>
      </c>
      <c r="BA26" s="7">
        <f>SUMIFS('Data(perSeason,perCrop)'!$A:$A,'Data(perSeason,perCrop)'!$S:$S,Indicators!$B26,'Data(perSeason,perCrop)'!$O:$O,Indicators!BA$7,'Data(perSeason,perCrop)'!$C:$C,Indicators!BA$3,'Data(perSeason,perCrop)'!$R:$R,"RAINFED")</f>
        <v>0</v>
      </c>
      <c r="BB26" s="7">
        <f>SUMIFS('Data(perSeason,perCrop)'!$A:$A,'Data(perSeason,perCrop)'!$S:$S,Indicators!$B26,'Data(perSeason,perCrop)'!$O:$O,Indicators!BB$7,'Data(perSeason,perCrop)'!$C:$C,Indicators!BB$3,'Data(perSeason,perCrop)'!$R:$R,"RAINFED")</f>
        <v>0</v>
      </c>
      <c r="BC26" s="7">
        <f>SUMIFS('Data(perSeason,perCrop)'!$A:$A,'Data(perSeason,perCrop)'!$S:$S,Indicators!$B26,'Data(perSeason,perCrop)'!$O:$O,Indicators!BC$7,'Data(perSeason,perCrop)'!$C:$C,Indicators!BC$3,'Data(perSeason,perCrop)'!$R:$R,"RAINFED")</f>
        <v>0</v>
      </c>
      <c r="BD26" s="7">
        <f>SUMIFS('Data(perSeason,perCrop)'!$A:$A,'Data(perSeason,perCrop)'!$S:$S,Indicators!$B26,'Data(perSeason,perCrop)'!$O:$O,Indicators!BD$7,'Data(perSeason,perCrop)'!$C:$C,Indicators!BD$3,'Data(perSeason,perCrop)'!$R:$R,"RAINFED")</f>
        <v>0</v>
      </c>
      <c r="BE26" s="7">
        <f>SUMIFS('Data(perSeason,perCrop)'!$A:$A,'Data(perSeason,perCrop)'!$S:$S,Indicators!$B26,'Data(perSeason,perCrop)'!$O:$O,Indicators!BE$7,'Data(perSeason,perCrop)'!$C:$C,Indicators!BE$3,'Data(perSeason,perCrop)'!$R:$R,"RAINFED")</f>
        <v>0</v>
      </c>
      <c r="BF26" s="7">
        <f>SUMIFS('Data(perSeason,perCrop)'!$A:$A,'Data(perSeason,perCrop)'!$S:$S,Indicators!$B26,'Data(perSeason,perCrop)'!$O:$O,Indicators!BF$7,'Data(perSeason,perCrop)'!$C:$C,Indicators!BF$3,'Data(perSeason,perCrop)'!$R:$R,"RAINFED")</f>
        <v>0</v>
      </c>
      <c r="BG26" s="7">
        <f>SUMIFS('Data(perSeason,perCrop)'!$A:$A,'Data(perSeason,perCrop)'!$S:$S,Indicators!$B26,'Data(perSeason,perCrop)'!$O:$O,Indicators!BG$7,'Data(perSeason,perCrop)'!$C:$C,Indicators!BG$3,'Data(perSeason,perCrop)'!$R:$R,"RAINFED")</f>
        <v>0</v>
      </c>
      <c r="BH26" s="7">
        <f>SUMIFS('Data(perSeason,perCrop)'!$A:$A,'Data(perSeason,perCrop)'!$S:$S,Indicators!$B26,'Data(perSeason,perCrop)'!$O:$O,Indicators!BH$7,'Data(perSeason,perCrop)'!$C:$C,Indicators!BH$3,'Data(perSeason,perCrop)'!$R:$R,"RAINFED")</f>
        <v>0</v>
      </c>
      <c r="BI26" s="7">
        <f>SUMIFS('Data(perSeason,perCrop)'!$A:$A,'Data(perSeason,perCrop)'!$S:$S,Indicators!$B26,'Data(perSeason,perCrop)'!$O:$O,Indicators!BI$7,'Data(perSeason,perCrop)'!$C:$C,Indicators!BI$3,'Data(perSeason,perCrop)'!$R:$R,"RAINFED")</f>
        <v>0</v>
      </c>
      <c r="BJ26" s="7">
        <f>SUMIFS('Data(perSeason,perCrop)'!$A:$A,'Data(perSeason,perCrop)'!$S:$S,Indicators!$B26,'Data(perSeason,perCrop)'!$O:$O,Indicators!BJ$7,'Data(perSeason,perCrop)'!$C:$C,Indicators!BJ$3,'Data(perSeason,perCrop)'!$R:$R,"RAINFED")</f>
        <v>0</v>
      </c>
      <c r="BK26" s="7">
        <f>SUMIFS('Data(perSeason,perCrop)'!$A:$A,'Data(perSeason,perCrop)'!$S:$S,Indicators!$B26,'Data(perSeason,perCrop)'!$O:$O,Indicators!BK$7,'Data(perSeason,perCrop)'!$C:$C,Indicators!BK$3,'Data(perSeason,perCrop)'!$R:$R,"RAINFED")</f>
        <v>0</v>
      </c>
      <c r="BL26" s="7">
        <f>SUMIFS('Data(perSeason,perCrop)'!$A:$A,'Data(perSeason,perCrop)'!$S:$S,Indicators!$B26,'Data(perSeason,perCrop)'!$O:$O,Indicators!BL$7,'Data(perSeason,perCrop)'!$C:$C,Indicators!BL$3,'Data(perSeason,perCrop)'!$R:$R,"RAINFED")</f>
        <v>31.297163569976099</v>
      </c>
      <c r="BM26" s="7">
        <f>SUMIFS('Data(perSeason,perCrop)'!$A:$A,'Data(perSeason,perCrop)'!$S:$S,Indicators!$B26,'Data(perSeason,perCrop)'!$O:$O,Indicators!BM$7,'Data(perSeason,perCrop)'!$C:$C,Indicators!BM$3,'Data(perSeason,perCrop)'!$R:$R,"RAINFED")</f>
        <v>0</v>
      </c>
      <c r="BN26" s="7">
        <f>SUMIFS('Data(perSeason,perCrop)'!$A:$A,'Data(perSeason,perCrop)'!$S:$S,Indicators!$B26,'Data(perSeason,perCrop)'!$O:$O,Indicators!BN$7,'Data(perSeason,perCrop)'!$C:$C,Indicators!BN$3,'Data(perSeason,perCrop)'!$R:$R,"RAINFED")</f>
        <v>752.43328807409898</v>
      </c>
      <c r="BO26" s="7">
        <f>SUMIFS('Data(perSeason,perCrop)'!$A:$A,'Data(perSeason,perCrop)'!$S:$S,Indicators!$B26,'Data(perSeason,perCrop)'!$O:$O,Indicators!BO$7,'Data(perSeason,perCrop)'!$C:$C,Indicators!BO$3,'Data(perSeason,perCrop)'!$R:$R,"RAINFED")</f>
        <v>0</v>
      </c>
      <c r="BP26" s="7">
        <f>SUMIFS('Data(perSeason,perCrop)'!$A:$A,'Data(perSeason,perCrop)'!$S:$S,Indicators!$B26,'Data(perSeason,perCrop)'!$O:$O,Indicators!BP$7,'Data(perSeason,perCrop)'!$C:$C,Indicators!BP$3,'Data(perSeason,perCrop)'!$R:$R,"RAINFED")</f>
        <v>0</v>
      </c>
      <c r="BQ26" s="7">
        <f>SUMIFS('Data(perSeason,perCrop)'!$A:$A,'Data(perSeason,perCrop)'!$S:$S,Indicators!$B26,'Data(perSeason,perCrop)'!$O:$O,Indicators!BQ$7,'Data(perSeason,perCrop)'!$C:$C,Indicators!BQ$3,'Data(perSeason,perCrop)'!$R:$R,"RAINFED")</f>
        <v>188.52867359409899</v>
      </c>
      <c r="BR26" s="7">
        <f>SUMIFS('Data(perSeason,perCrop)'!$A:$A,'Data(perSeason,perCrop)'!$S:$S,Indicators!$B26,'Data(perSeason,perCrop)'!$O:$O,Indicators!BR$7,'Data(perSeason,perCrop)'!$C:$C,Indicators!BR$3,'Data(perSeason,perCrop)'!$R:$R,"RAINFED")</f>
        <v>0</v>
      </c>
      <c r="BS26" s="7">
        <f>SUMIFS('Data(perSeason,perCrop)'!$A:$A,'Data(perSeason,perCrop)'!$S:$S,Indicators!$B26,'Data(perSeason,perCrop)'!$O:$O,Indicators!BS$7,'Data(perSeason,perCrop)'!$C:$C,Indicators!BS$3,'Data(perSeason,perCrop)'!$R:$R,"RAINFED")</f>
        <v>0</v>
      </c>
      <c r="BT26" s="7">
        <f>SUMIFS('Data(perSeason,perCrop)'!$A:$A,'Data(perSeason,perCrop)'!$S:$S,Indicators!$B26,'Data(perSeason,perCrop)'!$O:$O,Indicators!BT$7,'Data(perSeason,perCrop)'!$C:$C,Indicators!BT$3,'Data(perSeason,perCrop)'!$R:$R,"RAINFED")</f>
        <v>0</v>
      </c>
      <c r="BU26" s="7">
        <f>SUMIFS('Data(perSeason,perCrop)'!$A:$A,'Data(perSeason,perCrop)'!$S:$S,Indicators!$B26,'Data(perSeason,perCrop)'!$O:$O,Indicators!BU$7,'Data(perSeason,perCrop)'!$C:$C,Indicators!BU$3,'Data(perSeason,perCrop)'!$R:$R,"RAINFED")</f>
        <v>0</v>
      </c>
      <c r="BV26" s="7">
        <f>SUMIFS('Data(perSeason,perCrop)'!$A:$A,'Data(perSeason,perCrop)'!$S:$S,Indicators!$B26,'Data(perSeason,perCrop)'!$O:$O,Indicators!BV$7,'Data(perSeason,perCrop)'!$C:$C,Indicators!BV$3,'Data(perSeason,perCrop)'!$R:$R,"RAINFED")</f>
        <v>0</v>
      </c>
      <c r="BW26" s="7">
        <f>SUMIFS('Data(perSeason,perCrop)'!$A:$A,'Data(perSeason,perCrop)'!$S:$S,Indicators!$B26,'Data(perSeason,perCrop)'!$O:$O,Indicators!BW$7,'Data(perSeason,perCrop)'!$C:$C,Indicators!BW$3,'Data(perSeason,perCrop)'!$R:$R,"RAINFED")</f>
        <v>0</v>
      </c>
      <c r="BX26" s="7">
        <f>SUMIFS('Data(perSeason,perCrop)'!$A:$A,'Data(perSeason,perCrop)'!$S:$S,Indicators!$B26,'Data(perSeason,perCrop)'!$O:$O,Indicators!BX$7,'Data(perSeason,perCrop)'!$C:$C,Indicators!BX$3,'Data(perSeason,perCrop)'!$R:$R,"RAINFED")</f>
        <v>0</v>
      </c>
      <c r="BY26" s="7">
        <f>SUMIFS('Data(perSeason,perCrop)'!$A:$A,'Data(perSeason,perCrop)'!$S:$S,Indicators!$B26,'Data(perSeason,perCrop)'!$O:$O,Indicators!BY$7,'Data(perSeason,perCrop)'!$C:$C,Indicators!BY$3,'Data(perSeason,perCrop)'!$R:$R,"RAINFED")</f>
        <v>0</v>
      </c>
      <c r="BZ26" s="7">
        <f>SUMIFS('Data(perSeason,perCrop)'!$A:$A,'Data(perSeason,perCrop)'!$S:$S,Indicators!$B26,'Data(perSeason,perCrop)'!$O:$O,Indicators!BZ$7,'Data(perSeason,perCrop)'!$C:$C,Indicators!BZ$3,'Data(perSeason,perCrop)'!$R:$R,"RAINFED")</f>
        <v>0</v>
      </c>
      <c r="CA26" s="7">
        <f>SUMIFS('Data(perSeason,perCrop)'!$A:$A,'Data(perSeason,perCrop)'!$S:$S,Indicators!$B26,'Data(perSeason,perCrop)'!$O:$O,Indicators!CA$7,'Data(perSeason,perCrop)'!$C:$C,Indicators!CA$3,'Data(perSeason,perCrop)'!$R:$R,"RAINFED")</f>
        <v>0</v>
      </c>
      <c r="CB26" s="7">
        <f>SUMIFS('Data(perSeason,perCrop)'!$A:$A,'Data(perSeason,perCrop)'!$S:$S,Indicators!$B26,'Data(perSeason,perCrop)'!$O:$O,Indicators!CB$7,'Data(perSeason,perCrop)'!$C:$C,Indicators!CB$3,'Data(perSeason,perCrop)'!$R:$R,"RAINFED")</f>
        <v>0</v>
      </c>
      <c r="CC26" s="7">
        <f>SUMIFS('Data(perSeason,perCrop)'!$A:$A,'Data(perSeason,perCrop)'!$S:$S,Indicators!$B26,'Data(perSeason,perCrop)'!$O:$O,Indicators!CC$7,'Data(perSeason,perCrop)'!$C:$C,Indicators!CC$3,'Data(perSeason,perCrop)'!$R:$R,"RAINFED")</f>
        <v>0</v>
      </c>
      <c r="CD26" s="7">
        <f>SUMIFS('Data(perSeason,perCrop)'!$A:$A,'Data(perSeason,perCrop)'!$S:$S,Indicators!$B26,'Data(perSeason,perCrop)'!$O:$O,Indicators!CD$7,'Data(perSeason,perCrop)'!$C:$C,Indicators!CD$3,'Data(perSeason,perCrop)'!$R:$R,"RAINFED")</f>
        <v>0</v>
      </c>
      <c r="CE26" s="7">
        <f>SUMIFS('Data(perSeason,perCrop)'!$A:$A,'Data(perSeason,perCrop)'!$S:$S,Indicators!$B26,'Data(perSeason,perCrop)'!$O:$O,Indicators!CE$7,'Data(perSeason,perCrop)'!$C:$C,Indicators!CE$3,'Data(perSeason,perCrop)'!$R:$R,"RAINFED")</f>
        <v>0</v>
      </c>
      <c r="CF26" s="7">
        <f>SUMIFS('Data(perSeason,perCrop)'!$A:$A,'Data(perSeason,perCrop)'!$S:$S,Indicators!$B26,'Data(perSeason,perCrop)'!$O:$O,Indicators!CF$7,'Data(perSeason,perCrop)'!$C:$C,Indicators!CF$3,'Data(perSeason,perCrop)'!$R:$R,"RAINFED")</f>
        <v>0</v>
      </c>
      <c r="CG26" s="7">
        <f>SUMIFS('Data(perSeason,perCrop)'!$A:$A,'Data(perSeason,perCrop)'!$S:$S,Indicators!$B26,'Data(perSeason,perCrop)'!$O:$O,Indicators!CG$7,'Data(perSeason,perCrop)'!$C:$C,Indicators!CG$3,'Data(perSeason,perCrop)'!$R:$R,"RAINFED")</f>
        <v>0</v>
      </c>
      <c r="CH26" s="7">
        <f>SUMIFS('Data(perSeason,perCrop)'!$A:$A,'Data(perSeason,perCrop)'!$S:$S,Indicators!$B26,'Data(perSeason,perCrop)'!$O:$O,Indicators!CH$7,'Data(perSeason,perCrop)'!$C:$C,Indicators!CH$3,'Data(perSeason,perCrop)'!$R:$R,"RAINFED")</f>
        <v>0</v>
      </c>
      <c r="CI26" s="7">
        <f>SUMIFS('Data(perSeason,perCrop)'!$A:$A,'Data(perSeason,perCrop)'!$S:$S,Indicators!$B26,'Data(perSeason,perCrop)'!$O:$O,Indicators!CI$7,'Data(perSeason,perCrop)'!$C:$C,Indicators!CI$3,'Data(perSeason,perCrop)'!$R:$R,"RAINFED")</f>
        <v>0</v>
      </c>
      <c r="CJ26" s="7">
        <f>SUMIFS('Data(perSeason,perCrop)'!$A:$A,'Data(perSeason,perCrop)'!$S:$S,Indicators!$B26,'Data(perSeason,perCrop)'!$O:$O,Indicators!CJ$7,'Data(perSeason,perCrop)'!$C:$C,Indicators!CJ$3,'Data(perSeason,perCrop)'!$R:$R,"RAINFED")</f>
        <v>0</v>
      </c>
      <c r="CK26" s="7">
        <f>SUMIFS('Data(perSeason,perCrop)'!$A:$A,'Data(perSeason,perCrop)'!$S:$S,Indicators!$B26,'Data(perSeason,perCrop)'!$O:$O,Indicators!CK$7,'Data(perSeason,perCrop)'!$C:$C,Indicators!CK$3,'Data(perSeason,perCrop)'!$R:$R,"RAINFED")</f>
        <v>0</v>
      </c>
      <c r="CL26" s="7">
        <f>SUMIFS('Data(perSeason,perCrop)'!$A:$A,'Data(perSeason,perCrop)'!$S:$S,Indicators!$B26,'Data(perSeason,perCrop)'!$O:$O,Indicators!CL$7,'Data(perSeason,perCrop)'!$C:$C,Indicators!CL$3,'Data(perSeason,perCrop)'!$R:$R,"RAINFED")</f>
        <v>0</v>
      </c>
      <c r="CM26" s="7">
        <f>SUMIFS('Data(perSeason,perCrop)'!$A:$A,'Data(perSeason,perCrop)'!$S:$S,Indicators!$B26,'Data(perSeason,perCrop)'!$O:$O,Indicators!CM$7,'Data(perSeason,perCrop)'!$C:$C,Indicators!CM$3,'Data(perSeason,perCrop)'!$R:$R,"RAINFED")</f>
        <v>0</v>
      </c>
      <c r="CN26" s="7">
        <f>SUMIFS('Data(perSeason,perCrop)'!$A:$A,'Data(perSeason,perCrop)'!$S:$S,Indicators!$B26,'Data(perSeason,perCrop)'!$O:$O,Indicators!CN$7,'Data(perSeason,perCrop)'!$C:$C,Indicators!CN$3,'Data(perSeason,perCrop)'!$R:$R,"RAINFED")</f>
        <v>0</v>
      </c>
      <c r="CO26" s="7">
        <f>SUMIFS('Data(perSeason,perCrop)'!$A:$A,'Data(perSeason,perCrop)'!$S:$S,Indicators!$B26,'Data(perSeason,perCrop)'!$O:$O,Indicators!CO$7,'Data(perSeason,perCrop)'!$C:$C,Indicators!CO$3,'Data(perSeason,perCrop)'!$R:$R,"RAINFED")</f>
        <v>0</v>
      </c>
      <c r="CP26" s="7">
        <f>SUMIFS('Data(perSeason,perCrop)'!$A:$A,'Data(perSeason,perCrop)'!$S:$S,Indicators!$B26,'Data(perSeason,perCrop)'!$O:$O,Indicators!CP$7,'Data(perSeason,perCrop)'!$C:$C,Indicators!CP$3,'Data(perSeason,perCrop)'!$R:$R,"RAINFED")</f>
        <v>33.2883609740163</v>
      </c>
      <c r="CQ26" s="7">
        <f>SUMIFS('Data(perSeason,perCrop)'!$A:$A,'Data(perSeason,perCrop)'!$S:$S,Indicators!$B26,'Data(perSeason,perCrop)'!$O:$O,Indicators!CQ$7,'Data(perSeason,perCrop)'!$C:$C,Indicators!CQ$3,'Data(perSeason,perCrop)'!$R:$R,"RAINFED")</f>
        <v>3.0546236278010301</v>
      </c>
      <c r="CR26" s="7">
        <f>SUMIFS('Data(perSeason,perCrop)'!$A:$A,'Data(perSeason,perCrop)'!$S:$S,Indicators!$B26,'Data(perSeason,perCrop)'!$O:$O,Indicators!CR$7,'Data(perSeason,perCrop)'!$C:$C,Indicators!CR$3,'Data(perSeason,perCrop)'!$R:$R,"RAINFED")</f>
        <v>0</v>
      </c>
      <c r="CS26" s="7">
        <f>SUMIFS('Data(perSeason,perCrop)'!$A:$A,'Data(perSeason,perCrop)'!$S:$S,Indicators!$B26,'Data(perSeason,perCrop)'!$O:$O,Indicators!CS$7,'Data(perSeason,perCrop)'!$C:$C,Indicators!CS$3,'Data(perSeason,perCrop)'!$R:$R,"RAINFED")</f>
        <v>8.3266426413143293</v>
      </c>
      <c r="CT26" s="7">
        <f>SUMIFS('Data(perSeason,perCrop)'!$A:$A,'Data(perSeason,perCrop)'!$S:$S,Indicators!$B26,'Data(perSeason,perCrop)'!$O:$O,Indicators!CT$7,'Data(perSeason,perCrop)'!$C:$C,Indicators!CT$3,'Data(perSeason,perCrop)'!$R:$R,"RAINFED")</f>
        <v>0</v>
      </c>
      <c r="CU26" s="7">
        <f>SUMIFS('Data(perSeason,perCrop)'!$A:$A,'Data(perSeason,perCrop)'!$S:$S,Indicators!$B26,'Data(perSeason,perCrop)'!$O:$O,Indicators!CU$7,'Data(perSeason,perCrop)'!$C:$C,Indicators!CU$3,'Data(perSeason,perCrop)'!$R:$R,"RAINFED")</f>
        <v>0</v>
      </c>
      <c r="CV26" s="7">
        <f>SUMIFS('Data(perSeason,perCrop)'!$A:$A,'Data(perSeason,perCrop)'!$S:$S,Indicators!$B26,'Data(perSeason,perCrop)'!$O:$O,Indicators!CV$7,'Data(perSeason,perCrop)'!$C:$C,Indicators!CV$3,'Data(perSeason,perCrop)'!$R:$R,"RAINFED")</f>
        <v>13.543641483181201</v>
      </c>
      <c r="CW26" s="7">
        <f>SUMIFS('Data(perSeason,perCrop)'!$A:$A,'Data(perSeason,perCrop)'!$S:$S,Indicators!$B26,'Data(perSeason,perCrop)'!$O:$O,Indicators!CW$7,'Data(perSeason,perCrop)'!$C:$C,Indicators!CW$3,'Data(perSeason,perCrop)'!$R:$R,"RAINFED")</f>
        <v>0</v>
      </c>
      <c r="CX26" s="7">
        <f>SUMIFS('Data(perSeason,perCrop)'!$A:$A,'Data(perSeason,perCrop)'!$S:$S,Indicators!$B26,'Data(perSeason,perCrop)'!$O:$O,Indicators!CX$7,'Data(perSeason,perCrop)'!$C:$C,Indicators!CX$3,'Data(perSeason,perCrop)'!$R:$R,"RAINFED")</f>
        <v>0</v>
      </c>
      <c r="CY26" s="7">
        <f>SUMIFS('Data(perSeason,perCrop)'!$A:$A,'Data(perSeason,perCrop)'!$S:$S,Indicators!$B26,'Data(perSeason,perCrop)'!$O:$O,Indicators!CY$7,'Data(perSeason,perCrop)'!$C:$C,Indicators!CY$3,'Data(perSeason,perCrop)'!$R:$R,"RAINFED")</f>
        <v>0</v>
      </c>
      <c r="CZ26" s="7">
        <f>SUMIFS('Data(perSeason,perCrop)'!$A:$A,'Data(perSeason,perCrop)'!$S:$S,Indicators!$B26,'Data(perSeason,perCrop)'!$O:$O,Indicators!CZ$7,'Data(perSeason,perCrop)'!$C:$C,Indicators!CZ$3,'Data(perSeason,perCrop)'!$R:$R,"RAINFED")</f>
        <v>0</v>
      </c>
      <c r="DA26" s="7">
        <f>SUMIFS('Data(perSeason,perCrop)'!$A:$A,'Data(perSeason,perCrop)'!$S:$S,Indicators!$B26,'Data(perSeason,perCrop)'!$O:$O,Indicators!DA$7,'Data(perSeason,perCrop)'!$C:$C,Indicators!DA$3,'Data(perSeason,perCrop)'!$R:$R,"RAINFED")</f>
        <v>0</v>
      </c>
      <c r="DB26" s="7">
        <f>SUMIFS('Data(perSeason,perCrop)'!$A:$A,'Data(perSeason,perCrop)'!$S:$S,Indicators!$B26,'Data(perSeason,perCrop)'!$O:$O,Indicators!DB$7,'Data(perSeason,perCrop)'!$C:$C,Indicators!DB$3,'Data(perSeason,perCrop)'!$R:$R,"RAINFED")</f>
        <v>0</v>
      </c>
      <c r="DC26" s="7">
        <f>SUMIFS('Data(perSeason,perCrop)'!$A:$A,'Data(perSeason,perCrop)'!$S:$S,Indicators!$B26,'Data(perSeason,perCrop)'!$O:$O,Indicators!DC$7,'Data(perSeason,perCrop)'!$C:$C,Indicators!DC$3,'Data(perSeason,perCrop)'!$R:$R,"RAINFED")</f>
        <v>0</v>
      </c>
      <c r="DD26" s="7">
        <f>SUMIFS('Data(perSeason,perCrop)'!$A:$A,'Data(perSeason,perCrop)'!$S:$S,Indicators!$B26,'Data(perSeason,perCrop)'!$O:$O,Indicators!DD$7,'Data(perSeason,perCrop)'!$C:$C,Indicators!DD$3,'Data(perSeason,perCrop)'!$R:$R,"RAINFED")</f>
        <v>0</v>
      </c>
      <c r="DE26" s="7">
        <f>SUMIFS('Data(perSeason,perCrop)'!$A:$A,'Data(perSeason,perCrop)'!$S:$S,Indicators!$B26,'Data(perSeason,perCrop)'!$O:$O,Indicators!DE$7,'Data(perSeason,perCrop)'!$C:$C,Indicators!DE$3,'Data(perSeason,perCrop)'!$R:$R,"RAINFED")</f>
        <v>0</v>
      </c>
      <c r="DF26" s="7">
        <f>SUMIFS('Data(perSeason,perCrop)'!$A:$A,'Data(perSeason,perCrop)'!$S:$S,Indicators!$B26,'Data(perSeason,perCrop)'!$O:$O,Indicators!DF$7,'Data(perSeason,perCrop)'!$C:$C,Indicators!DF$3,'Data(perSeason,perCrop)'!$R:$R,"RAINFED")</f>
        <v>0</v>
      </c>
      <c r="DG26" s="7">
        <f>SUMIFS('Data(perSeason,perCrop)'!$A:$A,'Data(perSeason,perCrop)'!$S:$S,Indicators!$B26,'Data(perSeason,perCrop)'!$O:$O,Indicators!DG$7,'Data(perSeason,perCrop)'!$C:$C,Indicators!DG$3,'Data(perSeason,perCrop)'!$R:$R,"RAINFED")</f>
        <v>0</v>
      </c>
    </row>
    <row r="27" spans="1:111" x14ac:dyDescent="0.25">
      <c r="B27">
        <v>2022</v>
      </c>
      <c r="C27" s="7">
        <f>IF(COUNTIFS('Data(perSeason,perCrop)'!$S:$S,Indicators!$B27)&gt;0,SUMIFS('Data(perSeason,perCrop)'!$A:$A,'Data(perSeason,perCrop)'!$S:$S,Indicators!$B27,'Data(perSeason,perCrop)'!$O:$O,Indicators!C$7,'Data(perSeason,perCrop)'!$R:$R,"RAINFED"),"")</f>
        <v>7328.0193801938458</v>
      </c>
      <c r="D27" s="7">
        <f>IF(COUNTIFS('Data(perSeason,perCrop)'!$S:$S,Indicators!$B27)&gt;0,SUMIFS('Data(perSeason,perCrop)'!$A:$A,'Data(perSeason,perCrop)'!$S:$S,Indicators!$B27,'Data(perSeason,perCrop)'!$O:$O,Indicators!D$7,'Data(perSeason,perCrop)'!$R:$R,"RAINFED"),"")</f>
        <v>5223.1785811016807</v>
      </c>
      <c r="E27" s="7">
        <f>IF(COUNTIFS('Data(perSeason,perCrop)'!$S:$S,Indicators!$B27)&gt;0,SUMIFS('Data(perSeason,perCrop)'!$A:$A,'Data(perSeason,perCrop)'!$S:$S,Indicators!$B27,'Data(perSeason,perCrop)'!$O:$O,Indicators!E$7,'Data(perSeason,perCrop)'!$R:$R,"RAINFED"),"")</f>
        <v>327.86526435548558</v>
      </c>
      <c r="F27" s="7">
        <f>IF(COUNTIFS('Data(perSeason,perCrop)'!$S:$S,Indicators!$B27)&gt;0,SUMIFS('Data(perSeason,perCrop)'!$A:$A,'Data(perSeason,perCrop)'!$S:$S,Indicators!$B27,'Data(perSeason,perCrop)'!$O:$O,Indicators!F$7,'Data(perSeason,perCrop)'!$R:$R,"RAINFED"),"")</f>
        <v>3870.5072077577843</v>
      </c>
      <c r="G27" s="7"/>
      <c r="H27" s="7"/>
      <c r="J27" s="2" t="s">
        <v>209</v>
      </c>
      <c r="K27" s="7">
        <f>SUMIFS('Data(perSeason,perCrop)'!$A:$A,'Data(perSeason,perCrop)'!$S:$S,Indicators!$B27,'Data(perSeason,perCrop)'!$O:$O,Indicators!K$7,'Data(perSeason,perCrop)'!$C:$C,Indicators!K$3,'Data(perSeason,perCrop)'!$R:$R,"RAINFED")</f>
        <v>11.589766700915099</v>
      </c>
      <c r="L27" s="7">
        <f>SUMIFS('Data(perSeason,perCrop)'!$A:$A,'Data(perSeason,perCrop)'!$S:$S,Indicators!$B27,'Data(perSeason,perCrop)'!$O:$O,Indicators!L$7,'Data(perSeason,perCrop)'!$C:$C,Indicators!L$3,'Data(perSeason,perCrop)'!$R:$R,"RAINFED")</f>
        <v>0</v>
      </c>
      <c r="M27" s="7">
        <f>SUMIFS('Data(perSeason,perCrop)'!$A:$A,'Data(perSeason,perCrop)'!$S:$S,Indicators!$B27,'Data(perSeason,perCrop)'!$O:$O,Indicators!M$7,'Data(perSeason,perCrop)'!$C:$C,Indicators!M$3,'Data(perSeason,perCrop)'!$R:$R,"RAINFED")</f>
        <v>0</v>
      </c>
      <c r="N27" s="7">
        <f>SUMIFS('Data(perSeason,perCrop)'!$A:$A,'Data(perSeason,perCrop)'!$S:$S,Indicators!$B27,'Data(perSeason,perCrop)'!$O:$O,Indicators!N$7,'Data(perSeason,perCrop)'!$C:$C,Indicators!N$3,'Data(perSeason,perCrop)'!$R:$R,"RAINFED")</f>
        <v>111.561626040685</v>
      </c>
      <c r="O27" s="7">
        <f>SUMIFS('Data(perSeason,perCrop)'!$A:$A,'Data(perSeason,perCrop)'!$S:$S,Indicators!$B27,'Data(perSeason,perCrop)'!$O:$O,Indicators!O$7,'Data(perSeason,perCrop)'!$C:$C,Indicators!O$3,'Data(perSeason,perCrop)'!$R:$R,"RAINFED")</f>
        <v>3414.2579322286701</v>
      </c>
      <c r="P27" s="7">
        <f>SUMIFS('Data(perSeason,perCrop)'!$A:$A,'Data(perSeason,perCrop)'!$S:$S,Indicators!$B27,'Data(perSeason,perCrop)'!$O:$O,Indicators!P$7,'Data(perSeason,perCrop)'!$C:$C,Indicators!P$3,'Data(perSeason,perCrop)'!$R:$R,"RAINFED")</f>
        <v>0</v>
      </c>
      <c r="Q27" s="7">
        <f>SUMIFS('Data(perSeason,perCrop)'!$A:$A,'Data(perSeason,perCrop)'!$S:$S,Indicators!$B27,'Data(perSeason,perCrop)'!$O:$O,Indicators!Q$7,'Data(perSeason,perCrop)'!$C:$C,Indicators!Q$3,'Data(perSeason,perCrop)'!$R:$R,"RAINFED")</f>
        <v>333.09788278751398</v>
      </c>
      <c r="R27" s="7">
        <f>SUMIFS('Data(perSeason,perCrop)'!$A:$A,'Data(perSeason,perCrop)'!$S:$S,Indicators!$B27,'Data(perSeason,perCrop)'!$O:$O,Indicators!R$7,'Data(perSeason,perCrop)'!$C:$C,Indicators!R$3,'Data(perSeason,perCrop)'!$R:$R,"RAINFED")</f>
        <v>0</v>
      </c>
      <c r="S27" s="62">
        <f>SUMIFS('Data(perSeason,perCrop)'!$A:$A,'Data(perSeason,perCrop)'!$S:$S,Indicators!$B27,'Data(perSeason,perCrop)'!$O:$O,Indicators!S$7,'Data(perSeason,perCrop)'!$C:$C,Indicators!S$3,'Data(perSeason,perCrop)'!$R:$R,"RAINFED")</f>
        <v>0</v>
      </c>
      <c r="T27" s="62">
        <f>SUMIFS('Data(perSeason,perCrop)'!$A:$A,'Data(perSeason,perCrop)'!$S:$S,Indicators!$B27,'Data(perSeason,perCrop)'!$O:$O,Indicators!T$7,'Data(perSeason,perCrop)'!$C:$C,Indicators!T$3,'Data(perSeason,perCrop)'!$R:$R,"RAINFED")</f>
        <v>3518.24309031649</v>
      </c>
      <c r="U27" s="62">
        <f>SUMIFS('Data(perSeason,perCrop)'!$A:$A,'Data(perSeason,perCrop)'!$S:$S,Indicators!$B27,'Data(perSeason,perCrop)'!$O:$O,Indicators!U$7,'Data(perSeason,perCrop)'!$C:$C,Indicators!U$3,'Data(perSeason,perCrop)'!$R:$R,"RAINFED")</f>
        <v>0</v>
      </c>
      <c r="V27" s="62">
        <f>SUMIFS('Data(perSeason,perCrop)'!$A:$A,'Data(perSeason,perCrop)'!$S:$S,Indicators!$B27,'Data(perSeason,perCrop)'!$O:$O,Indicators!V$7,'Data(perSeason,perCrop)'!$C:$C,Indicators!V$3,'Data(perSeason,perCrop)'!$R:$R,"RAINFED")</f>
        <v>0</v>
      </c>
      <c r="W27" s="62">
        <f>SUMIFS('Data(perSeason,perCrop)'!$A:$A,'Data(perSeason,perCrop)'!$S:$S,Indicators!$B27,'Data(perSeason,perCrop)'!$O:$O,Indicators!W$7,'Data(perSeason,perCrop)'!$C:$C,Indicators!W$3,'Data(perSeason,perCrop)'!$R:$R,"RAINFED")</f>
        <v>0</v>
      </c>
      <c r="X27" s="62">
        <f>SUMIFS('Data(perSeason,perCrop)'!$A:$A,'Data(perSeason,perCrop)'!$S:$S,Indicators!$B27,'Data(perSeason,perCrop)'!$O:$O,Indicators!X$7,'Data(perSeason,perCrop)'!$C:$C,Indicators!X$3,'Data(perSeason,perCrop)'!$R:$R,"RAINFED")</f>
        <v>0</v>
      </c>
      <c r="Y27" s="62">
        <f>SUMIFS('Data(perSeason,perCrop)'!$A:$A,'Data(perSeason,perCrop)'!$S:$S,Indicators!$B27,'Data(perSeason,perCrop)'!$O:$O,Indicators!Y$7,'Data(perSeason,perCrop)'!$C:$C,Indicators!Y$3,'Data(perSeason,perCrop)'!$R:$R,"RAINFED")</f>
        <v>0</v>
      </c>
      <c r="Z27" s="62">
        <f>SUMIFS('Data(perSeason,perCrop)'!$A:$A,'Data(perSeason,perCrop)'!$S:$S,Indicators!$B27,'Data(perSeason,perCrop)'!$O:$O,Indicators!Z$7,'Data(perSeason,perCrop)'!$C:$C,Indicators!Z$3,'Data(perSeason,perCrop)'!$R:$R,"RAINFED")</f>
        <v>0</v>
      </c>
      <c r="AA27" s="62">
        <f>SUMIFS('Data(perSeason,perCrop)'!$A:$A,'Data(perSeason,perCrop)'!$S:$S,Indicators!$B27,'Data(perSeason,perCrop)'!$O:$O,Indicators!AA$7,'Data(perSeason,perCrop)'!$C:$C,Indicators!AA$3,'Data(perSeason,perCrop)'!$R:$R,"RAINFED")</f>
        <v>0</v>
      </c>
      <c r="AB27" s="62">
        <f>SUMIFS('Data(perSeason,perCrop)'!$A:$A,'Data(perSeason,perCrop)'!$S:$S,Indicators!$B27,'Data(perSeason,perCrop)'!$O:$O,Indicators!AB$7,'Data(perSeason,perCrop)'!$C:$C,Indicators!AB$3,'Data(perSeason,perCrop)'!$R:$R,"RAINFED")</f>
        <v>0</v>
      </c>
      <c r="AC27" s="62">
        <f>SUMIFS('Data(perSeason,perCrop)'!$A:$A,'Data(perSeason,perCrop)'!$S:$S,Indicators!$B27,'Data(perSeason,perCrop)'!$O:$O,Indicators!AC$7,'Data(perSeason,perCrop)'!$C:$C,Indicators!AC$3,'Data(perSeason,perCrop)'!$R:$R,"RAINFED")</f>
        <v>0</v>
      </c>
      <c r="AD27" s="62">
        <f>SUMIFS('Data(perSeason,perCrop)'!$A:$A,'Data(perSeason,perCrop)'!$S:$S,Indicators!$B27,'Data(perSeason,perCrop)'!$O:$O,Indicators!AD$7,'Data(perSeason,perCrop)'!$C:$C,Indicators!AD$3,'Data(perSeason,perCrop)'!$R:$R,"RAINFED")</f>
        <v>0</v>
      </c>
      <c r="AE27" s="62">
        <f>SUMIFS('Data(perSeason,perCrop)'!$A:$A,'Data(perSeason,perCrop)'!$S:$S,Indicators!$B27,'Data(perSeason,perCrop)'!$O:$O,Indicators!AE$7,'Data(perSeason,perCrop)'!$C:$C,Indicators!AE$3,'Data(perSeason,perCrop)'!$R:$R,"RAINFED")</f>
        <v>0</v>
      </c>
      <c r="AF27" s="62">
        <f>SUMIFS('Data(perSeason,perCrop)'!$A:$A,'Data(perSeason,perCrop)'!$S:$S,Indicators!$B27,'Data(perSeason,perCrop)'!$O:$O,Indicators!AF$7,'Data(perSeason,perCrop)'!$C:$C,Indicators!AF$3,'Data(perSeason,perCrop)'!$R:$R,"RAINFED")</f>
        <v>0</v>
      </c>
      <c r="AG27" s="62">
        <f>SUMIFS('Data(perSeason,perCrop)'!$A:$A,'Data(perSeason,perCrop)'!$S:$S,Indicators!$B27,'Data(perSeason,perCrop)'!$O:$O,Indicators!AG$7,'Data(perSeason,perCrop)'!$C:$C,Indicators!AG$3,'Data(perSeason,perCrop)'!$R:$R,"RAINFED")</f>
        <v>45.918259230313701</v>
      </c>
      <c r="AH27" s="62">
        <f>SUMIFS('Data(perSeason,perCrop)'!$A:$A,'Data(perSeason,perCrop)'!$S:$S,Indicators!$B27,'Data(perSeason,perCrop)'!$O:$O,Indicators!AH$7,'Data(perSeason,perCrop)'!$C:$C,Indicators!AH$3,'Data(perSeason,perCrop)'!$R:$R,"RAINFED")</f>
        <v>0</v>
      </c>
      <c r="AI27" s="62">
        <f>SUMIFS('Data(perSeason,perCrop)'!$A:$A,'Data(perSeason,perCrop)'!$S:$S,Indicators!$B27,'Data(perSeason,perCrop)'!$O:$O,Indicators!AI$7,'Data(perSeason,perCrop)'!$C:$C,Indicators!AI$3,'Data(perSeason,perCrop)'!$R:$R,"RAINFED")</f>
        <v>791.58881019891101</v>
      </c>
      <c r="AJ27" s="62">
        <f>SUMIFS('Data(perSeason,perCrop)'!$A:$A,'Data(perSeason,perCrop)'!$S:$S,Indicators!$B27,'Data(perSeason,perCrop)'!$O:$O,Indicators!AJ$7,'Data(perSeason,perCrop)'!$C:$C,Indicators!AJ$3,'Data(perSeason,perCrop)'!$R:$R,"RAINFED")</f>
        <v>0</v>
      </c>
      <c r="AK27" s="62">
        <f>SUMIFS('Data(perSeason,perCrop)'!$A:$A,'Data(perSeason,perCrop)'!$S:$S,Indicators!$B27,'Data(perSeason,perCrop)'!$O:$O,Indicators!AK$7,'Data(perSeason,perCrop)'!$C:$C,Indicators!AK$3,'Data(perSeason,perCrop)'!$R:$R,"RAINFED")</f>
        <v>0</v>
      </c>
      <c r="AL27" s="62">
        <f>SUMIFS('Data(perSeason,perCrop)'!$A:$A,'Data(perSeason,perCrop)'!$S:$S,Indicators!$B27,'Data(perSeason,perCrop)'!$O:$O,Indicators!AL$7,'Data(perSeason,perCrop)'!$C:$C,Indicators!AL$3,'Data(perSeason,perCrop)'!$R:$R,"RAINFED")</f>
        <v>854.03897558958101</v>
      </c>
      <c r="AM27" s="62">
        <f>SUMIFS('Data(perSeason,perCrop)'!$A:$A,'Data(perSeason,perCrop)'!$S:$S,Indicators!$B27,'Data(perSeason,perCrop)'!$O:$O,Indicators!AM$7,'Data(perSeason,perCrop)'!$C:$C,Indicators!AM$3,'Data(perSeason,perCrop)'!$R:$R,"RAINFED")</f>
        <v>0</v>
      </c>
      <c r="AN27" s="62">
        <f>SUMIFS('Data(perSeason,perCrop)'!$A:$A,'Data(perSeason,perCrop)'!$S:$S,Indicators!$B27,'Data(perSeason,perCrop)'!$O:$O,Indicators!AN$7,'Data(perSeason,perCrop)'!$C:$C,Indicators!AN$3,'Data(perSeason,perCrop)'!$R:$R,"RAINFED")</f>
        <v>0</v>
      </c>
      <c r="AO27" s="62">
        <f>SUMIFS('Data(perSeason,perCrop)'!$A:$A,'Data(perSeason,perCrop)'!$S:$S,Indicators!$B27,'Data(perSeason,perCrop)'!$O:$O,Indicators!AO$7,'Data(perSeason,perCrop)'!$C:$C,Indicators!AO$3,'Data(perSeason,perCrop)'!$R:$R,"RAINFED")</f>
        <v>0</v>
      </c>
      <c r="AP27" s="62">
        <f>SUMIFS('Data(perSeason,perCrop)'!$A:$A,'Data(perSeason,perCrop)'!$S:$S,Indicators!$B27,'Data(perSeason,perCrop)'!$O:$O,Indicators!AP$7,'Data(perSeason,perCrop)'!$C:$C,Indicators!AP$3,'Data(perSeason,perCrop)'!$R:$R,"RAINFED")</f>
        <v>0</v>
      </c>
      <c r="AQ27" s="62">
        <f>SUMIFS('Data(perSeason,perCrop)'!$A:$A,'Data(perSeason,perCrop)'!$S:$S,Indicators!$B27,'Data(perSeason,perCrop)'!$O:$O,Indicators!AQ$7,'Data(perSeason,perCrop)'!$C:$C,Indicators!AQ$3,'Data(perSeason,perCrop)'!$R:$R,"RAINFED")</f>
        <v>0</v>
      </c>
      <c r="AR27" s="62">
        <f>SUMIFS('Data(perSeason,perCrop)'!$A:$A,'Data(perSeason,perCrop)'!$S:$S,Indicators!$B27,'Data(perSeason,perCrop)'!$O:$O,Indicators!AR$7,'Data(perSeason,perCrop)'!$C:$C,Indicators!AR$3,'Data(perSeason,perCrop)'!$R:$R,"RAINFED")</f>
        <v>0</v>
      </c>
      <c r="AS27" s="62">
        <f>SUMIFS('Data(perSeason,perCrop)'!$A:$A,'Data(perSeason,perCrop)'!$S:$S,Indicators!$B27,'Data(perSeason,perCrop)'!$O:$O,Indicators!AS$7,'Data(perSeason,perCrop)'!$C:$C,Indicators!AS$3,'Data(perSeason,perCrop)'!$R:$R,"RAINFED")</f>
        <v>0</v>
      </c>
      <c r="AT27" s="62">
        <f>SUMIFS('Data(perSeason,perCrop)'!$A:$A,'Data(perSeason,perCrop)'!$S:$S,Indicators!$B27,'Data(perSeason,perCrop)'!$O:$O,Indicators!AT$7,'Data(perSeason,perCrop)'!$C:$C,Indicators!AT$3,'Data(perSeason,perCrop)'!$R:$R,"RAINFED")</f>
        <v>0</v>
      </c>
      <c r="AU27" s="62">
        <f>SUMIFS('Data(perSeason,perCrop)'!$A:$A,'Data(perSeason,perCrop)'!$S:$S,Indicators!$B27,'Data(perSeason,perCrop)'!$O:$O,Indicators!AU$7,'Data(perSeason,perCrop)'!$C:$C,Indicators!AU$3,'Data(perSeason,perCrop)'!$R:$R,"RAINFED")</f>
        <v>0</v>
      </c>
      <c r="AV27" s="62">
        <f>SUMIFS('Data(perSeason,perCrop)'!$A:$A,'Data(perSeason,perCrop)'!$S:$S,Indicators!$B27,'Data(perSeason,perCrop)'!$O:$O,Indicators!AV$7,'Data(perSeason,perCrop)'!$C:$C,Indicators!AV$3,'Data(perSeason,perCrop)'!$R:$R,"RAINFED")</f>
        <v>0</v>
      </c>
      <c r="AW27" s="62">
        <f>SUMIFS('Data(perSeason,perCrop)'!$A:$A,'Data(perSeason,perCrop)'!$S:$S,Indicators!$B27,'Data(perSeason,perCrop)'!$O:$O,Indicators!AW$7,'Data(perSeason,perCrop)'!$C:$C,Indicators!AW$3,'Data(perSeason,perCrop)'!$R:$R,"RAINFED")</f>
        <v>0</v>
      </c>
      <c r="AX27" s="7">
        <f>SUMIFS('Data(perSeason,perCrop)'!$A:$A,'Data(perSeason,perCrop)'!$S:$S,Indicators!$B27,'Data(perSeason,perCrop)'!$O:$O,Indicators!AX$7,'Data(perSeason,perCrop)'!$C:$C,Indicators!AX$3,'Data(perSeason,perCrop)'!$R:$R,"RAINFED")</f>
        <v>0</v>
      </c>
      <c r="AY27" s="7">
        <f>SUMIFS('Data(perSeason,perCrop)'!$A:$A,'Data(perSeason,perCrop)'!$S:$S,Indicators!$B27,'Data(perSeason,perCrop)'!$O:$O,Indicators!AY$7,'Data(perSeason,perCrop)'!$C:$C,Indicators!AY$3,'Data(perSeason,perCrop)'!$R:$R,"RAINFED")</f>
        <v>1669.0939142786899</v>
      </c>
      <c r="AZ27" s="7">
        <f>SUMIFS('Data(perSeason,perCrop)'!$A:$A,'Data(perSeason,perCrop)'!$S:$S,Indicators!$B27,'Data(perSeason,perCrop)'!$O:$O,Indicators!AZ$7,'Data(perSeason,perCrop)'!$C:$C,Indicators!AZ$3,'Data(perSeason,perCrop)'!$R:$R,"RAINFED")</f>
        <v>0</v>
      </c>
      <c r="BA27" s="7">
        <f>SUMIFS('Data(perSeason,perCrop)'!$A:$A,'Data(perSeason,perCrop)'!$S:$S,Indicators!$B27,'Data(perSeason,perCrop)'!$O:$O,Indicators!BA$7,'Data(perSeason,perCrop)'!$C:$C,Indicators!BA$3,'Data(perSeason,perCrop)'!$R:$R,"RAINFED")</f>
        <v>0</v>
      </c>
      <c r="BB27" s="7">
        <f>SUMIFS('Data(perSeason,perCrop)'!$A:$A,'Data(perSeason,perCrop)'!$S:$S,Indicators!$B27,'Data(perSeason,perCrop)'!$O:$O,Indicators!BB$7,'Data(perSeason,perCrop)'!$C:$C,Indicators!BB$3,'Data(perSeason,perCrop)'!$R:$R,"RAINFED")</f>
        <v>0</v>
      </c>
      <c r="BC27" s="7">
        <f>SUMIFS('Data(perSeason,perCrop)'!$A:$A,'Data(perSeason,perCrop)'!$S:$S,Indicators!$B27,'Data(perSeason,perCrop)'!$O:$O,Indicators!BC$7,'Data(perSeason,perCrop)'!$C:$C,Indicators!BC$3,'Data(perSeason,perCrop)'!$R:$R,"RAINFED")</f>
        <v>0</v>
      </c>
      <c r="BD27" s="7">
        <f>SUMIFS('Data(perSeason,perCrop)'!$A:$A,'Data(perSeason,perCrop)'!$S:$S,Indicators!$B27,'Data(perSeason,perCrop)'!$O:$O,Indicators!BD$7,'Data(perSeason,perCrop)'!$C:$C,Indicators!BD$3,'Data(perSeason,perCrop)'!$R:$R,"RAINFED")</f>
        <v>0</v>
      </c>
      <c r="BE27" s="7">
        <f>SUMIFS('Data(perSeason,perCrop)'!$A:$A,'Data(perSeason,perCrop)'!$S:$S,Indicators!$B27,'Data(perSeason,perCrop)'!$O:$O,Indicators!BE$7,'Data(perSeason,perCrop)'!$C:$C,Indicators!BE$3,'Data(perSeason,perCrop)'!$R:$R,"RAINFED")</f>
        <v>0</v>
      </c>
      <c r="BF27" s="7">
        <f>SUMIFS('Data(perSeason,perCrop)'!$A:$A,'Data(perSeason,perCrop)'!$S:$S,Indicators!$B27,'Data(perSeason,perCrop)'!$O:$O,Indicators!BF$7,'Data(perSeason,perCrop)'!$C:$C,Indicators!BF$3,'Data(perSeason,perCrop)'!$R:$R,"RAINFED")</f>
        <v>0</v>
      </c>
      <c r="BG27" s="7">
        <f>SUMIFS('Data(perSeason,perCrop)'!$A:$A,'Data(perSeason,perCrop)'!$S:$S,Indicators!$B27,'Data(perSeason,perCrop)'!$O:$O,Indicators!BG$7,'Data(perSeason,perCrop)'!$C:$C,Indicators!BG$3,'Data(perSeason,perCrop)'!$R:$R,"RAINFED")</f>
        <v>0</v>
      </c>
      <c r="BH27" s="7">
        <f>SUMIFS('Data(perSeason,perCrop)'!$A:$A,'Data(perSeason,perCrop)'!$S:$S,Indicators!$B27,'Data(perSeason,perCrop)'!$O:$O,Indicators!BH$7,'Data(perSeason,perCrop)'!$C:$C,Indicators!BH$3,'Data(perSeason,perCrop)'!$R:$R,"RAINFED")</f>
        <v>0</v>
      </c>
      <c r="BI27" s="7">
        <f>SUMIFS('Data(perSeason,perCrop)'!$A:$A,'Data(perSeason,perCrop)'!$S:$S,Indicators!$B27,'Data(perSeason,perCrop)'!$O:$O,Indicators!BI$7,'Data(perSeason,perCrop)'!$C:$C,Indicators!BI$3,'Data(perSeason,perCrop)'!$R:$R,"RAINFED")</f>
        <v>0</v>
      </c>
      <c r="BJ27" s="7">
        <f>SUMIFS('Data(perSeason,perCrop)'!$A:$A,'Data(perSeason,perCrop)'!$S:$S,Indicators!$B27,'Data(perSeason,perCrop)'!$O:$O,Indicators!BJ$7,'Data(perSeason,perCrop)'!$C:$C,Indicators!BJ$3,'Data(perSeason,perCrop)'!$R:$R,"RAINFED")</f>
        <v>0</v>
      </c>
      <c r="BK27" s="7">
        <f>SUMIFS('Data(perSeason,perCrop)'!$A:$A,'Data(perSeason,perCrop)'!$S:$S,Indicators!$B27,'Data(perSeason,perCrop)'!$O:$O,Indicators!BK$7,'Data(perSeason,perCrop)'!$C:$C,Indicators!BK$3,'Data(perSeason,perCrop)'!$R:$R,"RAINFED")</f>
        <v>0</v>
      </c>
      <c r="BL27" s="7">
        <f>SUMIFS('Data(perSeason,perCrop)'!$A:$A,'Data(perSeason,perCrop)'!$S:$S,Indicators!$B27,'Data(perSeason,perCrop)'!$O:$O,Indicators!BL$7,'Data(perSeason,perCrop)'!$C:$C,Indicators!BL$3,'Data(perSeason,perCrop)'!$R:$R,"RAINFED")</f>
        <v>31.317262127607702</v>
      </c>
      <c r="BM27" s="7">
        <f>SUMIFS('Data(perSeason,perCrop)'!$A:$A,'Data(perSeason,perCrop)'!$S:$S,Indicators!$B27,'Data(perSeason,perCrop)'!$O:$O,Indicators!BM$7,'Data(perSeason,perCrop)'!$C:$C,Indicators!BM$3,'Data(perSeason,perCrop)'!$R:$R,"RAINFED")</f>
        <v>0</v>
      </c>
      <c r="BN27" s="7">
        <f>SUMIFS('Data(perSeason,perCrop)'!$A:$A,'Data(perSeason,perCrop)'!$S:$S,Indicators!$B27,'Data(perSeason,perCrop)'!$O:$O,Indicators!BN$7,'Data(perSeason,perCrop)'!$C:$C,Indicators!BN$3,'Data(perSeason,perCrop)'!$R:$R,"RAINFED")</f>
        <v>935.351456915364</v>
      </c>
      <c r="BO27" s="7">
        <f>SUMIFS('Data(perSeason,perCrop)'!$A:$A,'Data(perSeason,perCrop)'!$S:$S,Indicators!$B27,'Data(perSeason,perCrop)'!$O:$O,Indicators!BO$7,'Data(perSeason,perCrop)'!$C:$C,Indicators!BO$3,'Data(perSeason,perCrop)'!$R:$R,"RAINFED")</f>
        <v>0</v>
      </c>
      <c r="BP27" s="7">
        <f>SUMIFS('Data(perSeason,perCrop)'!$A:$A,'Data(perSeason,perCrop)'!$S:$S,Indicators!$B27,'Data(perSeason,perCrop)'!$O:$O,Indicators!BP$7,'Data(perSeason,perCrop)'!$C:$C,Indicators!BP$3,'Data(perSeason,perCrop)'!$R:$R,"RAINFED")</f>
        <v>0</v>
      </c>
      <c r="BQ27" s="7">
        <f>SUMIFS('Data(perSeason,perCrop)'!$A:$A,'Data(perSeason,perCrop)'!$S:$S,Indicators!$B27,'Data(perSeason,perCrop)'!$O:$O,Indicators!BQ$7,'Data(perSeason,perCrop)'!$C:$C,Indicators!BQ$3,'Data(perSeason,perCrop)'!$R:$R,"RAINFED")</f>
        <v>860.14911476920895</v>
      </c>
      <c r="BR27" s="7">
        <f>SUMIFS('Data(perSeason,perCrop)'!$A:$A,'Data(perSeason,perCrop)'!$S:$S,Indicators!$B27,'Data(perSeason,perCrop)'!$O:$O,Indicators!BR$7,'Data(perSeason,perCrop)'!$C:$C,Indicators!BR$3,'Data(perSeason,perCrop)'!$R:$R,"RAINFED")</f>
        <v>0</v>
      </c>
      <c r="BS27" s="7">
        <f>SUMIFS('Data(perSeason,perCrop)'!$A:$A,'Data(perSeason,perCrop)'!$S:$S,Indicators!$B27,'Data(perSeason,perCrop)'!$O:$O,Indicators!BS$7,'Data(perSeason,perCrop)'!$C:$C,Indicators!BS$3,'Data(perSeason,perCrop)'!$R:$R,"RAINFED")</f>
        <v>0</v>
      </c>
      <c r="BT27" s="7">
        <f>SUMIFS('Data(perSeason,perCrop)'!$A:$A,'Data(perSeason,perCrop)'!$S:$S,Indicators!$B27,'Data(perSeason,perCrop)'!$O:$O,Indicators!BT$7,'Data(perSeason,perCrop)'!$C:$C,Indicators!BT$3,'Data(perSeason,perCrop)'!$R:$R,"RAINFED")</f>
        <v>0</v>
      </c>
      <c r="BU27" s="7">
        <f>SUMIFS('Data(perSeason,perCrop)'!$A:$A,'Data(perSeason,perCrop)'!$S:$S,Indicators!$B27,'Data(perSeason,perCrop)'!$O:$O,Indicators!BU$7,'Data(perSeason,perCrop)'!$C:$C,Indicators!BU$3,'Data(perSeason,perCrop)'!$R:$R,"RAINFED")</f>
        <v>0</v>
      </c>
      <c r="BV27" s="7">
        <f>SUMIFS('Data(perSeason,perCrop)'!$A:$A,'Data(perSeason,perCrop)'!$S:$S,Indicators!$B27,'Data(perSeason,perCrop)'!$O:$O,Indicators!BV$7,'Data(perSeason,perCrop)'!$C:$C,Indicators!BV$3,'Data(perSeason,perCrop)'!$R:$R,"RAINFED")</f>
        <v>0</v>
      </c>
      <c r="BW27" s="7">
        <f>SUMIFS('Data(perSeason,perCrop)'!$A:$A,'Data(perSeason,perCrop)'!$S:$S,Indicators!$B27,'Data(perSeason,perCrop)'!$O:$O,Indicators!BW$7,'Data(perSeason,perCrop)'!$C:$C,Indicators!BW$3,'Data(perSeason,perCrop)'!$R:$R,"RAINFED")</f>
        <v>0</v>
      </c>
      <c r="BX27" s="7">
        <f>SUMIFS('Data(perSeason,perCrop)'!$A:$A,'Data(perSeason,perCrop)'!$S:$S,Indicators!$B27,'Data(perSeason,perCrop)'!$O:$O,Indicators!BX$7,'Data(perSeason,perCrop)'!$C:$C,Indicators!BX$3,'Data(perSeason,perCrop)'!$R:$R,"RAINFED")</f>
        <v>0</v>
      </c>
      <c r="BY27" s="7">
        <f>SUMIFS('Data(perSeason,perCrop)'!$A:$A,'Data(perSeason,perCrop)'!$S:$S,Indicators!$B27,'Data(perSeason,perCrop)'!$O:$O,Indicators!BY$7,'Data(perSeason,perCrop)'!$C:$C,Indicators!BY$3,'Data(perSeason,perCrop)'!$R:$R,"RAINFED")</f>
        <v>0</v>
      </c>
      <c r="BZ27" s="7">
        <f>SUMIFS('Data(perSeason,perCrop)'!$A:$A,'Data(perSeason,perCrop)'!$S:$S,Indicators!$B27,'Data(perSeason,perCrop)'!$O:$O,Indicators!BZ$7,'Data(perSeason,perCrop)'!$C:$C,Indicators!BZ$3,'Data(perSeason,perCrop)'!$R:$R,"RAINFED")</f>
        <v>0</v>
      </c>
      <c r="CA27" s="7">
        <f>SUMIFS('Data(perSeason,perCrop)'!$A:$A,'Data(perSeason,perCrop)'!$S:$S,Indicators!$B27,'Data(perSeason,perCrop)'!$O:$O,Indicators!CA$7,'Data(perSeason,perCrop)'!$C:$C,Indicators!CA$3,'Data(perSeason,perCrop)'!$R:$R,"RAINFED")</f>
        <v>0</v>
      </c>
      <c r="CB27" s="7">
        <f>SUMIFS('Data(perSeason,perCrop)'!$A:$A,'Data(perSeason,perCrop)'!$S:$S,Indicators!$B27,'Data(perSeason,perCrop)'!$O:$O,Indicators!CB$7,'Data(perSeason,perCrop)'!$C:$C,Indicators!CB$3,'Data(perSeason,perCrop)'!$R:$R,"RAINFED")</f>
        <v>0</v>
      </c>
      <c r="CC27" s="7">
        <f>SUMIFS('Data(perSeason,perCrop)'!$A:$A,'Data(perSeason,perCrop)'!$S:$S,Indicators!$B27,'Data(perSeason,perCrop)'!$O:$O,Indicators!CC$7,'Data(perSeason,perCrop)'!$C:$C,Indicators!CC$3,'Data(perSeason,perCrop)'!$R:$R,"RAINFED")</f>
        <v>0</v>
      </c>
      <c r="CD27" s="7">
        <f>SUMIFS('Data(perSeason,perCrop)'!$A:$A,'Data(perSeason,perCrop)'!$S:$S,Indicators!$B27,'Data(perSeason,perCrop)'!$O:$O,Indicators!CD$7,'Data(perSeason,perCrop)'!$C:$C,Indicators!CD$3,'Data(perSeason,perCrop)'!$R:$R,"RAINFED")</f>
        <v>0</v>
      </c>
      <c r="CE27" s="7">
        <f>SUMIFS('Data(perSeason,perCrop)'!$A:$A,'Data(perSeason,perCrop)'!$S:$S,Indicators!$B27,'Data(perSeason,perCrop)'!$O:$O,Indicators!CE$7,'Data(perSeason,perCrop)'!$C:$C,Indicators!CE$3,'Data(perSeason,perCrop)'!$R:$R,"RAINFED")</f>
        <v>0</v>
      </c>
      <c r="CF27" s="7">
        <f>SUMIFS('Data(perSeason,perCrop)'!$A:$A,'Data(perSeason,perCrop)'!$S:$S,Indicators!$B27,'Data(perSeason,perCrop)'!$O:$O,Indicators!CF$7,'Data(perSeason,perCrop)'!$C:$C,Indicators!CF$3,'Data(perSeason,perCrop)'!$R:$R,"RAINFED")</f>
        <v>0</v>
      </c>
      <c r="CG27" s="7">
        <f>SUMIFS('Data(perSeason,perCrop)'!$A:$A,'Data(perSeason,perCrop)'!$S:$S,Indicators!$B27,'Data(perSeason,perCrop)'!$O:$O,Indicators!CG$7,'Data(perSeason,perCrop)'!$C:$C,Indicators!CG$3,'Data(perSeason,perCrop)'!$R:$R,"RAINFED")</f>
        <v>0</v>
      </c>
      <c r="CH27" s="7">
        <f>SUMIFS('Data(perSeason,perCrop)'!$A:$A,'Data(perSeason,perCrop)'!$S:$S,Indicators!$B27,'Data(perSeason,perCrop)'!$O:$O,Indicators!CH$7,'Data(perSeason,perCrop)'!$C:$C,Indicators!CH$3,'Data(perSeason,perCrop)'!$R:$R,"RAINFED")</f>
        <v>0</v>
      </c>
      <c r="CI27" s="7">
        <f>SUMIFS('Data(perSeason,perCrop)'!$A:$A,'Data(perSeason,perCrop)'!$S:$S,Indicators!$B27,'Data(perSeason,perCrop)'!$O:$O,Indicators!CI$7,'Data(perSeason,perCrop)'!$C:$C,Indicators!CI$3,'Data(perSeason,perCrop)'!$R:$R,"RAINFED")</f>
        <v>0</v>
      </c>
      <c r="CJ27" s="7">
        <f>SUMIFS('Data(perSeason,perCrop)'!$A:$A,'Data(perSeason,perCrop)'!$S:$S,Indicators!$B27,'Data(perSeason,perCrop)'!$O:$O,Indicators!CJ$7,'Data(perSeason,perCrop)'!$C:$C,Indicators!CJ$3,'Data(perSeason,perCrop)'!$R:$R,"RAINFED")</f>
        <v>0</v>
      </c>
      <c r="CK27" s="7">
        <f>SUMIFS('Data(perSeason,perCrop)'!$A:$A,'Data(perSeason,perCrop)'!$S:$S,Indicators!$B27,'Data(perSeason,perCrop)'!$O:$O,Indicators!CK$7,'Data(perSeason,perCrop)'!$C:$C,Indicators!CK$3,'Data(perSeason,perCrop)'!$R:$R,"RAINFED")</f>
        <v>0</v>
      </c>
      <c r="CL27" s="7">
        <f>SUMIFS('Data(perSeason,perCrop)'!$A:$A,'Data(perSeason,perCrop)'!$S:$S,Indicators!$B27,'Data(perSeason,perCrop)'!$O:$O,Indicators!CL$7,'Data(perSeason,perCrop)'!$C:$C,Indicators!CL$3,'Data(perSeason,perCrop)'!$R:$R,"RAINFED")</f>
        <v>0</v>
      </c>
      <c r="CM27" s="7">
        <f>SUMIFS('Data(perSeason,perCrop)'!$A:$A,'Data(perSeason,perCrop)'!$S:$S,Indicators!$B27,'Data(perSeason,perCrop)'!$O:$O,Indicators!CM$7,'Data(perSeason,perCrop)'!$C:$C,Indicators!CM$3,'Data(perSeason,perCrop)'!$R:$R,"RAINFED")</f>
        <v>0</v>
      </c>
      <c r="CN27" s="7">
        <f>SUMIFS('Data(perSeason,perCrop)'!$A:$A,'Data(perSeason,perCrop)'!$S:$S,Indicators!$B27,'Data(perSeason,perCrop)'!$O:$O,Indicators!CN$7,'Data(perSeason,perCrop)'!$C:$C,Indicators!CN$3,'Data(perSeason,perCrop)'!$R:$R,"RAINFED")</f>
        <v>0</v>
      </c>
      <c r="CO27" s="7">
        <f>SUMIFS('Data(perSeason,perCrop)'!$A:$A,'Data(perSeason,perCrop)'!$S:$S,Indicators!$B27,'Data(perSeason,perCrop)'!$O:$O,Indicators!CO$7,'Data(perSeason,perCrop)'!$C:$C,Indicators!CO$3,'Data(perSeason,perCrop)'!$R:$R,"RAINFED")</f>
        <v>0</v>
      </c>
      <c r="CP27" s="7">
        <f>SUMIFS('Data(perSeason,perCrop)'!$A:$A,'Data(perSeason,perCrop)'!$S:$S,Indicators!$B27,'Data(perSeason,perCrop)'!$O:$O,Indicators!CP$7,'Data(perSeason,perCrop)'!$C:$C,Indicators!CP$3,'Data(perSeason,perCrop)'!$R:$R,"RAINFED")</f>
        <v>69.661691858948302</v>
      </c>
      <c r="CQ27" s="7">
        <f>SUMIFS('Data(perSeason,perCrop)'!$A:$A,'Data(perSeason,perCrop)'!$S:$S,Indicators!$B27,'Data(perSeason,perCrop)'!$O:$O,Indicators!CQ$7,'Data(perSeason,perCrop)'!$C:$C,Indicators!CQ$3,'Data(perSeason,perCrop)'!$R:$R,"RAINFED")</f>
        <v>14.419729761888</v>
      </c>
      <c r="CR27" s="7">
        <f>SUMIFS('Data(perSeason,perCrop)'!$A:$A,'Data(perSeason,perCrop)'!$S:$S,Indicators!$B27,'Data(perSeason,perCrop)'!$O:$O,Indicators!CR$7,'Data(perSeason,perCrop)'!$C:$C,Indicators!CR$3,'Data(perSeason,perCrop)'!$R:$R,"RAINFED")</f>
        <v>0</v>
      </c>
      <c r="CS27" s="7">
        <f>SUMIFS('Data(perSeason,perCrop)'!$A:$A,'Data(perSeason,perCrop)'!$S:$S,Indicators!$B27,'Data(perSeason,perCrop)'!$O:$O,Indicators!CS$7,'Data(perSeason,perCrop)'!$C:$C,Indicators!CS$3,'Data(perSeason,perCrop)'!$R:$R,"RAINFED")</f>
        <v>25.447042903002501</v>
      </c>
      <c r="CT27" s="7">
        <f>SUMIFS('Data(perSeason,perCrop)'!$A:$A,'Data(perSeason,perCrop)'!$S:$S,Indicators!$B27,'Data(perSeason,perCrop)'!$O:$O,Indicators!CT$7,'Data(perSeason,perCrop)'!$C:$C,Indicators!CT$3,'Data(perSeason,perCrop)'!$R:$R,"RAINFED")</f>
        <v>0</v>
      </c>
      <c r="CU27" s="7">
        <f>SUMIFS('Data(perSeason,perCrop)'!$A:$A,'Data(perSeason,perCrop)'!$S:$S,Indicators!$B27,'Data(perSeason,perCrop)'!$O:$O,Indicators!CU$7,'Data(perSeason,perCrop)'!$C:$C,Indicators!CU$3,'Data(perSeason,perCrop)'!$R:$R,"RAINFED")</f>
        <v>0</v>
      </c>
      <c r="CV27" s="7">
        <f>SUMIFS('Data(perSeason,perCrop)'!$A:$A,'Data(perSeason,perCrop)'!$S:$S,Indicators!$B27,'Data(perSeason,perCrop)'!$O:$O,Indicators!CV$7,'Data(perSeason,perCrop)'!$C:$C,Indicators!CV$3,'Data(perSeason,perCrop)'!$R:$R,"RAINFED")</f>
        <v>180.664216504423</v>
      </c>
      <c r="CW27" s="7">
        <f>SUMIFS('Data(perSeason,perCrop)'!$A:$A,'Data(perSeason,perCrop)'!$S:$S,Indicators!$B27,'Data(perSeason,perCrop)'!$O:$O,Indicators!CW$7,'Data(perSeason,perCrop)'!$C:$C,Indicators!CW$3,'Data(perSeason,perCrop)'!$R:$R,"RAINFED")</f>
        <v>0</v>
      </c>
      <c r="CX27" s="7">
        <f>SUMIFS('Data(perSeason,perCrop)'!$A:$A,'Data(perSeason,perCrop)'!$S:$S,Indicators!$B27,'Data(perSeason,perCrop)'!$O:$O,Indicators!CX$7,'Data(perSeason,perCrop)'!$C:$C,Indicators!CX$3,'Data(perSeason,perCrop)'!$R:$R,"RAINFED")</f>
        <v>0</v>
      </c>
      <c r="CY27" s="7">
        <f>SUMIFS('Data(perSeason,perCrop)'!$A:$A,'Data(perSeason,perCrop)'!$S:$S,Indicators!$B27,'Data(perSeason,perCrop)'!$O:$O,Indicators!CY$7,'Data(perSeason,perCrop)'!$C:$C,Indicators!CY$3,'Data(perSeason,perCrop)'!$R:$R,"RAINFED")</f>
        <v>0</v>
      </c>
      <c r="CZ27" s="7">
        <f>SUMIFS('Data(perSeason,perCrop)'!$A:$A,'Data(perSeason,perCrop)'!$S:$S,Indicators!$B27,'Data(perSeason,perCrop)'!$O:$O,Indicators!CZ$7,'Data(perSeason,perCrop)'!$C:$C,Indicators!CZ$3,'Data(perSeason,perCrop)'!$R:$R,"RAINFED")</f>
        <v>0</v>
      </c>
      <c r="DA27" s="7">
        <f>SUMIFS('Data(perSeason,perCrop)'!$A:$A,'Data(perSeason,perCrop)'!$S:$S,Indicators!$B27,'Data(perSeason,perCrop)'!$O:$O,Indicators!DA$7,'Data(perSeason,perCrop)'!$C:$C,Indicators!DA$3,'Data(perSeason,perCrop)'!$R:$R,"RAINFED")</f>
        <v>0</v>
      </c>
      <c r="DB27" s="7">
        <f>SUMIFS('Data(perSeason,perCrop)'!$A:$A,'Data(perSeason,perCrop)'!$S:$S,Indicators!$B27,'Data(perSeason,perCrop)'!$O:$O,Indicators!DB$7,'Data(perSeason,perCrop)'!$C:$C,Indicators!DB$3,'Data(perSeason,perCrop)'!$R:$R,"RAINFED")</f>
        <v>0</v>
      </c>
      <c r="DC27" s="7">
        <f>SUMIFS('Data(perSeason,perCrop)'!$A:$A,'Data(perSeason,perCrop)'!$S:$S,Indicators!$B27,'Data(perSeason,perCrop)'!$O:$O,Indicators!DC$7,'Data(perSeason,perCrop)'!$C:$C,Indicators!DC$3,'Data(perSeason,perCrop)'!$R:$R,"RAINFED")</f>
        <v>0</v>
      </c>
      <c r="DD27" s="7">
        <f>SUMIFS('Data(perSeason,perCrop)'!$A:$A,'Data(perSeason,perCrop)'!$S:$S,Indicators!$B27,'Data(perSeason,perCrop)'!$O:$O,Indicators!DD$7,'Data(perSeason,perCrop)'!$C:$C,Indicators!DD$3,'Data(perSeason,perCrop)'!$R:$R,"RAINFED")</f>
        <v>0</v>
      </c>
      <c r="DE27" s="7">
        <f>SUMIFS('Data(perSeason,perCrop)'!$A:$A,'Data(perSeason,perCrop)'!$S:$S,Indicators!$B27,'Data(perSeason,perCrop)'!$O:$O,Indicators!DE$7,'Data(perSeason,perCrop)'!$C:$C,Indicators!DE$3,'Data(perSeason,perCrop)'!$R:$R,"RAINFED")</f>
        <v>0</v>
      </c>
      <c r="DF27" s="7">
        <f>SUMIFS('Data(perSeason,perCrop)'!$A:$A,'Data(perSeason,perCrop)'!$S:$S,Indicators!$B27,'Data(perSeason,perCrop)'!$O:$O,Indicators!DF$7,'Data(perSeason,perCrop)'!$C:$C,Indicators!DF$3,'Data(perSeason,perCrop)'!$R:$R,"RAINFED")</f>
        <v>0</v>
      </c>
      <c r="DG27" s="7">
        <f>SUMIFS('Data(perSeason,perCrop)'!$A:$A,'Data(perSeason,perCrop)'!$S:$S,Indicators!$B27,'Data(perSeason,perCrop)'!$O:$O,Indicators!DG$7,'Data(perSeason,perCrop)'!$C:$C,Indicators!DG$3,'Data(perSeason,perCrop)'!$R:$R,"RAINFED")</f>
        <v>0</v>
      </c>
    </row>
    <row r="28" spans="1:111" x14ac:dyDescent="0.25">
      <c r="B28" s="5" t="s">
        <v>66</v>
      </c>
      <c r="C28" s="9">
        <f>AVERAGE(C23:C27)</f>
        <v>5832.5898619659756</v>
      </c>
      <c r="D28" s="9">
        <f t="shared" ref="D28:F28" si="27">AVERAGE(D23:D27)</f>
        <v>4146.0794300810585</v>
      </c>
      <c r="E28" s="9">
        <f t="shared" si="27"/>
        <v>318.18641144345577</v>
      </c>
      <c r="F28" s="9">
        <f t="shared" si="27"/>
        <v>3174.7656342563614</v>
      </c>
      <c r="G28" s="9"/>
      <c r="H28" s="9"/>
      <c r="I28" s="5"/>
      <c r="J28" s="2" t="s">
        <v>209</v>
      </c>
      <c r="K28" s="9">
        <f t="shared" ref="K28:AF28" si="28">AVERAGE(K23:K27)</f>
        <v>29.302722973577126</v>
      </c>
      <c r="L28" s="9">
        <f t="shared" si="28"/>
        <v>0</v>
      </c>
      <c r="M28" s="9">
        <f t="shared" si="28"/>
        <v>0</v>
      </c>
      <c r="N28" s="9">
        <f t="shared" si="28"/>
        <v>223.07756116494906</v>
      </c>
      <c r="O28" s="9">
        <f t="shared" si="28"/>
        <v>2744.1118863086399</v>
      </c>
      <c r="P28" s="9">
        <f t="shared" si="28"/>
        <v>20.294046540978503</v>
      </c>
      <c r="Q28" s="9">
        <f t="shared" si="28"/>
        <v>157.9794172682162</v>
      </c>
      <c r="R28" s="9">
        <f t="shared" si="28"/>
        <v>0</v>
      </c>
      <c r="S28" s="63">
        <f t="shared" si="28"/>
        <v>0</v>
      </c>
      <c r="T28" s="63">
        <f t="shared" si="28"/>
        <v>2313.6413540904041</v>
      </c>
      <c r="U28" s="63">
        <f t="shared" si="28"/>
        <v>0</v>
      </c>
      <c r="V28" s="63">
        <f t="shared" si="28"/>
        <v>0</v>
      </c>
      <c r="W28" s="63">
        <f t="shared" si="28"/>
        <v>0</v>
      </c>
      <c r="X28" s="63">
        <f t="shared" si="28"/>
        <v>0</v>
      </c>
      <c r="Y28" s="63">
        <f t="shared" si="28"/>
        <v>0</v>
      </c>
      <c r="Z28" s="63">
        <f t="shared" si="28"/>
        <v>0</v>
      </c>
      <c r="AA28" s="63">
        <f t="shared" si="28"/>
        <v>0</v>
      </c>
      <c r="AB28" s="63">
        <f t="shared" si="28"/>
        <v>0</v>
      </c>
      <c r="AC28" s="63">
        <f t="shared" si="28"/>
        <v>0</v>
      </c>
      <c r="AD28" s="63">
        <f t="shared" si="28"/>
        <v>0</v>
      </c>
      <c r="AE28" s="63">
        <f t="shared" si="28"/>
        <v>0</v>
      </c>
      <c r="AF28" s="63">
        <f t="shared" si="28"/>
        <v>10.43358921740422</v>
      </c>
      <c r="AG28" s="63">
        <f t="shared" ref="AG28:BK28" si="29">AVERAGE(AG23:AG27)</f>
        <v>54.246018859164202</v>
      </c>
      <c r="AH28" s="63">
        <f t="shared" si="29"/>
        <v>0</v>
      </c>
      <c r="AI28" s="63">
        <f t="shared" si="29"/>
        <v>820.3305255101443</v>
      </c>
      <c r="AJ28" s="63">
        <f t="shared" si="29"/>
        <v>0</v>
      </c>
      <c r="AK28" s="63">
        <f t="shared" si="29"/>
        <v>0</v>
      </c>
      <c r="AL28" s="63">
        <f t="shared" si="29"/>
        <v>869.01891096037821</v>
      </c>
      <c r="AM28" s="63">
        <f t="shared" si="29"/>
        <v>0</v>
      </c>
      <c r="AN28" s="63">
        <f t="shared" si="29"/>
        <v>0</v>
      </c>
      <c r="AO28" s="63">
        <f t="shared" si="29"/>
        <v>0</v>
      </c>
      <c r="AP28" s="63">
        <f t="shared" si="29"/>
        <v>0</v>
      </c>
      <c r="AQ28" s="63">
        <f t="shared" si="29"/>
        <v>0</v>
      </c>
      <c r="AR28" s="63">
        <f t="shared" si="29"/>
        <v>0</v>
      </c>
      <c r="AS28" s="63">
        <f t="shared" si="29"/>
        <v>0</v>
      </c>
      <c r="AT28" s="63">
        <f t="shared" si="29"/>
        <v>0</v>
      </c>
      <c r="AU28" s="63">
        <f t="shared" si="29"/>
        <v>0</v>
      </c>
      <c r="AV28" s="63">
        <f t="shared" si="29"/>
        <v>0</v>
      </c>
      <c r="AW28" s="63">
        <f t="shared" si="29"/>
        <v>0</v>
      </c>
      <c r="AX28" s="9">
        <f t="shared" si="29"/>
        <v>0</v>
      </c>
      <c r="AY28" s="9">
        <f t="shared" si="29"/>
        <v>929.40904730009152</v>
      </c>
      <c r="AZ28" s="9">
        <f t="shared" si="29"/>
        <v>0</v>
      </c>
      <c r="BA28" s="9">
        <f t="shared" si="29"/>
        <v>0</v>
      </c>
      <c r="BB28" s="9">
        <f t="shared" si="29"/>
        <v>0</v>
      </c>
      <c r="BC28" s="9">
        <f t="shared" si="29"/>
        <v>0</v>
      </c>
      <c r="BD28" s="9">
        <f t="shared" si="29"/>
        <v>0</v>
      </c>
      <c r="BE28" s="9">
        <f t="shared" si="29"/>
        <v>0</v>
      </c>
      <c r="BF28" s="9">
        <f t="shared" si="29"/>
        <v>0</v>
      </c>
      <c r="BG28" s="9">
        <f t="shared" si="29"/>
        <v>0</v>
      </c>
      <c r="BH28" s="9">
        <f t="shared" si="29"/>
        <v>0</v>
      </c>
      <c r="BI28" s="9">
        <f t="shared" si="29"/>
        <v>0</v>
      </c>
      <c r="BJ28" s="9">
        <f t="shared" si="29"/>
        <v>0</v>
      </c>
      <c r="BK28" s="9">
        <f t="shared" si="29"/>
        <v>0</v>
      </c>
      <c r="BL28" s="9">
        <f t="shared" ref="BL28:CO28" si="30">AVERAGE(BL23:BL27)</f>
        <v>46.049343133514967</v>
      </c>
      <c r="BM28" s="9">
        <f t="shared" si="30"/>
        <v>0</v>
      </c>
      <c r="BN28" s="9">
        <f t="shared" si="30"/>
        <v>851.66944771787678</v>
      </c>
      <c r="BO28" s="9">
        <f t="shared" si="30"/>
        <v>0</v>
      </c>
      <c r="BP28" s="9">
        <f t="shared" si="30"/>
        <v>0</v>
      </c>
      <c r="BQ28" s="9">
        <f t="shared" si="30"/>
        <v>738.37807766563697</v>
      </c>
      <c r="BR28" s="9">
        <f t="shared" si="30"/>
        <v>0</v>
      </c>
      <c r="BS28" s="9">
        <f t="shared" si="30"/>
        <v>0</v>
      </c>
      <c r="BT28" s="9">
        <f t="shared" si="30"/>
        <v>0</v>
      </c>
      <c r="BU28" s="9">
        <f t="shared" si="30"/>
        <v>0</v>
      </c>
      <c r="BV28" s="9">
        <f t="shared" si="30"/>
        <v>0</v>
      </c>
      <c r="BW28" s="9">
        <f t="shared" si="30"/>
        <v>0</v>
      </c>
      <c r="BX28" s="9">
        <f t="shared" si="30"/>
        <v>0</v>
      </c>
      <c r="BY28" s="9">
        <f t="shared" si="30"/>
        <v>0</v>
      </c>
      <c r="BZ28" s="9">
        <f t="shared" si="30"/>
        <v>0</v>
      </c>
      <c r="CA28" s="9">
        <f t="shared" si="30"/>
        <v>0</v>
      </c>
      <c r="CB28" s="9">
        <f t="shared" si="30"/>
        <v>0</v>
      </c>
      <c r="CC28" s="9">
        <f t="shared" si="30"/>
        <v>0</v>
      </c>
      <c r="CD28" s="9">
        <f t="shared" si="30"/>
        <v>0</v>
      </c>
      <c r="CE28" s="9">
        <f t="shared" si="30"/>
        <v>0</v>
      </c>
      <c r="CF28" s="9">
        <f t="shared" si="30"/>
        <v>0</v>
      </c>
      <c r="CG28" s="9">
        <f t="shared" si="30"/>
        <v>0</v>
      </c>
      <c r="CH28" s="9">
        <f t="shared" si="30"/>
        <v>0</v>
      </c>
      <c r="CI28" s="9">
        <f t="shared" si="30"/>
        <v>0</v>
      </c>
      <c r="CJ28" s="9">
        <f t="shared" si="30"/>
        <v>0</v>
      </c>
      <c r="CK28" s="9">
        <f t="shared" si="30"/>
        <v>0</v>
      </c>
      <c r="CL28" s="9">
        <f t="shared" si="30"/>
        <v>0</v>
      </c>
      <c r="CM28" s="9">
        <f t="shared" si="30"/>
        <v>0</v>
      </c>
      <c r="CN28" s="9">
        <f t="shared" si="30"/>
        <v>0</v>
      </c>
      <c r="CO28" s="9">
        <f t="shared" si="30"/>
        <v>0</v>
      </c>
      <c r="CP28" s="9">
        <f t="shared" ref="CP28:DG28" si="31">AVERAGE(CP23:CP27)</f>
        <v>41.858277061172124</v>
      </c>
      <c r="CQ28" s="9">
        <f t="shared" si="31"/>
        <v>16.443697351306355</v>
      </c>
      <c r="CR28" s="9">
        <f t="shared" si="31"/>
        <v>0</v>
      </c>
      <c r="CS28" s="9">
        <f t="shared" si="31"/>
        <v>21.911146487550585</v>
      </c>
      <c r="CT28" s="9">
        <f t="shared" si="31"/>
        <v>0</v>
      </c>
      <c r="CU28" s="9">
        <f t="shared" si="31"/>
        <v>0</v>
      </c>
      <c r="CV28" s="9">
        <f t="shared" si="31"/>
        <v>166.99366483973944</v>
      </c>
      <c r="CW28" s="9">
        <f t="shared" si="31"/>
        <v>0</v>
      </c>
      <c r="CX28" s="9">
        <f t="shared" si="31"/>
        <v>0</v>
      </c>
      <c r="CY28" s="9">
        <f t="shared" si="31"/>
        <v>0</v>
      </c>
      <c r="CZ28" s="9">
        <f t="shared" si="31"/>
        <v>0</v>
      </c>
      <c r="DA28" s="9">
        <f t="shared" si="31"/>
        <v>0</v>
      </c>
      <c r="DB28" s="9">
        <f t="shared" si="31"/>
        <v>0</v>
      </c>
      <c r="DC28" s="9">
        <f t="shared" si="31"/>
        <v>0</v>
      </c>
      <c r="DD28" s="9">
        <f t="shared" si="31"/>
        <v>0</v>
      </c>
      <c r="DE28" s="9">
        <f t="shared" si="31"/>
        <v>0</v>
      </c>
      <c r="DF28" s="9">
        <f t="shared" si="31"/>
        <v>0</v>
      </c>
      <c r="DG28" s="9">
        <f t="shared" si="31"/>
        <v>0</v>
      </c>
    </row>
    <row r="29" spans="1:111" ht="18.75" x14ac:dyDescent="0.3">
      <c r="A29" s="13" t="s">
        <v>73</v>
      </c>
      <c r="B29">
        <v>2018</v>
      </c>
      <c r="C29" s="6">
        <f>IF(COUNTIFS('Data(perSeason,perCrop)'!$S:$S,Indicators!$B29)&gt;0,C15/C$5,"")</f>
        <v>0.44511776623007676</v>
      </c>
      <c r="D29" s="6">
        <f>IF(COUNTIFS('Data(perSeason,perCrop)'!$S:$S,Indicators!$B29)&gt;0,D15/D$5,"")</f>
        <v>0.43808940911827177</v>
      </c>
      <c r="E29" s="6">
        <f>IF(COUNTIFS('Data(perSeason,perCrop)'!$S:$S,Indicators!$B29)&gt;0,E15/E$5,"")</f>
        <v>0.14400645331803733</v>
      </c>
      <c r="F29" s="6">
        <f>IF(COUNTIFS('Data(perSeason,perCrop)'!$S:$S,Indicators!$B29)&gt;0,F15/F$5,"")</f>
        <v>0.54223761123001057</v>
      </c>
      <c r="G29" s="6"/>
      <c r="H29" s="6"/>
    </row>
    <row r="30" spans="1:111" x14ac:dyDescent="0.25">
      <c r="A30" t="s">
        <v>70</v>
      </c>
      <c r="B30">
        <v>2019</v>
      </c>
      <c r="C30" s="6">
        <f>IF(COUNTIFS('Data(perSeason,perCrop)'!$S:$S,Indicators!$B30)&gt;0,C16/C$5,"")</f>
        <v>0.39703797476504393</v>
      </c>
      <c r="D30" s="6">
        <f>IF(COUNTIFS('Data(perSeason,perCrop)'!$S:$S,Indicators!$B30)&gt;0,D16/D$5,"")</f>
        <v>0.45970268075286291</v>
      </c>
      <c r="E30" s="6">
        <f>IF(COUNTIFS('Data(perSeason,perCrop)'!$S:$S,Indicators!$B30)&gt;0,E16/E$5,"")</f>
        <v>0.42712948143992696</v>
      </c>
      <c r="F30" s="6">
        <f>IF(COUNTIFS('Data(perSeason,perCrop)'!$S:$S,Indicators!$B30)&gt;0,F16/F$5,"")</f>
        <v>0.60680803721385301</v>
      </c>
      <c r="G30" s="6"/>
      <c r="H30" s="6"/>
    </row>
    <row r="31" spans="1:111" x14ac:dyDescent="0.25">
      <c r="A31" t="s">
        <v>195</v>
      </c>
      <c r="B31">
        <v>2020</v>
      </c>
      <c r="C31" s="6">
        <f>IF(COUNTIFS('Data(perSeason,perCrop)'!$S:$S,Indicators!$B31)&gt;0,C17/C$5,"")</f>
        <v>0.22502858902615983</v>
      </c>
      <c r="D31" s="6">
        <f>IF(COUNTIFS('Data(perSeason,perCrop)'!$S:$S,Indicators!$B31)&gt;0,D17/D$5,"")</f>
        <v>0.26597085723814662</v>
      </c>
      <c r="E31" s="6">
        <f>IF(COUNTIFS('Data(perSeason,perCrop)'!$S:$S,Indicators!$B31)&gt;0,E17/E$5,"")</f>
        <v>0.12863135148545365</v>
      </c>
      <c r="F31" s="6">
        <f>IF(COUNTIFS('Data(perSeason,perCrop)'!$S:$S,Indicators!$B31)&gt;0,F17/F$5,"")</f>
        <v>0.36403130372867831</v>
      </c>
      <c r="G31" s="6"/>
      <c r="H31" s="6"/>
    </row>
    <row r="32" spans="1:111" x14ac:dyDescent="0.25">
      <c r="B32">
        <v>2021</v>
      </c>
      <c r="C32" s="6">
        <f>IF(COUNTIFS('Data(perSeason,perCrop)'!$S:$S,Indicators!$B32)&gt;0,C18/C$5,"")</f>
        <v>0.24201003773740437</v>
      </c>
      <c r="D32" s="6">
        <f>IF(COUNTIFS('Data(perSeason,perCrop)'!$S:$S,Indicators!$B32)&gt;0,D18/D$5,"")</f>
        <v>0.3444971820141714</v>
      </c>
      <c r="E32" s="6">
        <f>IF(COUNTIFS('Data(perSeason,perCrop)'!$S:$S,Indicators!$B32)&gt;0,E18/E$5,"")</f>
        <v>0.13632936508178098</v>
      </c>
      <c r="F32" s="6">
        <f>IF(COUNTIFS('Data(perSeason,perCrop)'!$S:$S,Indicators!$B32)&gt;0,F18/F$5,"")</f>
        <v>0.39569439893143382</v>
      </c>
      <c r="G32" s="6"/>
      <c r="H32" s="6"/>
    </row>
    <row r="33" spans="1:18" x14ac:dyDescent="0.25">
      <c r="B33">
        <v>2022</v>
      </c>
      <c r="C33" s="6">
        <f>IF(COUNTIFS('Data(perSeason,perCrop)'!$S:$S,Indicators!$B33)&gt;0,C19/C$5,"")</f>
        <v>0.34391479141314529</v>
      </c>
      <c r="D33" s="6">
        <f>IF(COUNTIFS('Data(perSeason,perCrop)'!$S:$S,Indicators!$B33)&gt;0,D19/D$5,"")</f>
        <v>0.41819453988027766</v>
      </c>
      <c r="E33" s="6">
        <f>IF(COUNTIFS('Data(perSeason,perCrop)'!$S:$S,Indicators!$B33)&gt;0,E19/E$5,"")</f>
        <v>0.24634705158949149</v>
      </c>
      <c r="F33" s="6">
        <f>IF(COUNTIFS('Data(perSeason,perCrop)'!$S:$S,Indicators!$B33)&gt;0,F19/F$5,"")</f>
        <v>0.54713448938453668</v>
      </c>
      <c r="G33" s="6"/>
      <c r="H33" s="6"/>
    </row>
    <row r="34" spans="1:18" x14ac:dyDescent="0.25">
      <c r="B34" s="5" t="s">
        <v>66</v>
      </c>
      <c r="C34" s="10">
        <f>AVERAGE(C29:C33)</f>
        <v>0.330621831834366</v>
      </c>
      <c r="D34" s="10">
        <f t="shared" ref="D34:F34" si="32">AVERAGE(D29:D33)</f>
        <v>0.38529093380074608</v>
      </c>
      <c r="E34" s="10">
        <f>AVERAGE(E29:E33)</f>
        <v>0.2164887405829381</v>
      </c>
      <c r="F34" s="10">
        <f t="shared" si="32"/>
        <v>0.49118116809770251</v>
      </c>
      <c r="G34" s="10"/>
      <c r="H34" s="10"/>
      <c r="I34" s="5"/>
    </row>
    <row r="35" spans="1:18" ht="18.75" x14ac:dyDescent="0.3">
      <c r="A35" s="28" t="s">
        <v>80</v>
      </c>
      <c r="B35">
        <v>2018</v>
      </c>
      <c r="C35" s="6">
        <f>IF(COUNTIFS('Data(perSeason,perCrop)'!$S:$S,Indicators!$B35)&gt;0,SUMIFS('Data(perSeason,perCrop)'!$A:$A,'Data(perSeason,perCrop)'!$S:$S,Indicators!$B35,'Data(perSeason,perCrop)'!$O:$O,Indicators!C$7,'Data(perSeason,perCrop)'!$R:$R,"IRRIGATED",'Data(perSeason,perCrop)'!$T:$T,0)/C15,"")</f>
        <v>0</v>
      </c>
      <c r="D35" s="6">
        <f>IF(COUNTIFS('Data(perSeason,perCrop)'!$S:$S,Indicators!$B35)&gt;0,SUMIFS('Data(perSeason,perCrop)'!$A:$A,'Data(perSeason,perCrop)'!$S:$S,Indicators!$B35,'Data(perSeason,perCrop)'!$O:$O,Indicators!D$7,'Data(perSeason,perCrop)'!$R:$R,"IRRIGATED",'Data(perSeason,perCrop)'!$T:$T,0)/D15,"")</f>
        <v>0.86422733453035305</v>
      </c>
      <c r="E35" s="6">
        <f>IF(COUNTIFS('Data(perSeason,perCrop)'!$S:$S,Indicators!$B35)&gt;0,SUMIFS('Data(perSeason,perCrop)'!$A:$A,'Data(perSeason,perCrop)'!$S:$S,Indicators!$B35,'Data(perSeason,perCrop)'!$O:$O,Indicators!E$7,'Data(perSeason,perCrop)'!$R:$R,"IRRIGATED",'Data(perSeason,perCrop)'!$T:$T,0)/E15,"")</f>
        <v>0</v>
      </c>
      <c r="F35" s="6">
        <f>IF(COUNTIFS('Data(perSeason,perCrop)'!$S:$S,Indicators!$B35)&gt;0,SUMIFS('Data(perCrop)'!A:A,'Data(perCrop)'!O:O,Indicators!B35,'Data(perCrop)'!P:P,0)/SUMIFS('Data(perCrop)'!A:A,'Data(perCrop)'!O:O,Indicators!B35),"")</f>
        <v>0.21003501829033344</v>
      </c>
      <c r="G35" s="6"/>
      <c r="H35" s="6"/>
    </row>
    <row r="36" spans="1:18" x14ac:dyDescent="0.25">
      <c r="A36" t="s">
        <v>207</v>
      </c>
      <c r="B36">
        <v>2019</v>
      </c>
      <c r="C36" s="6">
        <f>IF(COUNTIFS('Data(perSeason,perCrop)'!$S:$S,Indicators!$B36)&gt;0,SUMIFS('Data(perSeason,perCrop)'!$A:$A,'Data(perSeason,perCrop)'!$S:$S,Indicators!$B36,'Data(perSeason,perCrop)'!$O:$O,Indicators!C$7,'Data(perSeason,perCrop)'!$R:$R,"IRRIGATED",'Data(perSeason,perCrop)'!$T:$T,0)/C16,"")</f>
        <v>0.13908436680809669</v>
      </c>
      <c r="D36" s="6">
        <f>IF(COUNTIFS('Data(perSeason,perCrop)'!$S:$S,Indicators!$B36)&gt;0,SUMIFS('Data(perSeason,perCrop)'!$A:$A,'Data(perSeason,perCrop)'!$S:$S,Indicators!$B36,'Data(perSeason,perCrop)'!$O:$O,Indicators!D$7,'Data(perSeason,perCrop)'!$R:$R,"IRRIGATED",'Data(perSeason,perCrop)'!$T:$T,0)/D16,"")</f>
        <v>0.37842603154516635</v>
      </c>
      <c r="E36" s="6">
        <f>IF(COUNTIFS('Data(perSeason,perCrop)'!$S:$S,Indicators!$B36)&gt;0,SUMIFS('Data(perSeason,perCrop)'!$A:$A,'Data(perSeason,perCrop)'!$S:$S,Indicators!$B36,'Data(perSeason,perCrop)'!$O:$O,Indicators!E$7,'Data(perSeason,perCrop)'!$R:$R,"IRRIGATED",'Data(perSeason,perCrop)'!$T:$T,0)/E16,"")</f>
        <v>0</v>
      </c>
      <c r="F36" s="6">
        <f>IF(COUNTIFS('Data(perSeason,perCrop)'!$S:$S,Indicators!$B36)&gt;0,SUMIFS('Data(perCrop)'!A:A,'Data(perCrop)'!O:O,Indicators!B36,'Data(perCrop)'!P:P,0)/SUMIFS('Data(perCrop)'!A:A,'Data(perCrop)'!O:O,Indicators!B36),"")</f>
        <v>0.91954736479524368</v>
      </c>
      <c r="G36" s="6"/>
      <c r="H36" s="6"/>
    </row>
    <row r="37" spans="1:18" x14ac:dyDescent="0.25">
      <c r="A37" t="s">
        <v>208</v>
      </c>
      <c r="B37">
        <v>2020</v>
      </c>
      <c r="C37" s="6">
        <f>IF(COUNTIFS('Data(perSeason,perCrop)'!$S:$S,Indicators!$B37)&gt;0,SUMIFS('Data(perSeason,perCrop)'!$A:$A,'Data(perSeason,perCrop)'!$S:$S,Indicators!$B37,'Data(perSeason,perCrop)'!$O:$O,Indicators!C$7,'Data(perSeason,perCrop)'!$R:$R,"IRRIGATED",'Data(perSeason,perCrop)'!$T:$T,0)/C17,"")</f>
        <v>0</v>
      </c>
      <c r="D37" s="6">
        <f>IF(COUNTIFS('Data(perSeason,perCrop)'!$S:$S,Indicators!$B37)&gt;0,SUMIFS('Data(perSeason,perCrop)'!$A:$A,'Data(perSeason,perCrop)'!$S:$S,Indicators!$B37,'Data(perSeason,perCrop)'!$O:$O,Indicators!D$7,'Data(perSeason,perCrop)'!$R:$R,"IRRIGATED",'Data(perSeason,perCrop)'!$T:$T,0)/D17,"")</f>
        <v>0.91363361845888313</v>
      </c>
      <c r="E37" s="6">
        <f>IF(COUNTIFS('Data(perSeason,perCrop)'!$S:$S,Indicators!$B37)&gt;0,SUMIFS('Data(perSeason,perCrop)'!$A:$A,'Data(perSeason,perCrop)'!$S:$S,Indicators!$B37,'Data(perSeason,perCrop)'!$O:$O,Indicators!E$7,'Data(perSeason,perCrop)'!$R:$R,"IRRIGATED",'Data(perSeason,perCrop)'!$T:$T,0)/E17,"")</f>
        <v>0</v>
      </c>
      <c r="F37" s="6">
        <f>IF(COUNTIFS('Data(perSeason,perCrop)'!$S:$S,Indicators!$B37)&gt;0,SUMIFS('Data(perCrop)'!A:A,'Data(perCrop)'!O:O,Indicators!B37,'Data(perCrop)'!P:P,0)/SUMIFS('Data(perCrop)'!A:A,'Data(perCrop)'!O:O,Indicators!B37),"")</f>
        <v>0.31469097084366882</v>
      </c>
      <c r="G37" s="6"/>
      <c r="H37" s="6"/>
    </row>
    <row r="38" spans="1:18" x14ac:dyDescent="0.25">
      <c r="B38">
        <v>2021</v>
      </c>
      <c r="C38" s="6">
        <f>IF(COUNTIFS('Data(perSeason,perCrop)'!$S:$S,Indicators!$B38)&gt;0,SUMIFS('Data(perSeason,perCrop)'!$A:$A,'Data(perSeason,perCrop)'!$S:$S,Indicators!$B38,'Data(perSeason,perCrop)'!$O:$O,Indicators!C$7,'Data(perSeason,perCrop)'!$R:$R,"IRRIGATED",'Data(perSeason,perCrop)'!$T:$T,0)/C18,"")</f>
        <v>0.87957356613593507</v>
      </c>
      <c r="D38" s="6">
        <f>IF(COUNTIFS('Data(perSeason,perCrop)'!$S:$S,Indicators!$B38)&gt;0,SUMIFS('Data(perSeason,perCrop)'!$A:$A,'Data(perSeason,perCrop)'!$S:$S,Indicators!$B38,'Data(perSeason,perCrop)'!$O:$O,Indicators!D$7,'Data(perSeason,perCrop)'!$R:$R,"IRRIGATED",'Data(perSeason,perCrop)'!$T:$T,0)/D18,"")</f>
        <v>0.76685888972380445</v>
      </c>
      <c r="E38" s="6">
        <f>IF(COUNTIFS('Data(perSeason,perCrop)'!$S:$S,Indicators!$B38)&gt;0,SUMIFS('Data(perSeason,perCrop)'!$A:$A,'Data(perSeason,perCrop)'!$S:$S,Indicators!$B38,'Data(perSeason,perCrop)'!$O:$O,Indicators!E$7,'Data(perSeason,perCrop)'!$R:$R,"IRRIGATED",'Data(perSeason,perCrop)'!$T:$T,0)/E18,"")</f>
        <v>0</v>
      </c>
      <c r="F38" s="6">
        <f>IF(COUNTIFS('Data(perSeason,perCrop)'!$S:$S,Indicators!$B38)&gt;0,SUMIFS('Data(perCrop)'!A:A,'Data(perCrop)'!O:O,Indicators!B38,'Data(perCrop)'!P:P,0)/SUMIFS('Data(perCrop)'!A:A,'Data(perCrop)'!O:O,Indicators!B38),"")</f>
        <v>0.2106119743180361</v>
      </c>
      <c r="G38" s="6"/>
      <c r="H38" s="6"/>
    </row>
    <row r="39" spans="1:18" x14ac:dyDescent="0.25">
      <c r="B39">
        <v>2022</v>
      </c>
      <c r="C39" s="6">
        <f>IF(COUNTIFS('Data(perSeason,perCrop)'!$S:$S,Indicators!$B39)&gt;0,SUMIFS('Data(perSeason,perCrop)'!$A:$A,'Data(perSeason,perCrop)'!$S:$S,Indicators!$B39,'Data(perSeason,perCrop)'!$O:$O,Indicators!C$7,'Data(perSeason,perCrop)'!$R:$R,"IRRIGATED",'Data(perSeason,perCrop)'!$T:$T,0)/C19,"")</f>
        <v>0.67401168018252466</v>
      </c>
      <c r="D39" s="6">
        <f>IF(COUNTIFS('Data(perSeason,perCrop)'!$S:$S,Indicators!$B39)&gt;0,SUMIFS('Data(perSeason,perCrop)'!$A:$A,'Data(perSeason,perCrop)'!$S:$S,Indicators!$B39,'Data(perSeason,perCrop)'!$O:$O,Indicators!D$7,'Data(perSeason,perCrop)'!$R:$R,"IRRIGATED",'Data(perSeason,perCrop)'!$T:$T,0)/D19,"")</f>
        <v>0.84668177034465741</v>
      </c>
      <c r="E39" s="6">
        <f>IF(COUNTIFS('Data(perSeason,perCrop)'!$S:$S,Indicators!$B39)&gt;0,SUMIFS('Data(perSeason,perCrop)'!$A:$A,'Data(perSeason,perCrop)'!$S:$S,Indicators!$B39,'Data(perSeason,perCrop)'!$O:$O,Indicators!E$7,'Data(perSeason,perCrop)'!$R:$R,"IRRIGATED",'Data(perSeason,perCrop)'!$T:$T,0)/E19,"")</f>
        <v>0</v>
      </c>
      <c r="F39" s="6">
        <f>IF(COUNTIFS('Data(perSeason,perCrop)'!$S:$S,Indicators!$B39)&gt;0,SUMIFS('Data(perCrop)'!A:A,'Data(perCrop)'!O:O,Indicators!B39,'Data(perCrop)'!P:P,0)/SUMIFS('Data(perCrop)'!A:A,'Data(perCrop)'!O:O,Indicators!B39),"")</f>
        <v>0.25347211034792111</v>
      </c>
      <c r="G39" s="6"/>
      <c r="H39" s="6"/>
    </row>
    <row r="40" spans="1:18" x14ac:dyDescent="0.25">
      <c r="B40" s="5" t="s">
        <v>66</v>
      </c>
      <c r="C40" s="10">
        <f>AVERAGE(C35:C39)</f>
        <v>0.33853392262531129</v>
      </c>
      <c r="D40" s="10">
        <f t="shared" ref="D40:F40" si="33">AVERAGE(D35:D39)</f>
        <v>0.75396552892057289</v>
      </c>
      <c r="E40" s="10">
        <f t="shared" si="33"/>
        <v>0</v>
      </c>
      <c r="F40" s="10">
        <f t="shared" si="33"/>
        <v>0.38167148771904064</v>
      </c>
      <c r="G40" s="10"/>
      <c r="H40" s="10"/>
      <c r="I40" s="5"/>
    </row>
    <row r="41" spans="1:18" ht="18.75" x14ac:dyDescent="0.3">
      <c r="A41" s="13" t="s">
        <v>80</v>
      </c>
      <c r="B41" s="5"/>
      <c r="C41" s="10"/>
      <c r="D41" s="10"/>
      <c r="E41" s="10"/>
      <c r="F41" s="10" t="s">
        <v>151</v>
      </c>
      <c r="G41" s="10"/>
      <c r="H41" s="10"/>
      <c r="I41" s="5"/>
    </row>
    <row r="42" spans="1:18" x14ac:dyDescent="0.25">
      <c r="A42" t="s">
        <v>182</v>
      </c>
      <c r="B42" s="5"/>
      <c r="C42" s="10"/>
      <c r="D42" s="10" t="s">
        <v>152</v>
      </c>
      <c r="F42" s="10">
        <f>(SUMIFS('Data(FAO-AQUASTAT)'!$B$5:$B$19,'Data(FAO-AQUASTAT)'!$F$5:$F$19,0)+SUMIFS('Data(FAO-AQUASTAT)'!$B$5:$B$19,'Data(FAO-AQUASTAT)'!$F$5:$F$19,1))/(SUM('Data(perCrop)'!A:A)/Summary!C7)</f>
        <v>0.71602852095788572</v>
      </c>
      <c r="G42" s="10"/>
      <c r="H42" s="10"/>
      <c r="I42" s="5"/>
    </row>
    <row r="43" spans="1:18" x14ac:dyDescent="0.25">
      <c r="A43" s="10" t="s">
        <v>151</v>
      </c>
      <c r="B43">
        <v>2018</v>
      </c>
      <c r="C43" s="6"/>
      <c r="D43" s="6"/>
      <c r="F43" s="6">
        <f>IF(F$42&lt;0.5,NA(),SUMIFS('Data(FAO-AQUASTAT)'!$B$5:$B$19,'Data(FAO-AQUASTAT)'!$F$5:$F$19,0)/(SUMIFS('Data(FAO-AQUASTAT)'!$B$5:$B$19,'Data(FAO-AQUASTAT)'!$F$5:$F$19,0)+SUMIFS('Data(FAO-AQUASTAT)'!$B$5:$B$19,'Data(FAO-AQUASTAT)'!$F$5:$F$19,1)))</f>
        <v>7.4714177801528919E-2</v>
      </c>
      <c r="G43" s="6"/>
      <c r="H43" s="6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B44">
        <v>2019</v>
      </c>
      <c r="C44" s="6"/>
      <c r="D44" s="6"/>
      <c r="F44" s="6">
        <f>IF(F$42&lt;0.5,NA(),SUMIFS('Data(FAO-AQUASTAT)'!$B$5:$B$19,'Data(FAO-AQUASTAT)'!$F$5:$F$19,0)/(SUMIFS('Data(FAO-AQUASTAT)'!$B$5:$B$19,'Data(FAO-AQUASTAT)'!$F$5:$F$19,0)+SUMIFS('Data(FAO-AQUASTAT)'!$B$5:$B$19,'Data(FAO-AQUASTAT)'!$F$5:$F$19,1)))</f>
        <v>7.4714177801528919E-2</v>
      </c>
      <c r="G44" s="6"/>
      <c r="H44" s="6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B45">
        <v>2020</v>
      </c>
      <c r="C45" s="6"/>
      <c r="D45" s="6"/>
      <c r="F45" s="6">
        <f>IF(F$42&lt;0.5,NA(),SUMIFS('Data(FAO-AQUASTAT)'!$B$5:$B$19,'Data(FAO-AQUASTAT)'!$F$5:$F$19,0)/(SUMIFS('Data(FAO-AQUASTAT)'!$B$5:$B$19,'Data(FAO-AQUASTAT)'!$F$5:$F$19,0)+SUMIFS('Data(FAO-AQUASTAT)'!$B$5:$B$19,'Data(FAO-AQUASTAT)'!$F$5:$F$19,1)))</f>
        <v>7.4714177801528919E-2</v>
      </c>
      <c r="G45" s="6"/>
      <c r="H45" s="6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B46">
        <v>2021</v>
      </c>
      <c r="C46" s="6"/>
      <c r="D46" s="6"/>
      <c r="F46" s="6">
        <f>IF(F$42&lt;0.5,NA(),SUMIFS('Data(FAO-AQUASTAT)'!$B$5:$B$19,'Data(FAO-AQUASTAT)'!$F$5:$F$19,0)/(SUMIFS('Data(FAO-AQUASTAT)'!$B$5:$B$19,'Data(FAO-AQUASTAT)'!$F$5:$F$19,0)+SUMIFS('Data(FAO-AQUASTAT)'!$B$5:$B$19,'Data(FAO-AQUASTAT)'!$F$5:$F$19,1)))</f>
        <v>7.4714177801528919E-2</v>
      </c>
      <c r="G46" s="6"/>
      <c r="H46" s="6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B47">
        <v>2022</v>
      </c>
      <c r="C47" s="6"/>
      <c r="D47" s="6"/>
      <c r="F47" s="6">
        <f>IF(F$42&lt;0.5,NA(),SUMIFS('Data(FAO-AQUASTAT)'!$B$5:$B$19,'Data(FAO-AQUASTAT)'!$F$5:$F$19,0)/(SUMIFS('Data(FAO-AQUASTAT)'!$B$5:$B$19,'Data(FAO-AQUASTAT)'!$F$5:$F$19,0)+SUMIFS('Data(FAO-AQUASTAT)'!$B$5:$B$19,'Data(FAO-AQUASTAT)'!$F$5:$F$19,1)))</f>
        <v>7.4714177801528919E-2</v>
      </c>
      <c r="G47" s="6"/>
      <c r="H47" s="6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B48" s="5" t="s">
        <v>66</v>
      </c>
      <c r="C48" s="10"/>
      <c r="D48" s="10"/>
      <c r="F48" s="10">
        <f t="shared" ref="F48" si="34">AVERAGE(F43:F47)</f>
        <v>7.4714177801528919E-2</v>
      </c>
      <c r="G48" s="10"/>
      <c r="H48" s="10"/>
      <c r="I48" s="5"/>
    </row>
    <row r="49" spans="1:111" ht="18.75" x14ac:dyDescent="0.3">
      <c r="A49" s="28" t="s">
        <v>5</v>
      </c>
      <c r="B49">
        <v>2018</v>
      </c>
      <c r="F49" s="8">
        <f>IF(COUNTIFS('Data(perSeason,perCrop)'!$S:$S,Indicators!$B49)&gt;0,SUMPRODUCT(K$5:R$5,K8:R8)/SUM(K8:R8),"")</f>
        <v>1.1966769676020432</v>
      </c>
      <c r="G49" s="8"/>
      <c r="J49" s="2" t="s">
        <v>98</v>
      </c>
      <c r="K49" s="35">
        <f t="shared" ref="K49:R53" si="35">K15*K$5/$C$5</f>
        <v>6.9279166320188584E-3</v>
      </c>
      <c r="L49" s="35">
        <f t="shared" si="35"/>
        <v>0</v>
      </c>
      <c r="M49" s="35">
        <f t="shared" si="35"/>
        <v>0</v>
      </c>
      <c r="N49" s="35">
        <f t="shared" si="35"/>
        <v>3.9061698326330344E-2</v>
      </c>
      <c r="O49" s="35">
        <f t="shared" si="35"/>
        <v>0.37213582850272348</v>
      </c>
      <c r="P49" s="35">
        <f t="shared" si="35"/>
        <v>0</v>
      </c>
      <c r="Q49" s="35">
        <f t="shared" si="35"/>
        <v>0.25515225216989462</v>
      </c>
      <c r="R49" s="35">
        <f t="shared" si="35"/>
        <v>0</v>
      </c>
    </row>
    <row r="50" spans="1:111" x14ac:dyDescent="0.25">
      <c r="B50">
        <v>2019</v>
      </c>
      <c r="F50" s="8">
        <f>IF(COUNTIFS('Data(perSeason,perCrop)'!$S:$S,Indicators!$B50)&gt;0,SUMPRODUCT(K$5:R$5,K9:R9)/SUM(K9:R9),"")</f>
        <v>1.3875279826442546</v>
      </c>
      <c r="G50" s="8"/>
      <c r="J50" s="2" t="s">
        <v>98</v>
      </c>
      <c r="K50" s="35">
        <f t="shared" si="35"/>
        <v>8.7861353557776682E-3</v>
      </c>
      <c r="L50" s="35">
        <f t="shared" si="35"/>
        <v>5.6754810754448253E-3</v>
      </c>
      <c r="M50" s="35">
        <f t="shared" si="35"/>
        <v>1.8719146931724759E-2</v>
      </c>
      <c r="N50" s="35">
        <f t="shared" si="35"/>
        <v>0.17570583307294049</v>
      </c>
      <c r="O50" s="35">
        <f t="shared" si="35"/>
        <v>0.14572359917532182</v>
      </c>
      <c r="P50" s="35">
        <f t="shared" si="35"/>
        <v>4.6616516114635562E-3</v>
      </c>
      <c r="Q50" s="35">
        <f t="shared" si="35"/>
        <v>0.53357954352945824</v>
      </c>
      <c r="R50" s="35">
        <f t="shared" si="35"/>
        <v>4.5665772987850894E-4</v>
      </c>
    </row>
    <row r="51" spans="1:111" x14ac:dyDescent="0.25">
      <c r="B51">
        <v>2020</v>
      </c>
      <c r="F51" s="8">
        <f>IF(COUNTIFS('Data(perSeason,perCrop)'!$S:$S,Indicators!$B51)&gt;0,SUMPRODUCT(K$5:R$5,K10:R10)/SUM(K10:R10),"")</f>
        <v>1.2222107485714213</v>
      </c>
      <c r="G51" s="8"/>
      <c r="J51" s="2" t="s">
        <v>98</v>
      </c>
      <c r="K51" s="35">
        <f t="shared" si="35"/>
        <v>2.9359115836326811E-3</v>
      </c>
      <c r="L51" s="35">
        <f t="shared" si="35"/>
        <v>1.8136299686577215E-3</v>
      </c>
      <c r="M51" s="35">
        <f t="shared" si="35"/>
        <v>1.1779254000172906E-3</v>
      </c>
      <c r="N51" s="35">
        <f t="shared" si="35"/>
        <v>1.4538909992012792E-2</v>
      </c>
      <c r="O51" s="35">
        <f t="shared" si="35"/>
        <v>0.22202587874119473</v>
      </c>
      <c r="P51" s="35">
        <f t="shared" si="35"/>
        <v>0</v>
      </c>
      <c r="Q51" s="35">
        <f t="shared" si="35"/>
        <v>0.24939820483863973</v>
      </c>
      <c r="R51" s="35">
        <f t="shared" si="35"/>
        <v>0</v>
      </c>
    </row>
    <row r="52" spans="1:111" x14ac:dyDescent="0.25">
      <c r="B52">
        <v>2021</v>
      </c>
      <c r="F52" s="8">
        <f>IF(COUNTIFS('Data(perSeason,perCrop)'!$S:$S,Indicators!$B52)&gt;0,SUMPRODUCT(K$5:R$5,K11:R11)/SUM(K11:R11),"")</f>
        <v>1.252047184140777</v>
      </c>
      <c r="G52" s="8"/>
      <c r="J52" s="2" t="s">
        <v>98</v>
      </c>
      <c r="K52" s="35">
        <f t="shared" si="35"/>
        <v>7.8091624066347533E-3</v>
      </c>
      <c r="L52" s="35">
        <f t="shared" si="35"/>
        <v>1.665153954575029E-3</v>
      </c>
      <c r="M52" s="35">
        <f t="shared" si="35"/>
        <v>1.9464946953129199E-3</v>
      </c>
      <c r="N52" s="35">
        <f t="shared" si="35"/>
        <v>3.2523921448345858E-2</v>
      </c>
      <c r="O52" s="35">
        <f t="shared" si="35"/>
        <v>0.23464881582241259</v>
      </c>
      <c r="P52" s="35">
        <f t="shared" si="35"/>
        <v>1.9431047471437487E-3</v>
      </c>
      <c r="Q52" s="35">
        <f t="shared" si="35"/>
        <v>0.24238513433564482</v>
      </c>
      <c r="R52" s="35">
        <f t="shared" si="35"/>
        <v>0</v>
      </c>
    </row>
    <row r="53" spans="1:111" x14ac:dyDescent="0.25">
      <c r="B53">
        <v>2022</v>
      </c>
      <c r="F53" s="8">
        <f>IF(COUNTIFS('Data(perSeason,perCrop)'!$S:$S,Indicators!$B53)&gt;0,SUMPRODUCT(K$5:R$5,K12:R12)/SUM(K12:R12),"")</f>
        <v>1.3313008645386386</v>
      </c>
      <c r="G53" s="8"/>
      <c r="J53" s="2" t="s">
        <v>98</v>
      </c>
      <c r="K53" s="35">
        <f t="shared" si="35"/>
        <v>0</v>
      </c>
      <c r="L53" s="35">
        <f t="shared" si="35"/>
        <v>0</v>
      </c>
      <c r="M53" s="35">
        <f t="shared" si="35"/>
        <v>0</v>
      </c>
      <c r="N53" s="35">
        <f t="shared" si="35"/>
        <v>3.4580652316388981E-2</v>
      </c>
      <c r="O53" s="35">
        <f t="shared" si="35"/>
        <v>0.27701503263830457</v>
      </c>
      <c r="P53" s="35">
        <f t="shared" si="35"/>
        <v>0</v>
      </c>
      <c r="Q53" s="35">
        <f t="shared" si="35"/>
        <v>0.4710776088596863</v>
      </c>
      <c r="R53" s="35">
        <f t="shared" si="35"/>
        <v>0</v>
      </c>
    </row>
    <row r="54" spans="1:111" x14ac:dyDescent="0.25">
      <c r="B54" s="5" t="s">
        <v>66</v>
      </c>
      <c r="C54" s="5"/>
      <c r="D54" s="5"/>
      <c r="E54" s="5"/>
      <c r="F54" s="11">
        <f>AVERAGE(F49:F53)</f>
        <v>1.2779527494994269</v>
      </c>
      <c r="G54" s="11"/>
      <c r="H54" s="5"/>
      <c r="I54" s="5"/>
    </row>
    <row r="55" spans="1:111" x14ac:dyDescent="0.25">
      <c r="B55" s="5"/>
      <c r="C55" s="5"/>
      <c r="D55" s="5" t="s">
        <v>118</v>
      </c>
      <c r="E55" s="5"/>
      <c r="F55" s="11" t="s">
        <v>5</v>
      </c>
      <c r="G55" s="11"/>
      <c r="H55" s="5"/>
      <c r="I55" s="5"/>
      <c r="K55" s="35"/>
      <c r="L55" s="35"/>
      <c r="M55" s="35"/>
      <c r="N55" s="35"/>
      <c r="O55" s="35"/>
      <c r="P55" s="35"/>
      <c r="Q55" s="35"/>
      <c r="R55" s="35"/>
    </row>
    <row r="56" spans="1:111" ht="18.75" x14ac:dyDescent="0.3">
      <c r="A56" s="12" t="s">
        <v>203</v>
      </c>
      <c r="B56">
        <v>2018</v>
      </c>
      <c r="C56" s="5"/>
      <c r="D56" s="36">
        <f>IF(COUNTIFS('Data(perSeason,perCrop)'!$S:$S,Indicators!$B56)&gt;0,SUM(K49:R49),"")</f>
        <v>0.67327769563096729</v>
      </c>
      <c r="E56" s="25">
        <f>IF(COUNTIFS('Data(perSeason,perCrop)'!$S:$S,Indicators!$B56)&gt;0,F56*F$5,"")</f>
        <v>14113.712496747326</v>
      </c>
      <c r="F56" s="36">
        <f>IF(COUNTIFS('Data(perSeason,perCrop)'!$S:$S,Indicators!$B56)&gt;0,SUM(K56:R56),"")</f>
        <v>0.81695487941348266</v>
      </c>
      <c r="G56" s="36"/>
      <c r="J56" s="2" t="s">
        <v>98</v>
      </c>
      <c r="K56" s="35">
        <f>K8*K$5/$C$5</f>
        <v>8.1822035031510996E-3</v>
      </c>
      <c r="L56" s="35">
        <f t="shared" ref="L56:R56" si="36">L8*L$5/$C$5</f>
        <v>0</v>
      </c>
      <c r="M56" s="35">
        <f t="shared" si="36"/>
        <v>0</v>
      </c>
      <c r="N56" s="35">
        <f t="shared" si="36"/>
        <v>4.6125794692675741E-2</v>
      </c>
      <c r="O56" s="35">
        <f t="shared" si="36"/>
        <v>0.50229177231191657</v>
      </c>
      <c r="P56" s="35">
        <f t="shared" si="36"/>
        <v>0</v>
      </c>
      <c r="Q56" s="35">
        <f t="shared" si="36"/>
        <v>0.26035510890573921</v>
      </c>
      <c r="R56" s="35">
        <f t="shared" si="36"/>
        <v>0</v>
      </c>
    </row>
    <row r="57" spans="1:111" x14ac:dyDescent="0.25">
      <c r="B57">
        <v>2019</v>
      </c>
      <c r="C57" s="5"/>
      <c r="D57" s="36">
        <f>IF(COUNTIFS('Data(perSeason,perCrop)'!$S:$S,Indicators!$B57)&gt;0,SUM(K50:R50),"")</f>
        <v>0.89330804848200984</v>
      </c>
      <c r="E57" s="25">
        <f>IF(COUNTIFS('Data(perSeason,perCrop)'!$S:$S,Indicators!$B57)&gt;0,F57*F$5,"")</f>
        <v>18876.777743794588</v>
      </c>
      <c r="F57" s="36">
        <f>IF(COUNTIFS('Data(perSeason,perCrop)'!$S:$S,Indicators!$B57)&gt;0,SUM(K57:R57),"")</f>
        <v>1.0926590497681516</v>
      </c>
      <c r="G57" s="36"/>
      <c r="J57" s="2" t="s">
        <v>98</v>
      </c>
      <c r="K57" s="35">
        <f t="shared" ref="K57:R60" si="37">K9*K$5/$C$5</f>
        <v>1.3738178056301852E-2</v>
      </c>
      <c r="L57" s="35">
        <f t="shared" si="37"/>
        <v>5.6754810754448253E-3</v>
      </c>
      <c r="M57" s="35">
        <f t="shared" si="37"/>
        <v>1.8719146931724759E-2</v>
      </c>
      <c r="N57" s="35">
        <f t="shared" si="37"/>
        <v>0.21847669579798223</v>
      </c>
      <c r="O57" s="35">
        <f t="shared" si="37"/>
        <v>0.26265786481451264</v>
      </c>
      <c r="P57" s="35">
        <f t="shared" si="37"/>
        <v>6.9617197117614665E-3</v>
      </c>
      <c r="Q57" s="35">
        <f t="shared" si="37"/>
        <v>0.56597330565054527</v>
      </c>
      <c r="R57" s="35">
        <f t="shared" si="37"/>
        <v>4.5665772987850894E-4</v>
      </c>
    </row>
    <row r="58" spans="1:111" x14ac:dyDescent="0.25">
      <c r="B58">
        <v>2020</v>
      </c>
      <c r="C58" s="5"/>
      <c r="D58" s="36">
        <f>IF(COUNTIFS('Data(perSeason,perCrop)'!$S:$S,Indicators!$B58)&gt;0,SUM(K51:R51),"")</f>
        <v>0.49189046052415497</v>
      </c>
      <c r="E58" s="25">
        <f>IF(COUNTIFS('Data(perSeason,perCrop)'!$S:$S,Indicators!$B58)&gt;0,F58*F$5,"")</f>
        <v>12903.399230071465</v>
      </c>
      <c r="F58" s="36">
        <f>IF(COUNTIFS('Data(perSeason,perCrop)'!$S:$S,Indicators!$B58)&gt;0,SUM(K58:R58),"")</f>
        <v>0.74689738539427331</v>
      </c>
      <c r="G58" s="36"/>
      <c r="J58" s="2" t="s">
        <v>98</v>
      </c>
      <c r="K58" s="35">
        <f t="shared" si="37"/>
        <v>6.899494601797812E-3</v>
      </c>
      <c r="L58" s="35">
        <f t="shared" si="37"/>
        <v>1.8136299686577215E-3</v>
      </c>
      <c r="M58" s="35">
        <f t="shared" si="37"/>
        <v>1.1779254000172906E-3</v>
      </c>
      <c r="N58" s="35">
        <f t="shared" si="37"/>
        <v>1.776672789506788E-2</v>
      </c>
      <c r="O58" s="35">
        <f t="shared" si="37"/>
        <v>0.45717059089941653</v>
      </c>
      <c r="P58" s="35">
        <f t="shared" si="37"/>
        <v>7.651326752465791E-4</v>
      </c>
      <c r="Q58" s="35">
        <f t="shared" si="37"/>
        <v>0.26130388395406956</v>
      </c>
      <c r="R58" s="35">
        <f t="shared" si="37"/>
        <v>0</v>
      </c>
    </row>
    <row r="59" spans="1:111" x14ac:dyDescent="0.25">
      <c r="B59">
        <v>2021</v>
      </c>
      <c r="C59" s="5"/>
      <c r="D59" s="36">
        <f>IF(COUNTIFS('Data(perSeason,perCrop)'!$S:$S,Indicators!$B59)&gt;0,SUM(K52:R52),"")</f>
        <v>0.52292178741006978</v>
      </c>
      <c r="E59" s="25">
        <f>IF(COUNTIFS('Data(perSeason,perCrop)'!$S:$S,Indicators!$B59)&gt;0,F59*F$5,"")</f>
        <v>11297.386255238638</v>
      </c>
      <c r="F59" s="36">
        <f>IF(COUNTIFS('Data(perSeason,perCrop)'!$S:$S,Indicators!$B59)&gt;0,SUM(K59:R59),"")</f>
        <v>0.65393530071999528</v>
      </c>
      <c r="G59" s="36"/>
      <c r="J59" s="2" t="s">
        <v>98</v>
      </c>
      <c r="K59" s="35">
        <f t="shared" si="37"/>
        <v>1.3259051642116567E-2</v>
      </c>
      <c r="L59" s="35">
        <f t="shared" si="37"/>
        <v>1.665153954575029E-3</v>
      </c>
      <c r="M59" s="35">
        <f t="shared" si="37"/>
        <v>1.9464946953129199E-3</v>
      </c>
      <c r="N59" s="35">
        <f t="shared" si="37"/>
        <v>3.7566387553235679E-2</v>
      </c>
      <c r="O59" s="35">
        <f t="shared" si="37"/>
        <v>0.3489814734768934</v>
      </c>
      <c r="P59" s="35">
        <f t="shared" si="37"/>
        <v>4.7513835215467291E-3</v>
      </c>
      <c r="Q59" s="35">
        <f t="shared" si="37"/>
        <v>0.24576535587631496</v>
      </c>
      <c r="R59" s="35">
        <f t="shared" si="37"/>
        <v>0</v>
      </c>
    </row>
    <row r="60" spans="1:111" x14ac:dyDescent="0.25">
      <c r="B60">
        <v>2022</v>
      </c>
      <c r="C60" s="5"/>
      <c r="D60" s="36">
        <f>IF(COUNTIFS('Data(perSeason,perCrop)'!$S:$S,Indicators!$B60)&gt;0,SUM(K53:R53),"")</f>
        <v>0.78267329381437989</v>
      </c>
      <c r="E60" s="25">
        <f>IF(COUNTIFS('Data(perSeason,perCrop)'!$S:$S,Indicators!$B60)&gt;0,F60*F$5,"")</f>
        <v>17736.658681183439</v>
      </c>
      <c r="F60" s="36">
        <f>IF(COUNTIFS('Data(perSeason,perCrop)'!$S:$S,Indicators!$B60)&gt;0,SUM(K60:R60),"")</f>
        <v>1.0266646608696133</v>
      </c>
      <c r="G60" s="36"/>
      <c r="J60" s="2" t="s">
        <v>98</v>
      </c>
      <c r="K60" s="35">
        <f t="shared" si="37"/>
        <v>1.3417187660239754E-3</v>
      </c>
      <c r="L60" s="35">
        <f t="shared" si="37"/>
        <v>0</v>
      </c>
      <c r="M60" s="35">
        <f t="shared" si="37"/>
        <v>0</v>
      </c>
      <c r="N60" s="35">
        <f t="shared" si="37"/>
        <v>4.1038259751019969E-2</v>
      </c>
      <c r="O60" s="35">
        <f t="shared" si="37"/>
        <v>0.47464515142903557</v>
      </c>
      <c r="P60" s="35">
        <f t="shared" si="37"/>
        <v>0</v>
      </c>
      <c r="Q60" s="35">
        <f t="shared" si="37"/>
        <v>0.50963953092353376</v>
      </c>
      <c r="R60" s="35">
        <f t="shared" si="37"/>
        <v>0</v>
      </c>
    </row>
    <row r="61" spans="1:111" x14ac:dyDescent="0.25">
      <c r="B61" s="5" t="s">
        <v>66</v>
      </c>
      <c r="D61" s="11">
        <f>AVERAGE(D56:D60)</f>
        <v>0.67281425717231635</v>
      </c>
      <c r="E61" s="25">
        <f t="shared" ref="E61" si="38">F61*F$5</f>
        <v>14985.586881407091</v>
      </c>
      <c r="F61" s="11">
        <f>AVERAGE(F56:F60)</f>
        <v>0.86742225523310323</v>
      </c>
      <c r="G61" s="11"/>
      <c r="I61" s="5"/>
    </row>
    <row r="62" spans="1:111" ht="18.75" x14ac:dyDescent="0.3">
      <c r="A62" s="12" t="s">
        <v>0</v>
      </c>
      <c r="B62">
        <v>2018</v>
      </c>
      <c r="C62" s="80">
        <f>IF(COUNTIFS('Data(perSeason,perCrop)'!$S:$S,Indicators!$B62)&gt;0,SUMPRODUCT(S15:AW15,S62:AW62)/SUM(S15:AW15),"")</f>
        <v>0.15703752066370233</v>
      </c>
      <c r="D62" s="80">
        <f>IF(COUNTIFS('Data(perSeason,perCrop)'!$S:$S,Indicators!$B62)&gt;0,SUMPRODUCT(AX15:CB15,AX62:CB62)/SUM(AX15:CB15),"")</f>
        <v>0.16901737861988364</v>
      </c>
      <c r="E62" s="80">
        <f>IF(COUNTIFS('Data(perSeason,perCrop)'!$S:$S,Indicators!$B62)&gt;0,SUMPRODUCT(CC15:DG15,CC62:DG62)/SUM(CC15:DG15),"")</f>
        <v>0.15284159473815748</v>
      </c>
      <c r="F62" s="80">
        <f>IF(COUNTIFS('Data(perSeason,perCrop)'!$S:$S,Indicators!$B62)&gt;0,'Indicators(perCrop)'!V$38,"")</f>
        <v>0.23802652079640416</v>
      </c>
      <c r="G62" s="8"/>
      <c r="H62" s="8"/>
      <c r="J62" s="2" t="s">
        <v>98</v>
      </c>
      <c r="K62" s="8">
        <f>IF(K15&gt;0,1-AVERAGEIFS('Data(perSeason,perCrop)'!$E:$E,'Data(perSeason,perCrop)'!$S:$S,Indicators!$B62,'Data(perSeason,perCrop)'!$O:$O,0,'Data(perSeason,perCrop)'!$C:$C,Indicators!K$3,'Data(perSeason,perCrop)'!$R:$R,"IRRIGATED")/AVERAGEIFS('Data(perSeason,perCrop)'!$F:$F,'Data(perSeason,perCrop)'!$S:$S,Indicators!$B62,'Data(perSeason,perCrop)'!$O:$O,0,'Data(perSeason,perCrop)'!$C:$C,Indicators!K$3,'Data(perSeason,perCrop)'!$R:$R,"IRRIGATED"),"")</f>
        <v>0.15033557046979862</v>
      </c>
      <c r="L62" s="8" t="str">
        <f>IF(L15&gt;0,1-AVERAGEIFS('Data(perSeason,perCrop)'!$E:$E,'Data(perSeason,perCrop)'!$S:$S,Indicators!$B62,'Data(perSeason,perCrop)'!$O:$O,0,'Data(perSeason,perCrop)'!$C:$C,Indicators!L$3,'Data(perSeason,perCrop)'!$R:$R,"IRRIGATED")/AVERAGEIFS('Data(perSeason,perCrop)'!$F:$F,'Data(perSeason,perCrop)'!$S:$S,Indicators!$B62,'Data(perSeason,perCrop)'!$O:$O,0,'Data(perSeason,perCrop)'!$C:$C,Indicators!L$3,'Data(perSeason,perCrop)'!$R:$R,"IRRIGATED"),"")</f>
        <v/>
      </c>
      <c r="M62" s="8" t="str">
        <f>IF(M15&gt;0,1-AVERAGEIFS('Data(perSeason,perCrop)'!$E:$E,'Data(perSeason,perCrop)'!$S:$S,Indicators!$B62,'Data(perSeason,perCrop)'!$O:$O,0,'Data(perSeason,perCrop)'!$C:$C,Indicators!M$3,'Data(perSeason,perCrop)'!$R:$R,"IRRIGATED")/AVERAGEIFS('Data(perSeason,perCrop)'!$F:$F,'Data(perSeason,perCrop)'!$S:$S,Indicators!$B62,'Data(perSeason,perCrop)'!$O:$O,0,'Data(perSeason,perCrop)'!$C:$C,Indicators!M$3,'Data(perSeason,perCrop)'!$R:$R,"IRRIGATED"),"")</f>
        <v/>
      </c>
      <c r="N62" s="8">
        <f>IF(N15&gt;0,1-AVERAGEIFS('Data(perSeason,perCrop)'!$E:$E,'Data(perSeason,perCrop)'!$S:$S,Indicators!$B62,'Data(perSeason,perCrop)'!$O:$O,0,'Data(perSeason,perCrop)'!$C:$C,Indicators!N$3,'Data(perSeason,perCrop)'!$R:$R,"IRRIGATED")/AVERAGEIFS('Data(perSeason,perCrop)'!$F:$F,'Data(perSeason,perCrop)'!$S:$S,Indicators!$B62,'Data(perSeason,perCrop)'!$O:$O,0,'Data(perSeason,perCrop)'!$C:$C,Indicators!N$3,'Data(perSeason,perCrop)'!$R:$R,"IRRIGATED"),"")</f>
        <v>0.13032581453634084</v>
      </c>
      <c r="O62" s="8">
        <f>IF(O15&gt;0,1-AVERAGEIFS('Data(perSeason,perCrop)'!$E:$E,'Data(perSeason,perCrop)'!$S:$S,Indicators!$B62,'Data(perSeason,perCrop)'!$O:$O,0,'Data(perSeason,perCrop)'!$C:$C,Indicators!O$3,'Data(perSeason,perCrop)'!$R:$R,"IRRIGATED")/AVERAGEIFS('Data(perSeason,perCrop)'!$F:$F,'Data(perSeason,perCrop)'!$S:$S,Indicators!$B62,'Data(perSeason,perCrop)'!$O:$O,0,'Data(perSeason,perCrop)'!$C:$C,Indicators!O$3,'Data(perSeason,perCrop)'!$R:$R,"IRRIGATED"),"")</f>
        <v>0.13438045375218155</v>
      </c>
      <c r="P62" s="8" t="str">
        <f>IF(P15&gt;0,1-AVERAGEIFS('Data(perSeason,perCrop)'!$E:$E,'Data(perSeason,perCrop)'!$S:$S,Indicators!$B62,'Data(perSeason,perCrop)'!$O:$O,0,'Data(perSeason,perCrop)'!$C:$C,Indicators!P$3,'Data(perSeason,perCrop)'!$R:$R,"IRRIGATED")/AVERAGEIFS('Data(perSeason,perCrop)'!$F:$F,'Data(perSeason,perCrop)'!$S:$S,Indicators!$B62,'Data(perSeason,perCrop)'!$O:$O,0,'Data(perSeason,perCrop)'!$C:$C,Indicators!P$3,'Data(perSeason,perCrop)'!$R:$R,"IRRIGATED"),"")</f>
        <v/>
      </c>
      <c r="Q62" s="8">
        <f>IF(Q15&gt;0,1-AVERAGEIFS('Data(perSeason,perCrop)'!$E:$E,'Data(perSeason,perCrop)'!$S:$S,Indicators!$B62,'Data(perSeason,perCrop)'!$O:$O,0,'Data(perSeason,perCrop)'!$C:$C,Indicators!Q$3,'Data(perSeason,perCrop)'!$R:$R,"IRRIGATED")/AVERAGEIFS('Data(perSeason,perCrop)'!$F:$F,'Data(perSeason,perCrop)'!$S:$S,Indicators!$B62,'Data(perSeason,perCrop)'!$O:$O,0,'Data(perSeason,perCrop)'!$C:$C,Indicators!Q$3,'Data(perSeason,perCrop)'!$R:$R,"IRRIGATED"),"")</f>
        <v>0.13821138211382111</v>
      </c>
      <c r="R62" s="8" t="str">
        <f>IF(R15&gt;0,1-AVERAGEIFS('Data(perSeason,perCrop)'!$E:$E,'Data(perSeason,perCrop)'!$S:$S,Indicators!$B62,'Data(perSeason,perCrop)'!$O:$O,0,'Data(perSeason,perCrop)'!$C:$C,Indicators!R$3,'Data(perSeason,perCrop)'!$R:$R,"IRRIGATED")/AVERAGEIFS('Data(perSeason,perCrop)'!$F:$F,'Data(perSeason,perCrop)'!$S:$S,Indicators!$B62,'Data(perSeason,perCrop)'!$O:$O,0,'Data(perSeason,perCrop)'!$C:$C,Indicators!R$3,'Data(perSeason,perCrop)'!$R:$R,"IRRIGATED"),"")</f>
        <v/>
      </c>
      <c r="S62" s="65" t="str">
        <f>IF(S15&gt;0,1-AVERAGEIFS('Data(perSeason,perCrop)'!$E:$E,'Data(perSeason,perCrop)'!$S:$S,Indicators!$B62,'Data(perSeason,perCrop)'!$O:$O,S$7,'Data(perSeason,perCrop)'!$C:$C,Indicators!S$3,'Data(perSeason,perCrop)'!$R:$R,"IRRIGATED")/AVERAGEIFS('Data(perSeason,perCrop)'!$F:$F,'Data(perSeason,perCrop)'!$S:$S,Indicators!$B62,'Data(perSeason,perCrop)'!$O:$O,S$7,'Data(perSeason,perCrop)'!$C:$C,Indicators!S$3,'Data(perSeason,perCrop)'!$R:$R,"IRRIGATED"),"")</f>
        <v/>
      </c>
      <c r="T62" s="65">
        <f>IF(T15&gt;0,1-AVERAGEIFS('Data(perSeason,perCrop)'!$E:$E,'Data(perSeason,perCrop)'!$S:$S,Indicators!$B62,'Data(perSeason,perCrop)'!$O:$O,T$7,'Data(perSeason,perCrop)'!$C:$C,Indicators!T$3,'Data(perSeason,perCrop)'!$R:$R,"IRRIGATED")/AVERAGEIFS('Data(perSeason,perCrop)'!$F:$F,'Data(perSeason,perCrop)'!$S:$S,Indicators!$B62,'Data(perSeason,perCrop)'!$O:$O,T$7,'Data(perSeason,perCrop)'!$C:$C,Indicators!T$3,'Data(perSeason,perCrop)'!$R:$R,"IRRIGATED"),"")</f>
        <v>0.16473988439306353</v>
      </c>
      <c r="U62" s="65" t="str">
        <f>IF(U15&gt;0,1-AVERAGEIFS('Data(perSeason,perCrop)'!$E:$E,'Data(perSeason,perCrop)'!$S:$S,Indicators!$B62,'Data(perSeason,perCrop)'!$O:$O,U$7,'Data(perSeason,perCrop)'!$C:$C,Indicators!U$3,'Data(perSeason,perCrop)'!$R:$R,"IRRIGATED")/AVERAGEIFS('Data(perSeason,perCrop)'!$F:$F,'Data(perSeason,perCrop)'!$S:$S,Indicators!$B62,'Data(perSeason,perCrop)'!$O:$O,U$7,'Data(perSeason,perCrop)'!$C:$C,Indicators!U$3,'Data(perSeason,perCrop)'!$R:$R,"IRRIGATED"),"")</f>
        <v/>
      </c>
      <c r="V62" s="65" t="str">
        <f>IF(V15&gt;0,1-AVERAGEIFS('Data(perSeason,perCrop)'!$E:$E,'Data(perSeason,perCrop)'!$S:$S,Indicators!$B62,'Data(perSeason,perCrop)'!$O:$O,V$7,'Data(perSeason,perCrop)'!$C:$C,Indicators!V$3,'Data(perSeason,perCrop)'!$R:$R,"IRRIGATED")/AVERAGEIFS('Data(perSeason,perCrop)'!$F:$F,'Data(perSeason,perCrop)'!$S:$S,Indicators!$B62,'Data(perSeason,perCrop)'!$O:$O,V$7,'Data(perSeason,perCrop)'!$C:$C,Indicators!V$3,'Data(perSeason,perCrop)'!$R:$R,"IRRIGATED"),"")</f>
        <v/>
      </c>
      <c r="W62" s="65" t="str">
        <f>IF(W15&gt;0,1-AVERAGEIFS('Data(perSeason,perCrop)'!$E:$E,'Data(perSeason,perCrop)'!$S:$S,Indicators!$B62,'Data(perSeason,perCrop)'!$O:$O,W$7,'Data(perSeason,perCrop)'!$C:$C,Indicators!W$3,'Data(perSeason,perCrop)'!$R:$R,"IRRIGATED")/AVERAGEIFS('Data(perSeason,perCrop)'!$F:$F,'Data(perSeason,perCrop)'!$S:$S,Indicators!$B62,'Data(perSeason,perCrop)'!$O:$O,W$7,'Data(perSeason,perCrop)'!$C:$C,Indicators!W$3,'Data(perSeason,perCrop)'!$R:$R,"IRRIGATED"),"")</f>
        <v/>
      </c>
      <c r="X62" s="65" t="str">
        <f>IF(X15&gt;0,1-AVERAGEIFS('Data(perSeason,perCrop)'!$E:$E,'Data(perSeason,perCrop)'!$S:$S,Indicators!$B62,'Data(perSeason,perCrop)'!$O:$O,X$7,'Data(perSeason,perCrop)'!$C:$C,Indicators!X$3,'Data(perSeason,perCrop)'!$R:$R,"IRRIGATED")/AVERAGEIFS('Data(perSeason,perCrop)'!$F:$F,'Data(perSeason,perCrop)'!$S:$S,Indicators!$B62,'Data(perSeason,perCrop)'!$O:$O,X$7,'Data(perSeason,perCrop)'!$C:$C,Indicators!X$3,'Data(perSeason,perCrop)'!$R:$R,"IRRIGATED"),"")</f>
        <v/>
      </c>
      <c r="Y62" s="65" t="str">
        <f>IF(Y15&gt;0,1-AVERAGEIFS('Data(perSeason,perCrop)'!$E:$E,'Data(perSeason,perCrop)'!$S:$S,Indicators!$B62,'Data(perSeason,perCrop)'!$O:$O,Y$7,'Data(perSeason,perCrop)'!$C:$C,Indicators!Y$3,'Data(perSeason,perCrop)'!$R:$R,"IRRIGATED")/AVERAGEIFS('Data(perSeason,perCrop)'!$F:$F,'Data(perSeason,perCrop)'!$S:$S,Indicators!$B62,'Data(perSeason,perCrop)'!$O:$O,Y$7,'Data(perSeason,perCrop)'!$C:$C,Indicators!Y$3,'Data(perSeason,perCrop)'!$R:$R,"IRRIGATED"),"")</f>
        <v/>
      </c>
      <c r="Z62" s="65" t="str">
        <f>IF(Z15&gt;0,1-AVERAGEIFS('Data(perSeason,perCrop)'!$E:$E,'Data(perSeason,perCrop)'!$S:$S,Indicators!$B62,'Data(perSeason,perCrop)'!$O:$O,Z$7,'Data(perSeason,perCrop)'!$C:$C,Indicators!Z$3,'Data(perSeason,perCrop)'!$R:$R,"IRRIGATED")/AVERAGEIFS('Data(perSeason,perCrop)'!$F:$F,'Data(perSeason,perCrop)'!$S:$S,Indicators!$B62,'Data(perSeason,perCrop)'!$O:$O,Z$7,'Data(perSeason,perCrop)'!$C:$C,Indicators!Z$3,'Data(perSeason,perCrop)'!$R:$R,"IRRIGATED"),"")</f>
        <v/>
      </c>
      <c r="AA62" s="65" t="str">
        <f>IF(AA15&gt;0,1-AVERAGEIFS('Data(perSeason,perCrop)'!$E:$E,'Data(perSeason,perCrop)'!$S:$S,Indicators!$B62,'Data(perSeason,perCrop)'!$O:$O,AA$7,'Data(perSeason,perCrop)'!$C:$C,Indicators!AA$3,'Data(perSeason,perCrop)'!$R:$R,"IRRIGATED")/AVERAGEIFS('Data(perSeason,perCrop)'!$F:$F,'Data(perSeason,perCrop)'!$S:$S,Indicators!$B62,'Data(perSeason,perCrop)'!$O:$O,AA$7,'Data(perSeason,perCrop)'!$C:$C,Indicators!AA$3,'Data(perSeason,perCrop)'!$R:$R,"IRRIGATED"),"")</f>
        <v/>
      </c>
      <c r="AB62" s="65" t="str">
        <f>IF(AB15&gt;0,1-AVERAGEIFS('Data(perSeason,perCrop)'!$E:$E,'Data(perSeason,perCrop)'!$S:$S,Indicators!$B62,'Data(perSeason,perCrop)'!$O:$O,AB$7,'Data(perSeason,perCrop)'!$C:$C,Indicators!AB$3,'Data(perSeason,perCrop)'!$R:$R,"IRRIGATED")/AVERAGEIFS('Data(perSeason,perCrop)'!$F:$F,'Data(perSeason,perCrop)'!$S:$S,Indicators!$B62,'Data(perSeason,perCrop)'!$O:$O,AB$7,'Data(perSeason,perCrop)'!$C:$C,Indicators!AB$3,'Data(perSeason,perCrop)'!$R:$R,"IRRIGATED"),"")</f>
        <v/>
      </c>
      <c r="AC62" s="65" t="str">
        <f>IF(AC15&gt;0,1-AVERAGEIFS('Data(perSeason,perCrop)'!$E:$E,'Data(perSeason,perCrop)'!$S:$S,Indicators!$B62,'Data(perSeason,perCrop)'!$O:$O,AC$7,'Data(perSeason,perCrop)'!$C:$C,Indicators!AC$3,'Data(perSeason,perCrop)'!$R:$R,"IRRIGATED")/AVERAGEIFS('Data(perSeason,perCrop)'!$F:$F,'Data(perSeason,perCrop)'!$S:$S,Indicators!$B62,'Data(perSeason,perCrop)'!$O:$O,AC$7,'Data(perSeason,perCrop)'!$C:$C,Indicators!AC$3,'Data(perSeason,perCrop)'!$R:$R,"IRRIGATED"),"")</f>
        <v/>
      </c>
      <c r="AD62" s="65" t="str">
        <f>IF(AD15&gt;0,1-AVERAGEIFS('Data(perSeason,perCrop)'!$E:$E,'Data(perSeason,perCrop)'!$S:$S,Indicators!$B62,'Data(perSeason,perCrop)'!$O:$O,AD$7,'Data(perSeason,perCrop)'!$C:$C,Indicators!AD$3,'Data(perSeason,perCrop)'!$R:$R,"IRRIGATED")/AVERAGEIFS('Data(perSeason,perCrop)'!$F:$F,'Data(perSeason,perCrop)'!$S:$S,Indicators!$B62,'Data(perSeason,perCrop)'!$O:$O,AD$7,'Data(perSeason,perCrop)'!$C:$C,Indicators!AD$3,'Data(perSeason,perCrop)'!$R:$R,"IRRIGATED"),"")</f>
        <v/>
      </c>
      <c r="AE62" s="65" t="str">
        <f>IF(AE15&gt;0,1-AVERAGEIFS('Data(perSeason,perCrop)'!$E:$E,'Data(perSeason,perCrop)'!$S:$S,Indicators!$B62,'Data(perSeason,perCrop)'!$O:$O,AE$7,'Data(perSeason,perCrop)'!$C:$C,Indicators!AE$3,'Data(perSeason,perCrop)'!$R:$R,"IRRIGATED")/AVERAGEIFS('Data(perSeason,perCrop)'!$F:$F,'Data(perSeason,perCrop)'!$S:$S,Indicators!$B62,'Data(perSeason,perCrop)'!$O:$O,AE$7,'Data(perSeason,perCrop)'!$C:$C,Indicators!AE$3,'Data(perSeason,perCrop)'!$R:$R,"IRRIGATED"),"")</f>
        <v/>
      </c>
      <c r="AF62" s="65">
        <f>IF(AF15&gt;0,1-AVERAGEIFS('Data(perSeason,perCrop)'!$E:$E,'Data(perSeason,perCrop)'!$S:$S,Indicators!$B62,'Data(perSeason,perCrop)'!$O:$O,AF$7,'Data(perSeason,perCrop)'!$C:$C,Indicators!AF$3,'Data(perSeason,perCrop)'!$R:$R,"IRRIGATED")/AVERAGEIFS('Data(perSeason,perCrop)'!$F:$F,'Data(perSeason,perCrop)'!$S:$S,Indicators!$B62,'Data(perSeason,perCrop)'!$O:$O,AF$7,'Data(perSeason,perCrop)'!$C:$C,Indicators!AF$3,'Data(perSeason,perCrop)'!$R:$R,"IRRIGATED"),"")</f>
        <v>9.5238095238095233E-2</v>
      </c>
      <c r="AG62" s="65">
        <f>IF(AG15&gt;0,1-AVERAGEIFS('Data(perSeason,perCrop)'!$E:$E,'Data(perSeason,perCrop)'!$S:$S,Indicators!$B62,'Data(perSeason,perCrop)'!$O:$O,AG$7,'Data(perSeason,perCrop)'!$C:$C,Indicators!AG$3,'Data(perSeason,perCrop)'!$R:$R,"IRRIGATED")/AVERAGEIFS('Data(perSeason,perCrop)'!$F:$F,'Data(perSeason,perCrop)'!$S:$S,Indicators!$B62,'Data(perSeason,perCrop)'!$O:$O,AG$7,'Data(perSeason,perCrop)'!$C:$C,Indicators!AG$3,'Data(perSeason,perCrop)'!$R:$R,"IRRIGATED"),"")</f>
        <v>8.2802547770700619E-2</v>
      </c>
      <c r="AH62" s="65" t="str">
        <f>IF(AH15&gt;0,1-AVERAGEIFS('Data(perSeason,perCrop)'!$E:$E,'Data(perSeason,perCrop)'!$S:$S,Indicators!$B62,'Data(perSeason,perCrop)'!$O:$O,AH$7,'Data(perSeason,perCrop)'!$C:$C,Indicators!AH$3,'Data(perSeason,perCrop)'!$R:$R,"IRRIGATED")/AVERAGEIFS('Data(perSeason,perCrop)'!$F:$F,'Data(perSeason,perCrop)'!$S:$S,Indicators!$B62,'Data(perSeason,perCrop)'!$O:$O,AH$7,'Data(perSeason,perCrop)'!$C:$C,Indicators!AH$3,'Data(perSeason,perCrop)'!$R:$R,"IRRIGATED"),"")</f>
        <v/>
      </c>
      <c r="AI62" s="65">
        <f>IF(AI15&gt;0,1-AVERAGEIFS('Data(perSeason,perCrop)'!$E:$E,'Data(perSeason,perCrop)'!$S:$S,Indicators!$B62,'Data(perSeason,perCrop)'!$O:$O,AI$7,'Data(perSeason,perCrop)'!$C:$C,Indicators!AI$3,'Data(perSeason,perCrop)'!$R:$R,"IRRIGATED")/AVERAGEIFS('Data(perSeason,perCrop)'!$F:$F,'Data(perSeason,perCrop)'!$S:$S,Indicators!$B62,'Data(perSeason,perCrop)'!$O:$O,AI$7,'Data(perSeason,perCrop)'!$C:$C,Indicators!AI$3,'Data(perSeason,perCrop)'!$R:$R,"IRRIGATED"),"")</f>
        <v>0.16569767441860461</v>
      </c>
      <c r="AJ62" s="65" t="str">
        <f>IF(AJ15&gt;0,1-AVERAGEIFS('Data(perSeason,perCrop)'!$E:$E,'Data(perSeason,perCrop)'!$S:$S,Indicators!$B62,'Data(perSeason,perCrop)'!$O:$O,AJ$7,'Data(perSeason,perCrop)'!$C:$C,Indicators!AJ$3,'Data(perSeason,perCrop)'!$R:$R,"IRRIGATED")/AVERAGEIFS('Data(perSeason,perCrop)'!$F:$F,'Data(perSeason,perCrop)'!$S:$S,Indicators!$B62,'Data(perSeason,perCrop)'!$O:$O,AJ$7,'Data(perSeason,perCrop)'!$C:$C,Indicators!AJ$3,'Data(perSeason,perCrop)'!$R:$R,"IRRIGATED"),"")</f>
        <v/>
      </c>
      <c r="AK62" s="65" t="str">
        <f>IF(AK15&gt;0,1-AVERAGEIFS('Data(perSeason,perCrop)'!$E:$E,'Data(perSeason,perCrop)'!$S:$S,Indicators!$B62,'Data(perSeason,perCrop)'!$O:$O,AK$7,'Data(perSeason,perCrop)'!$C:$C,Indicators!AK$3,'Data(perSeason,perCrop)'!$R:$R,"IRRIGATED")/AVERAGEIFS('Data(perSeason,perCrop)'!$F:$F,'Data(perSeason,perCrop)'!$S:$S,Indicators!$B62,'Data(perSeason,perCrop)'!$O:$O,AK$7,'Data(perSeason,perCrop)'!$C:$C,Indicators!AK$3,'Data(perSeason,perCrop)'!$R:$R,"IRRIGATED"),"")</f>
        <v/>
      </c>
      <c r="AL62" s="65">
        <f>IF(AL15&gt;0,1-AVERAGEIFS('Data(perSeason,perCrop)'!$E:$E,'Data(perSeason,perCrop)'!$S:$S,Indicators!$B62,'Data(perSeason,perCrop)'!$O:$O,AL$7,'Data(perSeason,perCrop)'!$C:$C,Indicators!AL$3,'Data(perSeason,perCrop)'!$R:$R,"IRRIGATED")/AVERAGEIFS('Data(perSeason,perCrop)'!$F:$F,'Data(perSeason,perCrop)'!$S:$S,Indicators!$B62,'Data(perSeason,perCrop)'!$O:$O,AL$7,'Data(perSeason,perCrop)'!$C:$C,Indicators!AL$3,'Data(perSeason,perCrop)'!$R:$R,"IRRIGATED"),"")</f>
        <v>0.15642458100558654</v>
      </c>
      <c r="AM62" s="65" t="str">
        <f>IF(AM15&gt;0,1-AVERAGEIFS('Data(perSeason,perCrop)'!$E:$E,'Data(perSeason,perCrop)'!$S:$S,Indicators!$B62,'Data(perSeason,perCrop)'!$O:$O,AM$7,'Data(perSeason,perCrop)'!$C:$C,Indicators!AM$3,'Data(perSeason,perCrop)'!$R:$R,"IRRIGATED")/AVERAGEIFS('Data(perSeason,perCrop)'!$F:$F,'Data(perSeason,perCrop)'!$S:$S,Indicators!$B62,'Data(perSeason,perCrop)'!$O:$O,AM$7,'Data(perSeason,perCrop)'!$C:$C,Indicators!AM$3,'Data(perSeason,perCrop)'!$R:$R,"IRRIGATED"),"")</f>
        <v/>
      </c>
      <c r="AN62" s="65" t="str">
        <f>IF(AN15&gt;0,1-AVERAGEIFS('Data(perSeason,perCrop)'!$E:$E,'Data(perSeason,perCrop)'!$S:$S,Indicators!$B62,'Data(perSeason,perCrop)'!$O:$O,AN$7,'Data(perSeason,perCrop)'!$C:$C,Indicators!AN$3,'Data(perSeason,perCrop)'!$R:$R,"IRRIGATED")/AVERAGEIFS('Data(perSeason,perCrop)'!$F:$F,'Data(perSeason,perCrop)'!$S:$S,Indicators!$B62,'Data(perSeason,perCrop)'!$O:$O,AN$7,'Data(perSeason,perCrop)'!$C:$C,Indicators!AN$3,'Data(perSeason,perCrop)'!$R:$R,"IRRIGATED"),"")</f>
        <v/>
      </c>
      <c r="AO62" s="65" t="str">
        <f>IF(AO15&gt;0,1-AVERAGEIFS('Data(perSeason,perCrop)'!$E:$E,'Data(perSeason,perCrop)'!$S:$S,Indicators!$B62,'Data(perSeason,perCrop)'!$O:$O,AO$7,'Data(perSeason,perCrop)'!$C:$C,Indicators!AO$3,'Data(perSeason,perCrop)'!$R:$R,"IRRIGATED")/AVERAGEIFS('Data(perSeason,perCrop)'!$F:$F,'Data(perSeason,perCrop)'!$S:$S,Indicators!$B62,'Data(perSeason,perCrop)'!$O:$O,AO$7,'Data(perSeason,perCrop)'!$C:$C,Indicators!AO$3,'Data(perSeason,perCrop)'!$R:$R,"IRRIGATED"),"")</f>
        <v/>
      </c>
      <c r="AP62" s="65" t="str">
        <f>IF(AP15&gt;0,1-AVERAGEIFS('Data(perSeason,perCrop)'!$E:$E,'Data(perSeason,perCrop)'!$S:$S,Indicators!$B62,'Data(perSeason,perCrop)'!$O:$O,AP$7,'Data(perSeason,perCrop)'!$C:$C,Indicators!AP$3,'Data(perSeason,perCrop)'!$R:$R,"IRRIGATED")/AVERAGEIFS('Data(perSeason,perCrop)'!$F:$F,'Data(perSeason,perCrop)'!$S:$S,Indicators!$B62,'Data(perSeason,perCrop)'!$O:$O,AP$7,'Data(perSeason,perCrop)'!$C:$C,Indicators!AP$3,'Data(perSeason,perCrop)'!$R:$R,"IRRIGATED"),"")</f>
        <v/>
      </c>
      <c r="AQ62" s="65" t="str">
        <f>IF(AQ15&gt;0,1-AVERAGEIFS('Data(perSeason,perCrop)'!$E:$E,'Data(perSeason,perCrop)'!$S:$S,Indicators!$B62,'Data(perSeason,perCrop)'!$O:$O,AQ$7,'Data(perSeason,perCrop)'!$C:$C,Indicators!AQ$3,'Data(perSeason,perCrop)'!$R:$R,"IRRIGATED")/AVERAGEIFS('Data(perSeason,perCrop)'!$F:$F,'Data(perSeason,perCrop)'!$S:$S,Indicators!$B62,'Data(perSeason,perCrop)'!$O:$O,AQ$7,'Data(perSeason,perCrop)'!$C:$C,Indicators!AQ$3,'Data(perSeason,perCrop)'!$R:$R,"IRRIGATED"),"")</f>
        <v/>
      </c>
      <c r="AR62" s="65" t="str">
        <f>IF(AR15&gt;0,1-AVERAGEIFS('Data(perSeason,perCrop)'!$E:$E,'Data(perSeason,perCrop)'!$S:$S,Indicators!$B62,'Data(perSeason,perCrop)'!$O:$O,AR$7,'Data(perSeason,perCrop)'!$C:$C,Indicators!AR$3,'Data(perSeason,perCrop)'!$R:$R,"IRRIGATED")/AVERAGEIFS('Data(perSeason,perCrop)'!$F:$F,'Data(perSeason,perCrop)'!$S:$S,Indicators!$B62,'Data(perSeason,perCrop)'!$O:$O,AR$7,'Data(perSeason,perCrop)'!$C:$C,Indicators!AR$3,'Data(perSeason,perCrop)'!$R:$R,"IRRIGATED"),"")</f>
        <v/>
      </c>
      <c r="AS62" s="65" t="str">
        <f>IF(AS15&gt;0,1-AVERAGEIFS('Data(perSeason,perCrop)'!$E:$E,'Data(perSeason,perCrop)'!$S:$S,Indicators!$B62,'Data(perSeason,perCrop)'!$O:$O,AS$7,'Data(perSeason,perCrop)'!$C:$C,Indicators!AS$3,'Data(perSeason,perCrop)'!$R:$R,"IRRIGATED")/AVERAGEIFS('Data(perSeason,perCrop)'!$F:$F,'Data(perSeason,perCrop)'!$S:$S,Indicators!$B62,'Data(perSeason,perCrop)'!$O:$O,AS$7,'Data(perSeason,perCrop)'!$C:$C,Indicators!AS$3,'Data(perSeason,perCrop)'!$R:$R,"IRRIGATED"),"")</f>
        <v/>
      </c>
      <c r="AT62" s="65" t="str">
        <f>IF(AT15&gt;0,1-AVERAGEIFS('Data(perSeason,perCrop)'!$E:$E,'Data(perSeason,perCrop)'!$S:$S,Indicators!$B62,'Data(perSeason,perCrop)'!$O:$O,AT$7,'Data(perSeason,perCrop)'!$C:$C,Indicators!AT$3,'Data(perSeason,perCrop)'!$R:$R,"IRRIGATED")/AVERAGEIFS('Data(perSeason,perCrop)'!$F:$F,'Data(perSeason,perCrop)'!$S:$S,Indicators!$B62,'Data(perSeason,perCrop)'!$O:$O,AT$7,'Data(perSeason,perCrop)'!$C:$C,Indicators!AT$3,'Data(perSeason,perCrop)'!$R:$R,"IRRIGATED"),"")</f>
        <v/>
      </c>
      <c r="AU62" s="65" t="str">
        <f>IF(AU15&gt;0,1-AVERAGEIFS('Data(perSeason,perCrop)'!$E:$E,'Data(perSeason,perCrop)'!$S:$S,Indicators!$B62,'Data(perSeason,perCrop)'!$O:$O,AU$7,'Data(perSeason,perCrop)'!$C:$C,Indicators!AU$3,'Data(perSeason,perCrop)'!$R:$R,"IRRIGATED")/AVERAGEIFS('Data(perSeason,perCrop)'!$F:$F,'Data(perSeason,perCrop)'!$S:$S,Indicators!$B62,'Data(perSeason,perCrop)'!$O:$O,AU$7,'Data(perSeason,perCrop)'!$C:$C,Indicators!AU$3,'Data(perSeason,perCrop)'!$R:$R,"IRRIGATED"),"")</f>
        <v/>
      </c>
      <c r="AV62" s="65" t="str">
        <f>IF(AV15&gt;0,1-AVERAGEIFS('Data(perSeason,perCrop)'!$E:$E,'Data(perSeason,perCrop)'!$S:$S,Indicators!$B62,'Data(perSeason,perCrop)'!$O:$O,AV$7,'Data(perSeason,perCrop)'!$C:$C,Indicators!AV$3,'Data(perSeason,perCrop)'!$R:$R,"IRRIGATED")/AVERAGEIFS('Data(perSeason,perCrop)'!$F:$F,'Data(perSeason,perCrop)'!$S:$S,Indicators!$B62,'Data(perSeason,perCrop)'!$O:$O,AV$7,'Data(perSeason,perCrop)'!$C:$C,Indicators!AV$3,'Data(perSeason,perCrop)'!$R:$R,"IRRIGATED"),"")</f>
        <v/>
      </c>
      <c r="AW62" s="65" t="str">
        <f>IF(AW15&gt;0,1-AVERAGEIFS('Data(perSeason,perCrop)'!$E:$E,'Data(perSeason,perCrop)'!$S:$S,Indicators!$B62,'Data(perSeason,perCrop)'!$O:$O,AW$7,'Data(perSeason,perCrop)'!$C:$C,Indicators!AW$3,'Data(perSeason,perCrop)'!$R:$R,"IRRIGATED")/AVERAGEIFS('Data(perSeason,perCrop)'!$F:$F,'Data(perSeason,perCrop)'!$S:$S,Indicators!$B62,'Data(perSeason,perCrop)'!$O:$O,AW$7,'Data(perSeason,perCrop)'!$C:$C,Indicators!AW$3,'Data(perSeason,perCrop)'!$R:$R,"IRRIGATED"),"")</f>
        <v/>
      </c>
      <c r="AX62" s="8" t="str">
        <f>IF(AX15&gt;0,1-AVERAGEIFS('Data(perSeason,perCrop)'!$E:$E,'Data(perSeason,perCrop)'!$S:$S,Indicators!$B62,'Data(perSeason,perCrop)'!$O:$O,AX$7,'Data(perSeason,perCrop)'!$C:$C,Indicators!AX$3,'Data(perSeason,perCrop)'!$R:$R,"IRRIGATED")/AVERAGEIFS('Data(perSeason,perCrop)'!$F:$F,'Data(perSeason,perCrop)'!$S:$S,Indicators!$B62,'Data(perSeason,perCrop)'!$O:$O,AX$7,'Data(perSeason,perCrop)'!$C:$C,Indicators!AX$3,'Data(perSeason,perCrop)'!$R:$R,"IRRIGATED"),"")</f>
        <v/>
      </c>
      <c r="AY62" s="8">
        <f>IF(AY15&gt;0,1-AVERAGEIFS('Data(perSeason,perCrop)'!$E:$E,'Data(perSeason,perCrop)'!$S:$S,Indicators!$B62,'Data(perSeason,perCrop)'!$O:$O,AY$7,'Data(perSeason,perCrop)'!$C:$C,Indicators!AY$3,'Data(perSeason,perCrop)'!$R:$R,"IRRIGATED")/AVERAGEIFS('Data(perSeason,perCrop)'!$F:$F,'Data(perSeason,perCrop)'!$S:$S,Indicators!$B62,'Data(perSeason,perCrop)'!$O:$O,AY$7,'Data(perSeason,perCrop)'!$C:$C,Indicators!AY$3,'Data(perSeason,perCrop)'!$R:$R,"IRRIGATED"),"")</f>
        <v>0.16176470588235292</v>
      </c>
      <c r="AZ62" s="8" t="str">
        <f>IF(AZ15&gt;0,1-AVERAGEIFS('Data(perSeason,perCrop)'!$E:$E,'Data(perSeason,perCrop)'!$S:$S,Indicators!$B62,'Data(perSeason,perCrop)'!$O:$O,AZ$7,'Data(perSeason,perCrop)'!$C:$C,Indicators!AZ$3,'Data(perSeason,perCrop)'!$R:$R,"IRRIGATED")/AVERAGEIFS('Data(perSeason,perCrop)'!$F:$F,'Data(perSeason,perCrop)'!$S:$S,Indicators!$B62,'Data(perSeason,perCrop)'!$O:$O,AZ$7,'Data(perSeason,perCrop)'!$C:$C,Indicators!AZ$3,'Data(perSeason,perCrop)'!$R:$R,"IRRIGATED"),"")</f>
        <v/>
      </c>
      <c r="BA62" s="8" t="str">
        <f>IF(BA15&gt;0,1-AVERAGEIFS('Data(perSeason,perCrop)'!$E:$E,'Data(perSeason,perCrop)'!$S:$S,Indicators!$B62,'Data(perSeason,perCrop)'!$O:$O,BA$7,'Data(perSeason,perCrop)'!$C:$C,Indicators!BA$3,'Data(perSeason,perCrop)'!$R:$R,"IRRIGATED")/AVERAGEIFS('Data(perSeason,perCrop)'!$F:$F,'Data(perSeason,perCrop)'!$S:$S,Indicators!$B62,'Data(perSeason,perCrop)'!$O:$O,BA$7,'Data(perSeason,perCrop)'!$C:$C,Indicators!BA$3,'Data(perSeason,perCrop)'!$R:$R,"IRRIGATED"),"")</f>
        <v/>
      </c>
      <c r="BB62" s="8" t="str">
        <f>IF(BB15&gt;0,1-AVERAGEIFS('Data(perSeason,perCrop)'!$E:$E,'Data(perSeason,perCrop)'!$S:$S,Indicators!$B62,'Data(perSeason,perCrop)'!$O:$O,BB$7,'Data(perSeason,perCrop)'!$C:$C,Indicators!BB$3,'Data(perSeason,perCrop)'!$R:$R,"IRRIGATED")/AVERAGEIFS('Data(perSeason,perCrop)'!$F:$F,'Data(perSeason,perCrop)'!$S:$S,Indicators!$B62,'Data(perSeason,perCrop)'!$O:$O,BB$7,'Data(perSeason,perCrop)'!$C:$C,Indicators!BB$3,'Data(perSeason,perCrop)'!$R:$R,"IRRIGATED"),"")</f>
        <v/>
      </c>
      <c r="BC62" s="8" t="str">
        <f>IF(BC15&gt;0,1-AVERAGEIFS('Data(perSeason,perCrop)'!$E:$E,'Data(perSeason,perCrop)'!$S:$S,Indicators!$B62,'Data(perSeason,perCrop)'!$O:$O,BC$7,'Data(perSeason,perCrop)'!$C:$C,Indicators!BC$3,'Data(perSeason,perCrop)'!$R:$R,"IRRIGATED")/AVERAGEIFS('Data(perSeason,perCrop)'!$F:$F,'Data(perSeason,perCrop)'!$S:$S,Indicators!$B62,'Data(perSeason,perCrop)'!$O:$O,BC$7,'Data(perSeason,perCrop)'!$C:$C,Indicators!BC$3,'Data(perSeason,perCrop)'!$R:$R,"IRRIGATED"),"")</f>
        <v/>
      </c>
      <c r="BD62" s="8" t="str">
        <f>IF(BD15&gt;0,1-AVERAGEIFS('Data(perSeason,perCrop)'!$E:$E,'Data(perSeason,perCrop)'!$S:$S,Indicators!$B62,'Data(perSeason,perCrop)'!$O:$O,BD$7,'Data(perSeason,perCrop)'!$C:$C,Indicators!BD$3,'Data(perSeason,perCrop)'!$R:$R,"IRRIGATED")/AVERAGEIFS('Data(perSeason,perCrop)'!$F:$F,'Data(perSeason,perCrop)'!$S:$S,Indicators!$B62,'Data(perSeason,perCrop)'!$O:$O,BD$7,'Data(perSeason,perCrop)'!$C:$C,Indicators!BD$3,'Data(perSeason,perCrop)'!$R:$R,"IRRIGATED"),"")</f>
        <v/>
      </c>
      <c r="BE62" s="8" t="str">
        <f>IF(BE15&gt;0,1-AVERAGEIFS('Data(perSeason,perCrop)'!$E:$E,'Data(perSeason,perCrop)'!$S:$S,Indicators!$B62,'Data(perSeason,perCrop)'!$O:$O,BE$7,'Data(perSeason,perCrop)'!$C:$C,Indicators!BE$3,'Data(perSeason,perCrop)'!$R:$R,"IRRIGATED")/AVERAGEIFS('Data(perSeason,perCrop)'!$F:$F,'Data(perSeason,perCrop)'!$S:$S,Indicators!$B62,'Data(perSeason,perCrop)'!$O:$O,BE$7,'Data(perSeason,perCrop)'!$C:$C,Indicators!BE$3,'Data(perSeason,perCrop)'!$R:$R,"IRRIGATED"),"")</f>
        <v/>
      </c>
      <c r="BF62" s="8" t="str">
        <f>IF(BF15&gt;0,1-AVERAGEIFS('Data(perSeason,perCrop)'!$E:$E,'Data(perSeason,perCrop)'!$S:$S,Indicators!$B62,'Data(perSeason,perCrop)'!$O:$O,BF$7,'Data(perSeason,perCrop)'!$C:$C,Indicators!BF$3,'Data(perSeason,perCrop)'!$R:$R,"IRRIGATED")/AVERAGEIFS('Data(perSeason,perCrop)'!$F:$F,'Data(perSeason,perCrop)'!$S:$S,Indicators!$B62,'Data(perSeason,perCrop)'!$O:$O,BF$7,'Data(perSeason,perCrop)'!$C:$C,Indicators!BF$3,'Data(perSeason,perCrop)'!$R:$R,"IRRIGATED"),"")</f>
        <v/>
      </c>
      <c r="BG62" s="8" t="str">
        <f>IF(BG15&gt;0,1-AVERAGEIFS('Data(perSeason,perCrop)'!$E:$E,'Data(perSeason,perCrop)'!$S:$S,Indicators!$B62,'Data(perSeason,perCrop)'!$O:$O,BG$7,'Data(perSeason,perCrop)'!$C:$C,Indicators!BG$3,'Data(perSeason,perCrop)'!$R:$R,"IRRIGATED")/AVERAGEIFS('Data(perSeason,perCrop)'!$F:$F,'Data(perSeason,perCrop)'!$S:$S,Indicators!$B62,'Data(perSeason,perCrop)'!$O:$O,BG$7,'Data(perSeason,perCrop)'!$C:$C,Indicators!BG$3,'Data(perSeason,perCrop)'!$R:$R,"IRRIGATED"),"")</f>
        <v/>
      </c>
      <c r="BH62" s="8" t="str">
        <f>IF(BH15&gt;0,1-AVERAGEIFS('Data(perSeason,perCrop)'!$E:$E,'Data(perSeason,perCrop)'!$S:$S,Indicators!$B62,'Data(perSeason,perCrop)'!$O:$O,BH$7,'Data(perSeason,perCrop)'!$C:$C,Indicators!BH$3,'Data(perSeason,perCrop)'!$R:$R,"IRRIGATED")/AVERAGEIFS('Data(perSeason,perCrop)'!$F:$F,'Data(perSeason,perCrop)'!$S:$S,Indicators!$B62,'Data(perSeason,perCrop)'!$O:$O,BH$7,'Data(perSeason,perCrop)'!$C:$C,Indicators!BH$3,'Data(perSeason,perCrop)'!$R:$R,"IRRIGATED"),"")</f>
        <v/>
      </c>
      <c r="BI62" s="8" t="str">
        <f>IF(BI15&gt;0,1-AVERAGEIFS('Data(perSeason,perCrop)'!$E:$E,'Data(perSeason,perCrop)'!$S:$S,Indicators!$B62,'Data(perSeason,perCrop)'!$O:$O,BI$7,'Data(perSeason,perCrop)'!$C:$C,Indicators!BI$3,'Data(perSeason,perCrop)'!$R:$R,"IRRIGATED")/AVERAGEIFS('Data(perSeason,perCrop)'!$F:$F,'Data(perSeason,perCrop)'!$S:$S,Indicators!$B62,'Data(perSeason,perCrop)'!$O:$O,BI$7,'Data(perSeason,perCrop)'!$C:$C,Indicators!BI$3,'Data(perSeason,perCrop)'!$R:$R,"IRRIGATED"),"")</f>
        <v/>
      </c>
      <c r="BJ62" s="8" t="str">
        <f>IF(BJ15&gt;0,1-AVERAGEIFS('Data(perSeason,perCrop)'!$E:$E,'Data(perSeason,perCrop)'!$S:$S,Indicators!$B62,'Data(perSeason,perCrop)'!$O:$O,BJ$7,'Data(perSeason,perCrop)'!$C:$C,Indicators!BJ$3,'Data(perSeason,perCrop)'!$R:$R,"IRRIGATED")/AVERAGEIFS('Data(perSeason,perCrop)'!$F:$F,'Data(perSeason,perCrop)'!$S:$S,Indicators!$B62,'Data(perSeason,perCrop)'!$O:$O,BJ$7,'Data(perSeason,perCrop)'!$C:$C,Indicators!BJ$3,'Data(perSeason,perCrop)'!$R:$R,"IRRIGATED"),"")</f>
        <v/>
      </c>
      <c r="BK62" s="8" t="str">
        <f>IF(BK15&gt;0,1-AVERAGEIFS('Data(perSeason,perCrop)'!$E:$E,'Data(perSeason,perCrop)'!$S:$S,Indicators!$B62,'Data(perSeason,perCrop)'!$O:$O,BK$7,'Data(perSeason,perCrop)'!$C:$C,Indicators!BK$3,'Data(perSeason,perCrop)'!$R:$R,"IRRIGATED")/AVERAGEIFS('Data(perSeason,perCrop)'!$F:$F,'Data(perSeason,perCrop)'!$S:$S,Indicators!$B62,'Data(perSeason,perCrop)'!$O:$O,BK$7,'Data(perSeason,perCrop)'!$C:$C,Indicators!BK$3,'Data(perSeason,perCrop)'!$R:$R,"IRRIGATED"),"")</f>
        <v/>
      </c>
      <c r="BL62" s="8">
        <f>IF(BL15&gt;0,1-AVERAGEIFS('Data(perSeason,perCrop)'!$E:$E,'Data(perSeason,perCrop)'!$S:$S,Indicators!$B62,'Data(perSeason,perCrop)'!$O:$O,BL$7,'Data(perSeason,perCrop)'!$C:$C,Indicators!BL$3,'Data(perSeason,perCrop)'!$R:$R,"IRRIGATED")/AVERAGEIFS('Data(perSeason,perCrop)'!$F:$F,'Data(perSeason,perCrop)'!$S:$S,Indicators!$B62,'Data(perSeason,perCrop)'!$O:$O,BL$7,'Data(perSeason,perCrop)'!$C:$C,Indicators!BL$3,'Data(perSeason,perCrop)'!$R:$R,"IRRIGATED"),"")</f>
        <v>0.20486111111111116</v>
      </c>
      <c r="BM62" s="8" t="str">
        <f>IF(BM15&gt;0,1-AVERAGEIFS('Data(perSeason,perCrop)'!$E:$E,'Data(perSeason,perCrop)'!$S:$S,Indicators!$B62,'Data(perSeason,perCrop)'!$O:$O,BM$7,'Data(perSeason,perCrop)'!$C:$C,Indicators!BM$3,'Data(perSeason,perCrop)'!$R:$R,"IRRIGATED")/AVERAGEIFS('Data(perSeason,perCrop)'!$F:$F,'Data(perSeason,perCrop)'!$S:$S,Indicators!$B62,'Data(perSeason,perCrop)'!$O:$O,BM$7,'Data(perSeason,perCrop)'!$C:$C,Indicators!BM$3,'Data(perSeason,perCrop)'!$R:$R,"IRRIGATED"),"")</f>
        <v/>
      </c>
      <c r="BN62" s="8">
        <f>IF(BN15&gt;0,1-AVERAGEIFS('Data(perSeason,perCrop)'!$E:$E,'Data(perSeason,perCrop)'!$S:$S,Indicators!$B62,'Data(perSeason,perCrop)'!$O:$O,BN$7,'Data(perSeason,perCrop)'!$C:$C,Indicators!BN$3,'Data(perSeason,perCrop)'!$R:$R,"IRRIGATED")/AVERAGEIFS('Data(perSeason,perCrop)'!$F:$F,'Data(perSeason,perCrop)'!$S:$S,Indicators!$B62,'Data(perSeason,perCrop)'!$O:$O,BN$7,'Data(perSeason,perCrop)'!$C:$C,Indicators!BN$3,'Data(perSeason,perCrop)'!$R:$R,"IRRIGATED"),"")</f>
        <v>0.15267175572519087</v>
      </c>
      <c r="BO62" s="8" t="str">
        <f>IF(BO15&gt;0,1-AVERAGEIFS('Data(perSeason,perCrop)'!$E:$E,'Data(perSeason,perCrop)'!$S:$S,Indicators!$B62,'Data(perSeason,perCrop)'!$O:$O,BO$7,'Data(perSeason,perCrop)'!$C:$C,Indicators!BO$3,'Data(perSeason,perCrop)'!$R:$R,"IRRIGATED")/AVERAGEIFS('Data(perSeason,perCrop)'!$F:$F,'Data(perSeason,perCrop)'!$S:$S,Indicators!$B62,'Data(perSeason,perCrop)'!$O:$O,BO$7,'Data(perSeason,perCrop)'!$C:$C,Indicators!BO$3,'Data(perSeason,perCrop)'!$R:$R,"IRRIGATED"),"")</f>
        <v/>
      </c>
      <c r="BP62" s="8" t="str">
        <f>IF(BP15&gt;0,1-AVERAGEIFS('Data(perSeason,perCrop)'!$E:$E,'Data(perSeason,perCrop)'!$S:$S,Indicators!$B62,'Data(perSeason,perCrop)'!$O:$O,BP$7,'Data(perSeason,perCrop)'!$C:$C,Indicators!BP$3,'Data(perSeason,perCrop)'!$R:$R,"IRRIGATED")/AVERAGEIFS('Data(perSeason,perCrop)'!$F:$F,'Data(perSeason,perCrop)'!$S:$S,Indicators!$B62,'Data(perSeason,perCrop)'!$O:$O,BP$7,'Data(perSeason,perCrop)'!$C:$C,Indicators!BP$3,'Data(perSeason,perCrop)'!$R:$R,"IRRIGATED"),"")</f>
        <v/>
      </c>
      <c r="BQ62" s="8">
        <f>IF(BQ15&gt;0,1-AVERAGEIFS('Data(perSeason,perCrop)'!$E:$E,'Data(perSeason,perCrop)'!$S:$S,Indicators!$B62,'Data(perSeason,perCrop)'!$O:$O,BQ$7,'Data(perSeason,perCrop)'!$C:$C,Indicators!BQ$3,'Data(perSeason,perCrop)'!$R:$R,"IRRIGATED")/AVERAGEIFS('Data(perSeason,perCrop)'!$F:$F,'Data(perSeason,perCrop)'!$S:$S,Indicators!$B62,'Data(perSeason,perCrop)'!$O:$O,BQ$7,'Data(perSeason,perCrop)'!$C:$C,Indicators!BQ$3,'Data(perSeason,perCrop)'!$R:$R,"IRRIGATED"),"")</f>
        <v>0.21726190476190477</v>
      </c>
      <c r="BR62" s="8" t="str">
        <f>IF(BR15&gt;0,1-AVERAGEIFS('Data(perSeason,perCrop)'!$E:$E,'Data(perSeason,perCrop)'!$S:$S,Indicators!$B62,'Data(perSeason,perCrop)'!$O:$O,BR$7,'Data(perSeason,perCrop)'!$C:$C,Indicators!BR$3,'Data(perSeason,perCrop)'!$R:$R,"IRRIGATED")/AVERAGEIFS('Data(perSeason,perCrop)'!$F:$F,'Data(perSeason,perCrop)'!$S:$S,Indicators!$B62,'Data(perSeason,perCrop)'!$O:$O,BR$7,'Data(perSeason,perCrop)'!$C:$C,Indicators!BR$3,'Data(perSeason,perCrop)'!$R:$R,"IRRIGATED"),"")</f>
        <v/>
      </c>
      <c r="BS62" s="8" t="str">
        <f>IF(BS15&gt;0,1-AVERAGEIFS('Data(perSeason,perCrop)'!$E:$E,'Data(perSeason,perCrop)'!$S:$S,Indicators!$B62,'Data(perSeason,perCrop)'!$O:$O,BS$7,'Data(perSeason,perCrop)'!$C:$C,Indicators!BS$3,'Data(perSeason,perCrop)'!$R:$R,"IRRIGATED")/AVERAGEIFS('Data(perSeason,perCrop)'!$F:$F,'Data(perSeason,perCrop)'!$S:$S,Indicators!$B62,'Data(perSeason,perCrop)'!$O:$O,BS$7,'Data(perSeason,perCrop)'!$C:$C,Indicators!BS$3,'Data(perSeason,perCrop)'!$R:$R,"IRRIGATED"),"")</f>
        <v/>
      </c>
      <c r="BT62" s="8" t="str">
        <f>IF(BT15&gt;0,1-AVERAGEIFS('Data(perSeason,perCrop)'!$E:$E,'Data(perSeason,perCrop)'!$S:$S,Indicators!$B62,'Data(perSeason,perCrop)'!$O:$O,BT$7,'Data(perSeason,perCrop)'!$C:$C,Indicators!BT$3,'Data(perSeason,perCrop)'!$R:$R,"IRRIGATED")/AVERAGEIFS('Data(perSeason,perCrop)'!$F:$F,'Data(perSeason,perCrop)'!$S:$S,Indicators!$B62,'Data(perSeason,perCrop)'!$O:$O,BT$7,'Data(perSeason,perCrop)'!$C:$C,Indicators!BT$3,'Data(perSeason,perCrop)'!$R:$R,"IRRIGATED"),"")</f>
        <v/>
      </c>
      <c r="BU62" s="8" t="str">
        <f>IF(BU15&gt;0,1-AVERAGEIFS('Data(perSeason,perCrop)'!$E:$E,'Data(perSeason,perCrop)'!$S:$S,Indicators!$B62,'Data(perSeason,perCrop)'!$O:$O,BU$7,'Data(perSeason,perCrop)'!$C:$C,Indicators!BU$3,'Data(perSeason,perCrop)'!$R:$R,"IRRIGATED")/AVERAGEIFS('Data(perSeason,perCrop)'!$F:$F,'Data(perSeason,perCrop)'!$S:$S,Indicators!$B62,'Data(perSeason,perCrop)'!$O:$O,BU$7,'Data(perSeason,perCrop)'!$C:$C,Indicators!BU$3,'Data(perSeason,perCrop)'!$R:$R,"IRRIGATED"),"")</f>
        <v/>
      </c>
      <c r="BV62" s="8" t="str">
        <f>IF(BV15&gt;0,1-AVERAGEIFS('Data(perSeason,perCrop)'!$E:$E,'Data(perSeason,perCrop)'!$S:$S,Indicators!$B62,'Data(perSeason,perCrop)'!$O:$O,BV$7,'Data(perSeason,perCrop)'!$C:$C,Indicators!BV$3,'Data(perSeason,perCrop)'!$R:$R,"IRRIGATED")/AVERAGEIFS('Data(perSeason,perCrop)'!$F:$F,'Data(perSeason,perCrop)'!$S:$S,Indicators!$B62,'Data(perSeason,perCrop)'!$O:$O,BV$7,'Data(perSeason,perCrop)'!$C:$C,Indicators!BV$3,'Data(perSeason,perCrop)'!$R:$R,"IRRIGATED"),"")</f>
        <v/>
      </c>
      <c r="BW62" s="8" t="str">
        <f>IF(BW15&gt;0,1-AVERAGEIFS('Data(perSeason,perCrop)'!$E:$E,'Data(perSeason,perCrop)'!$S:$S,Indicators!$B62,'Data(perSeason,perCrop)'!$O:$O,BW$7,'Data(perSeason,perCrop)'!$C:$C,Indicators!BW$3,'Data(perSeason,perCrop)'!$R:$R,"IRRIGATED")/AVERAGEIFS('Data(perSeason,perCrop)'!$F:$F,'Data(perSeason,perCrop)'!$S:$S,Indicators!$B62,'Data(perSeason,perCrop)'!$O:$O,BW$7,'Data(perSeason,perCrop)'!$C:$C,Indicators!BW$3,'Data(perSeason,perCrop)'!$R:$R,"IRRIGATED"),"")</f>
        <v/>
      </c>
      <c r="BX62" s="8" t="str">
        <f>IF(BX15&gt;0,1-AVERAGEIFS('Data(perSeason,perCrop)'!$E:$E,'Data(perSeason,perCrop)'!$S:$S,Indicators!$B62,'Data(perSeason,perCrop)'!$O:$O,BX$7,'Data(perSeason,perCrop)'!$C:$C,Indicators!BX$3,'Data(perSeason,perCrop)'!$R:$R,"IRRIGATED")/AVERAGEIFS('Data(perSeason,perCrop)'!$F:$F,'Data(perSeason,perCrop)'!$S:$S,Indicators!$B62,'Data(perSeason,perCrop)'!$O:$O,BX$7,'Data(perSeason,perCrop)'!$C:$C,Indicators!BX$3,'Data(perSeason,perCrop)'!$R:$R,"IRRIGATED"),"")</f>
        <v/>
      </c>
      <c r="BY62" s="8" t="str">
        <f>IF(BY15&gt;0,1-AVERAGEIFS('Data(perSeason,perCrop)'!$E:$E,'Data(perSeason,perCrop)'!$S:$S,Indicators!$B62,'Data(perSeason,perCrop)'!$O:$O,BY$7,'Data(perSeason,perCrop)'!$C:$C,Indicators!BY$3,'Data(perSeason,perCrop)'!$R:$R,"IRRIGATED")/AVERAGEIFS('Data(perSeason,perCrop)'!$F:$F,'Data(perSeason,perCrop)'!$S:$S,Indicators!$B62,'Data(perSeason,perCrop)'!$O:$O,BY$7,'Data(perSeason,perCrop)'!$C:$C,Indicators!BY$3,'Data(perSeason,perCrop)'!$R:$R,"IRRIGATED"),"")</f>
        <v/>
      </c>
      <c r="BZ62" s="8" t="str">
        <f>IF(BZ15&gt;0,1-AVERAGEIFS('Data(perSeason,perCrop)'!$E:$E,'Data(perSeason,perCrop)'!$S:$S,Indicators!$B62,'Data(perSeason,perCrop)'!$O:$O,BZ$7,'Data(perSeason,perCrop)'!$C:$C,Indicators!BZ$3,'Data(perSeason,perCrop)'!$R:$R,"IRRIGATED")/AVERAGEIFS('Data(perSeason,perCrop)'!$F:$F,'Data(perSeason,perCrop)'!$S:$S,Indicators!$B62,'Data(perSeason,perCrop)'!$O:$O,BZ$7,'Data(perSeason,perCrop)'!$C:$C,Indicators!BZ$3,'Data(perSeason,perCrop)'!$R:$R,"IRRIGATED"),"")</f>
        <v/>
      </c>
      <c r="CA62" s="8" t="str">
        <f>IF(CA15&gt;0,1-AVERAGEIFS('Data(perSeason,perCrop)'!$E:$E,'Data(perSeason,perCrop)'!$S:$S,Indicators!$B62,'Data(perSeason,perCrop)'!$O:$O,CA$7,'Data(perSeason,perCrop)'!$C:$C,Indicators!CA$3,'Data(perSeason,perCrop)'!$R:$R,"IRRIGATED")/AVERAGEIFS('Data(perSeason,perCrop)'!$F:$F,'Data(perSeason,perCrop)'!$S:$S,Indicators!$B62,'Data(perSeason,perCrop)'!$O:$O,CA$7,'Data(perSeason,perCrop)'!$C:$C,Indicators!CA$3,'Data(perSeason,perCrop)'!$R:$R,"IRRIGATED"),"")</f>
        <v/>
      </c>
      <c r="CB62" s="8" t="str">
        <f>IF(CB15&gt;0,1-AVERAGEIFS('Data(perSeason,perCrop)'!$E:$E,'Data(perSeason,perCrop)'!$S:$S,Indicators!$B62,'Data(perSeason,perCrop)'!$O:$O,CB$7,'Data(perSeason,perCrop)'!$C:$C,Indicators!CB$3,'Data(perSeason,perCrop)'!$R:$R,"IRRIGATED")/AVERAGEIFS('Data(perSeason,perCrop)'!$F:$F,'Data(perSeason,perCrop)'!$S:$S,Indicators!$B62,'Data(perSeason,perCrop)'!$O:$O,CB$7,'Data(perSeason,perCrop)'!$C:$C,Indicators!CB$3,'Data(perSeason,perCrop)'!$R:$R,"IRRIGATED"),"")</f>
        <v/>
      </c>
      <c r="CC62" s="8" t="str">
        <f>IF(CC15&gt;0,1-AVERAGEIFS('Data(perSeason,perCrop)'!$E:$E,'Data(perSeason,perCrop)'!$S:$S,Indicators!$B62,'Data(perSeason,perCrop)'!$O:$O,CC$7,'Data(perSeason,perCrop)'!$C:$C,Indicators!CC$3,'Data(perSeason,perCrop)'!$R:$R,"IRRIGATED")/AVERAGEIFS('Data(perSeason,perCrop)'!$F:$F,'Data(perSeason,perCrop)'!$S:$S,Indicators!$B62,'Data(perSeason,perCrop)'!$O:$O,CC$7,'Data(perSeason,perCrop)'!$C:$C,Indicators!CC$3,'Data(perSeason,perCrop)'!$R:$R,"IRRIGATED"),"")</f>
        <v/>
      </c>
      <c r="CD62" s="8" t="str">
        <f>IF(CD15&gt;0,1-AVERAGEIFS('Data(perSeason,perCrop)'!$E:$E,'Data(perSeason,perCrop)'!$S:$S,Indicators!$B62,'Data(perSeason,perCrop)'!$O:$O,CD$7,'Data(perSeason,perCrop)'!$C:$C,Indicators!CD$3,'Data(perSeason,perCrop)'!$R:$R,"IRRIGATED")/AVERAGEIFS('Data(perSeason,perCrop)'!$F:$F,'Data(perSeason,perCrop)'!$S:$S,Indicators!$B62,'Data(perSeason,perCrop)'!$O:$O,CD$7,'Data(perSeason,perCrop)'!$C:$C,Indicators!CD$3,'Data(perSeason,perCrop)'!$R:$R,"IRRIGATED"),"")</f>
        <v/>
      </c>
      <c r="CE62" s="8" t="str">
        <f>IF(CE15&gt;0,1-AVERAGEIFS('Data(perSeason,perCrop)'!$E:$E,'Data(perSeason,perCrop)'!$S:$S,Indicators!$B62,'Data(perSeason,perCrop)'!$O:$O,CE$7,'Data(perSeason,perCrop)'!$C:$C,Indicators!CE$3,'Data(perSeason,perCrop)'!$R:$R,"IRRIGATED")/AVERAGEIFS('Data(perSeason,perCrop)'!$F:$F,'Data(perSeason,perCrop)'!$S:$S,Indicators!$B62,'Data(perSeason,perCrop)'!$O:$O,CE$7,'Data(perSeason,perCrop)'!$C:$C,Indicators!CE$3,'Data(perSeason,perCrop)'!$R:$R,"IRRIGATED"),"")</f>
        <v/>
      </c>
      <c r="CF62" s="8" t="str">
        <f>IF(CF15&gt;0,1-AVERAGEIFS('Data(perSeason,perCrop)'!$E:$E,'Data(perSeason,perCrop)'!$S:$S,Indicators!$B62,'Data(perSeason,perCrop)'!$O:$O,CF$7,'Data(perSeason,perCrop)'!$C:$C,Indicators!CF$3,'Data(perSeason,perCrop)'!$R:$R,"IRRIGATED")/AVERAGEIFS('Data(perSeason,perCrop)'!$F:$F,'Data(perSeason,perCrop)'!$S:$S,Indicators!$B62,'Data(perSeason,perCrop)'!$O:$O,CF$7,'Data(perSeason,perCrop)'!$C:$C,Indicators!CF$3,'Data(perSeason,perCrop)'!$R:$R,"IRRIGATED"),"")</f>
        <v/>
      </c>
      <c r="CG62" s="8" t="str">
        <f>IF(CG15&gt;0,1-AVERAGEIFS('Data(perSeason,perCrop)'!$E:$E,'Data(perSeason,perCrop)'!$S:$S,Indicators!$B62,'Data(perSeason,perCrop)'!$O:$O,CG$7,'Data(perSeason,perCrop)'!$C:$C,Indicators!CG$3,'Data(perSeason,perCrop)'!$R:$R,"IRRIGATED")/AVERAGEIFS('Data(perSeason,perCrop)'!$F:$F,'Data(perSeason,perCrop)'!$S:$S,Indicators!$B62,'Data(perSeason,perCrop)'!$O:$O,CG$7,'Data(perSeason,perCrop)'!$C:$C,Indicators!CG$3,'Data(perSeason,perCrop)'!$R:$R,"IRRIGATED"),"")</f>
        <v/>
      </c>
      <c r="CH62" s="8" t="str">
        <f>IF(CH15&gt;0,1-AVERAGEIFS('Data(perSeason,perCrop)'!$E:$E,'Data(perSeason,perCrop)'!$S:$S,Indicators!$B62,'Data(perSeason,perCrop)'!$O:$O,CH$7,'Data(perSeason,perCrop)'!$C:$C,Indicators!CH$3,'Data(perSeason,perCrop)'!$R:$R,"IRRIGATED")/AVERAGEIFS('Data(perSeason,perCrop)'!$F:$F,'Data(perSeason,perCrop)'!$S:$S,Indicators!$B62,'Data(perSeason,perCrop)'!$O:$O,CH$7,'Data(perSeason,perCrop)'!$C:$C,Indicators!CH$3,'Data(perSeason,perCrop)'!$R:$R,"IRRIGATED"),"")</f>
        <v/>
      </c>
      <c r="CI62" s="8" t="str">
        <f>IF(CI15&gt;0,1-AVERAGEIFS('Data(perSeason,perCrop)'!$E:$E,'Data(perSeason,perCrop)'!$S:$S,Indicators!$B62,'Data(perSeason,perCrop)'!$O:$O,CI$7,'Data(perSeason,perCrop)'!$C:$C,Indicators!CI$3,'Data(perSeason,perCrop)'!$R:$R,"IRRIGATED")/AVERAGEIFS('Data(perSeason,perCrop)'!$F:$F,'Data(perSeason,perCrop)'!$S:$S,Indicators!$B62,'Data(perSeason,perCrop)'!$O:$O,CI$7,'Data(perSeason,perCrop)'!$C:$C,Indicators!CI$3,'Data(perSeason,perCrop)'!$R:$R,"IRRIGATED"),"")</f>
        <v/>
      </c>
      <c r="CJ62" s="8" t="str">
        <f>IF(CJ15&gt;0,1-AVERAGEIFS('Data(perSeason,perCrop)'!$E:$E,'Data(perSeason,perCrop)'!$S:$S,Indicators!$B62,'Data(perSeason,perCrop)'!$O:$O,CJ$7,'Data(perSeason,perCrop)'!$C:$C,Indicators!CJ$3,'Data(perSeason,perCrop)'!$R:$R,"IRRIGATED")/AVERAGEIFS('Data(perSeason,perCrop)'!$F:$F,'Data(perSeason,perCrop)'!$S:$S,Indicators!$B62,'Data(perSeason,perCrop)'!$O:$O,CJ$7,'Data(perSeason,perCrop)'!$C:$C,Indicators!CJ$3,'Data(perSeason,perCrop)'!$R:$R,"IRRIGATED"),"")</f>
        <v/>
      </c>
      <c r="CK62" s="8" t="str">
        <f>IF(CK15&gt;0,1-AVERAGEIFS('Data(perSeason,perCrop)'!$E:$E,'Data(perSeason,perCrop)'!$S:$S,Indicators!$B62,'Data(perSeason,perCrop)'!$O:$O,CK$7,'Data(perSeason,perCrop)'!$C:$C,Indicators!CK$3,'Data(perSeason,perCrop)'!$R:$R,"IRRIGATED")/AVERAGEIFS('Data(perSeason,perCrop)'!$F:$F,'Data(perSeason,perCrop)'!$S:$S,Indicators!$B62,'Data(perSeason,perCrop)'!$O:$O,CK$7,'Data(perSeason,perCrop)'!$C:$C,Indicators!CK$3,'Data(perSeason,perCrop)'!$R:$R,"IRRIGATED"),"")</f>
        <v/>
      </c>
      <c r="CL62" s="8" t="str">
        <f>IF(CL15&gt;0,1-AVERAGEIFS('Data(perSeason,perCrop)'!$E:$E,'Data(perSeason,perCrop)'!$S:$S,Indicators!$B62,'Data(perSeason,perCrop)'!$O:$O,CL$7,'Data(perSeason,perCrop)'!$C:$C,Indicators!CL$3,'Data(perSeason,perCrop)'!$R:$R,"IRRIGATED")/AVERAGEIFS('Data(perSeason,perCrop)'!$F:$F,'Data(perSeason,perCrop)'!$S:$S,Indicators!$B62,'Data(perSeason,perCrop)'!$O:$O,CL$7,'Data(perSeason,perCrop)'!$C:$C,Indicators!CL$3,'Data(perSeason,perCrop)'!$R:$R,"IRRIGATED"),"")</f>
        <v/>
      </c>
      <c r="CM62" s="8" t="str">
        <f>IF(CM15&gt;0,1-AVERAGEIFS('Data(perSeason,perCrop)'!$E:$E,'Data(perSeason,perCrop)'!$S:$S,Indicators!$B62,'Data(perSeason,perCrop)'!$O:$O,CM$7,'Data(perSeason,perCrop)'!$C:$C,Indicators!CM$3,'Data(perSeason,perCrop)'!$R:$R,"IRRIGATED")/AVERAGEIFS('Data(perSeason,perCrop)'!$F:$F,'Data(perSeason,perCrop)'!$S:$S,Indicators!$B62,'Data(perSeason,perCrop)'!$O:$O,CM$7,'Data(perSeason,perCrop)'!$C:$C,Indicators!CM$3,'Data(perSeason,perCrop)'!$R:$R,"IRRIGATED"),"")</f>
        <v/>
      </c>
      <c r="CN62" s="8" t="str">
        <f>IF(CN15&gt;0,1-AVERAGEIFS('Data(perSeason,perCrop)'!$E:$E,'Data(perSeason,perCrop)'!$S:$S,Indicators!$B62,'Data(perSeason,perCrop)'!$O:$O,CN$7,'Data(perSeason,perCrop)'!$C:$C,Indicators!CN$3,'Data(perSeason,perCrop)'!$R:$R,"IRRIGATED")/AVERAGEIFS('Data(perSeason,perCrop)'!$F:$F,'Data(perSeason,perCrop)'!$S:$S,Indicators!$B62,'Data(perSeason,perCrop)'!$O:$O,CN$7,'Data(perSeason,perCrop)'!$C:$C,Indicators!CN$3,'Data(perSeason,perCrop)'!$R:$R,"IRRIGATED"),"")</f>
        <v/>
      </c>
      <c r="CO62" s="8" t="str">
        <f>IF(CO15&gt;0,1-AVERAGEIFS('Data(perSeason,perCrop)'!$E:$E,'Data(perSeason,perCrop)'!$S:$S,Indicators!$B62,'Data(perSeason,perCrop)'!$O:$O,CO$7,'Data(perSeason,perCrop)'!$C:$C,Indicators!CO$3,'Data(perSeason,perCrop)'!$R:$R,"IRRIGATED")/AVERAGEIFS('Data(perSeason,perCrop)'!$F:$F,'Data(perSeason,perCrop)'!$S:$S,Indicators!$B62,'Data(perSeason,perCrop)'!$O:$O,CO$7,'Data(perSeason,perCrop)'!$C:$C,Indicators!CO$3,'Data(perSeason,perCrop)'!$R:$R,"IRRIGATED"),"")</f>
        <v/>
      </c>
      <c r="CP62" s="8">
        <f>IF(CP15&gt;0,1-AVERAGEIFS('Data(perSeason,perCrop)'!$E:$E,'Data(perSeason,perCrop)'!$S:$S,Indicators!$B62,'Data(perSeason,perCrop)'!$O:$O,CP$7,'Data(perSeason,perCrop)'!$C:$C,Indicators!CP$3,'Data(perSeason,perCrop)'!$R:$R,"IRRIGATED")/AVERAGEIFS('Data(perSeason,perCrop)'!$F:$F,'Data(perSeason,perCrop)'!$S:$S,Indicators!$B62,'Data(perSeason,perCrop)'!$O:$O,CP$7,'Data(perSeason,perCrop)'!$C:$C,Indicators!CP$3,'Data(perSeason,perCrop)'!$R:$R,"IRRIGATED"),"")</f>
        <v>0.13961605584642234</v>
      </c>
      <c r="CQ62" s="8">
        <f>IF(CQ15&gt;0,1-AVERAGEIFS('Data(perSeason,perCrop)'!$E:$E,'Data(perSeason,perCrop)'!$S:$S,Indicators!$B62,'Data(perSeason,perCrop)'!$O:$O,CQ$7,'Data(perSeason,perCrop)'!$C:$C,Indicators!CQ$3,'Data(perSeason,perCrop)'!$R:$R,"IRRIGATED")/AVERAGEIFS('Data(perSeason,perCrop)'!$F:$F,'Data(perSeason,perCrop)'!$S:$S,Indicators!$B62,'Data(perSeason,perCrop)'!$O:$O,CQ$7,'Data(perSeason,perCrop)'!$C:$C,Indicators!CQ$3,'Data(perSeason,perCrop)'!$R:$R,"IRRIGATED"),"")</f>
        <v>0.18446601941747576</v>
      </c>
      <c r="CR62" s="8" t="str">
        <f>IF(CR15&gt;0,1-AVERAGEIFS('Data(perSeason,perCrop)'!$E:$E,'Data(perSeason,perCrop)'!$S:$S,Indicators!$B62,'Data(perSeason,perCrop)'!$O:$O,CR$7,'Data(perSeason,perCrop)'!$C:$C,Indicators!CR$3,'Data(perSeason,perCrop)'!$R:$R,"IRRIGATED")/AVERAGEIFS('Data(perSeason,perCrop)'!$F:$F,'Data(perSeason,perCrop)'!$S:$S,Indicators!$B62,'Data(perSeason,perCrop)'!$O:$O,CR$7,'Data(perSeason,perCrop)'!$C:$C,Indicators!CR$3,'Data(perSeason,perCrop)'!$R:$R,"IRRIGATED"),"")</f>
        <v/>
      </c>
      <c r="CS62" s="8">
        <f>IF(CS15&gt;0,1-AVERAGEIFS('Data(perSeason,perCrop)'!$E:$E,'Data(perSeason,perCrop)'!$S:$S,Indicators!$B62,'Data(perSeason,perCrop)'!$O:$O,CS$7,'Data(perSeason,perCrop)'!$C:$C,Indicators!CS$3,'Data(perSeason,perCrop)'!$R:$R,"IRRIGATED")/AVERAGEIFS('Data(perSeason,perCrop)'!$F:$F,'Data(perSeason,perCrop)'!$S:$S,Indicators!$B62,'Data(perSeason,perCrop)'!$O:$O,CS$7,'Data(perSeason,perCrop)'!$C:$C,Indicators!CS$3,'Data(perSeason,perCrop)'!$R:$R,"IRRIGATED"),"")</f>
        <v>0.21095334685598377</v>
      </c>
      <c r="CT62" s="8" t="str">
        <f>IF(CT15&gt;0,1-AVERAGEIFS('Data(perSeason,perCrop)'!$E:$E,'Data(perSeason,perCrop)'!$S:$S,Indicators!$B62,'Data(perSeason,perCrop)'!$O:$O,CT$7,'Data(perSeason,perCrop)'!$C:$C,Indicators!CT$3,'Data(perSeason,perCrop)'!$R:$R,"IRRIGATED")/AVERAGEIFS('Data(perSeason,perCrop)'!$F:$F,'Data(perSeason,perCrop)'!$S:$S,Indicators!$B62,'Data(perSeason,perCrop)'!$O:$O,CT$7,'Data(perSeason,perCrop)'!$C:$C,Indicators!CT$3,'Data(perSeason,perCrop)'!$R:$R,"IRRIGATED"),"")</f>
        <v/>
      </c>
      <c r="CU62" s="8" t="str">
        <f>IF(CU15&gt;0,1-AVERAGEIFS('Data(perSeason,perCrop)'!$E:$E,'Data(perSeason,perCrop)'!$S:$S,Indicators!$B62,'Data(perSeason,perCrop)'!$O:$O,CU$7,'Data(perSeason,perCrop)'!$C:$C,Indicators!CU$3,'Data(perSeason,perCrop)'!$R:$R,"IRRIGATED")/AVERAGEIFS('Data(perSeason,perCrop)'!$F:$F,'Data(perSeason,perCrop)'!$S:$S,Indicators!$B62,'Data(perSeason,perCrop)'!$O:$O,CU$7,'Data(perSeason,perCrop)'!$C:$C,Indicators!CU$3,'Data(perSeason,perCrop)'!$R:$R,"IRRIGATED"),"")</f>
        <v/>
      </c>
      <c r="CV62" s="8">
        <f>IF(CV15&gt;0,1-AVERAGEIFS('Data(perSeason,perCrop)'!$E:$E,'Data(perSeason,perCrop)'!$S:$S,Indicators!$B62,'Data(perSeason,perCrop)'!$O:$O,CV$7,'Data(perSeason,perCrop)'!$C:$C,Indicators!CV$3,'Data(perSeason,perCrop)'!$R:$R,"IRRIGATED")/AVERAGEIFS('Data(perSeason,perCrop)'!$F:$F,'Data(perSeason,perCrop)'!$S:$S,Indicators!$B62,'Data(perSeason,perCrop)'!$O:$O,CV$7,'Data(perSeason,perCrop)'!$C:$C,Indicators!CV$3,'Data(perSeason,perCrop)'!$R:$R,"IRRIGATED"),"")</f>
        <v>0.16817359855334535</v>
      </c>
      <c r="CW62" s="8" t="str">
        <f>IF(CW15&gt;0,1-AVERAGEIFS('Data(perSeason,perCrop)'!$E:$E,'Data(perSeason,perCrop)'!$S:$S,Indicators!$B62,'Data(perSeason,perCrop)'!$O:$O,CW$7,'Data(perSeason,perCrop)'!$C:$C,Indicators!CW$3,'Data(perSeason,perCrop)'!$R:$R,"IRRIGATED")/AVERAGEIFS('Data(perSeason,perCrop)'!$F:$F,'Data(perSeason,perCrop)'!$S:$S,Indicators!$B62,'Data(perSeason,perCrop)'!$O:$O,CW$7,'Data(perSeason,perCrop)'!$C:$C,Indicators!CW$3,'Data(perSeason,perCrop)'!$R:$R,"IRRIGATED"),"")</f>
        <v/>
      </c>
      <c r="CX62" s="8" t="str">
        <f>IF(CX15&gt;0,1-AVERAGEIFS('Data(perSeason,perCrop)'!$E:$E,'Data(perSeason,perCrop)'!$S:$S,Indicators!$B62,'Data(perSeason,perCrop)'!$O:$O,CX$7,'Data(perSeason,perCrop)'!$C:$C,Indicators!CX$3,'Data(perSeason,perCrop)'!$R:$R,"IRRIGATED")/AVERAGEIFS('Data(perSeason,perCrop)'!$F:$F,'Data(perSeason,perCrop)'!$S:$S,Indicators!$B62,'Data(perSeason,perCrop)'!$O:$O,CX$7,'Data(perSeason,perCrop)'!$C:$C,Indicators!CX$3,'Data(perSeason,perCrop)'!$R:$R,"IRRIGATED"),"")</f>
        <v/>
      </c>
      <c r="CY62" s="8" t="str">
        <f>IF(CY15&gt;0,1-AVERAGEIFS('Data(perSeason,perCrop)'!$E:$E,'Data(perSeason,perCrop)'!$S:$S,Indicators!$B62,'Data(perSeason,perCrop)'!$O:$O,CY$7,'Data(perSeason,perCrop)'!$C:$C,Indicators!CY$3,'Data(perSeason,perCrop)'!$R:$R,"IRRIGATED")/AVERAGEIFS('Data(perSeason,perCrop)'!$F:$F,'Data(perSeason,perCrop)'!$S:$S,Indicators!$B62,'Data(perSeason,perCrop)'!$O:$O,CY$7,'Data(perSeason,perCrop)'!$C:$C,Indicators!CY$3,'Data(perSeason,perCrop)'!$R:$R,"IRRIGATED"),"")</f>
        <v/>
      </c>
      <c r="CZ62" s="8" t="str">
        <f>IF(CZ15&gt;0,1-AVERAGEIFS('Data(perSeason,perCrop)'!$E:$E,'Data(perSeason,perCrop)'!$S:$S,Indicators!$B62,'Data(perSeason,perCrop)'!$O:$O,CZ$7,'Data(perSeason,perCrop)'!$C:$C,Indicators!CZ$3,'Data(perSeason,perCrop)'!$R:$R,"IRRIGATED")/AVERAGEIFS('Data(perSeason,perCrop)'!$F:$F,'Data(perSeason,perCrop)'!$S:$S,Indicators!$B62,'Data(perSeason,perCrop)'!$O:$O,CZ$7,'Data(perSeason,perCrop)'!$C:$C,Indicators!CZ$3,'Data(perSeason,perCrop)'!$R:$R,"IRRIGATED"),"")</f>
        <v/>
      </c>
      <c r="DA62" s="8" t="str">
        <f>IF(DA15&gt;0,1-AVERAGEIFS('Data(perSeason,perCrop)'!$E:$E,'Data(perSeason,perCrop)'!$S:$S,Indicators!$B62,'Data(perSeason,perCrop)'!$O:$O,DA$7,'Data(perSeason,perCrop)'!$C:$C,Indicators!DA$3,'Data(perSeason,perCrop)'!$R:$R,"IRRIGATED")/AVERAGEIFS('Data(perSeason,perCrop)'!$F:$F,'Data(perSeason,perCrop)'!$S:$S,Indicators!$B62,'Data(perSeason,perCrop)'!$O:$O,DA$7,'Data(perSeason,perCrop)'!$C:$C,Indicators!DA$3,'Data(perSeason,perCrop)'!$R:$R,"IRRIGATED"),"")</f>
        <v/>
      </c>
      <c r="DB62" s="8" t="str">
        <f>IF(DB15&gt;0,1-AVERAGEIFS('Data(perSeason,perCrop)'!$E:$E,'Data(perSeason,perCrop)'!$S:$S,Indicators!$B62,'Data(perSeason,perCrop)'!$O:$O,DB$7,'Data(perSeason,perCrop)'!$C:$C,Indicators!DB$3,'Data(perSeason,perCrop)'!$R:$R,"IRRIGATED")/AVERAGEIFS('Data(perSeason,perCrop)'!$F:$F,'Data(perSeason,perCrop)'!$S:$S,Indicators!$B62,'Data(perSeason,perCrop)'!$O:$O,DB$7,'Data(perSeason,perCrop)'!$C:$C,Indicators!DB$3,'Data(perSeason,perCrop)'!$R:$R,"IRRIGATED"),"")</f>
        <v/>
      </c>
      <c r="DC62" s="8" t="str">
        <f>IF(DC15&gt;0,1-AVERAGEIFS('Data(perSeason,perCrop)'!$E:$E,'Data(perSeason,perCrop)'!$S:$S,Indicators!$B62,'Data(perSeason,perCrop)'!$O:$O,DC$7,'Data(perSeason,perCrop)'!$C:$C,Indicators!DC$3,'Data(perSeason,perCrop)'!$R:$R,"IRRIGATED")/AVERAGEIFS('Data(perSeason,perCrop)'!$F:$F,'Data(perSeason,perCrop)'!$S:$S,Indicators!$B62,'Data(perSeason,perCrop)'!$O:$O,DC$7,'Data(perSeason,perCrop)'!$C:$C,Indicators!DC$3,'Data(perSeason,perCrop)'!$R:$R,"IRRIGATED"),"")</f>
        <v/>
      </c>
      <c r="DD62" s="8" t="str">
        <f>IF(DD15&gt;0,1-AVERAGEIFS('Data(perSeason,perCrop)'!$E:$E,'Data(perSeason,perCrop)'!$S:$S,Indicators!$B62,'Data(perSeason,perCrop)'!$O:$O,DD$7,'Data(perSeason,perCrop)'!$C:$C,Indicators!DD$3,'Data(perSeason,perCrop)'!$R:$R,"IRRIGATED")/AVERAGEIFS('Data(perSeason,perCrop)'!$F:$F,'Data(perSeason,perCrop)'!$S:$S,Indicators!$B62,'Data(perSeason,perCrop)'!$O:$O,DD$7,'Data(perSeason,perCrop)'!$C:$C,Indicators!DD$3,'Data(perSeason,perCrop)'!$R:$R,"IRRIGATED"),"")</f>
        <v/>
      </c>
      <c r="DE62" s="8" t="str">
        <f>IF(DE15&gt;0,1-AVERAGEIFS('Data(perSeason,perCrop)'!$E:$E,'Data(perSeason,perCrop)'!$S:$S,Indicators!$B62,'Data(perSeason,perCrop)'!$O:$O,DE$7,'Data(perSeason,perCrop)'!$C:$C,Indicators!DE$3,'Data(perSeason,perCrop)'!$R:$R,"IRRIGATED")/AVERAGEIFS('Data(perSeason,perCrop)'!$F:$F,'Data(perSeason,perCrop)'!$S:$S,Indicators!$B62,'Data(perSeason,perCrop)'!$O:$O,DE$7,'Data(perSeason,perCrop)'!$C:$C,Indicators!DE$3,'Data(perSeason,perCrop)'!$R:$R,"IRRIGATED"),"")</f>
        <v/>
      </c>
      <c r="DF62" s="8" t="str">
        <f>IF(DF15&gt;0,1-AVERAGEIFS('Data(perSeason,perCrop)'!$E:$E,'Data(perSeason,perCrop)'!$S:$S,Indicators!$B62,'Data(perSeason,perCrop)'!$O:$O,DF$7,'Data(perSeason,perCrop)'!$C:$C,Indicators!DF$3,'Data(perSeason,perCrop)'!$R:$R,"IRRIGATED")/AVERAGEIFS('Data(perSeason,perCrop)'!$F:$F,'Data(perSeason,perCrop)'!$S:$S,Indicators!$B62,'Data(perSeason,perCrop)'!$O:$O,DF$7,'Data(perSeason,perCrop)'!$C:$C,Indicators!DF$3,'Data(perSeason,perCrop)'!$R:$R,"IRRIGATED"),"")</f>
        <v/>
      </c>
      <c r="DG62" s="8" t="str">
        <f>IF(DG15&gt;0,1-AVERAGEIFS('Data(perSeason,perCrop)'!$E:$E,'Data(perSeason,perCrop)'!$S:$S,Indicators!$B62,'Data(perSeason,perCrop)'!$O:$O,DG$7,'Data(perSeason,perCrop)'!$C:$C,Indicators!DG$3,'Data(perSeason,perCrop)'!$R:$R,"IRRIGATED")/AVERAGEIFS('Data(perSeason,perCrop)'!$F:$F,'Data(perSeason,perCrop)'!$S:$S,Indicators!$B62,'Data(perSeason,perCrop)'!$O:$O,DG$7,'Data(perSeason,perCrop)'!$C:$C,Indicators!DG$3,'Data(perSeason,perCrop)'!$R:$R,"IRRIGATED"),"")</f>
        <v/>
      </c>
    </row>
    <row r="63" spans="1:111" x14ac:dyDescent="0.25">
      <c r="A63" t="s">
        <v>22</v>
      </c>
      <c r="B63">
        <v>2019</v>
      </c>
      <c r="C63" s="80">
        <f>IF(COUNTIFS('Data(perSeason,perCrop)'!$S:$S,Indicators!$B63)&gt;0,SUMPRODUCT(S16:AW16,S63:AW63)/SUM(S16:AW16),"")</f>
        <v>0.24365025743999871</v>
      </c>
      <c r="D63" s="80">
        <f>IF(COUNTIFS('Data(perSeason,perCrop)'!$S:$S,Indicators!$B63)&gt;0,SUMPRODUCT(AX16:CB16,AX63:CB63)/SUM(AX16:CB16),"")</f>
        <v>0.21212052180288007</v>
      </c>
      <c r="E63" s="80">
        <f>IF(COUNTIFS('Data(perSeason,perCrop)'!$S:$S,Indicators!$B63)&gt;0,SUMPRODUCT(CC16:DG16,CC63:DG63)/SUM(CC16:DG16),"")</f>
        <v>0.15385729430826767</v>
      </c>
      <c r="F63" s="80">
        <f>IF(COUNTIFS('Data(perSeason,perCrop)'!$S:$S,Indicators!$B63)&gt;0,'Indicators(perCrop)'!W$38,"")</f>
        <v>0.24483373251234702</v>
      </c>
      <c r="G63" s="8"/>
      <c r="H63" s="8"/>
      <c r="J63" s="2" t="s">
        <v>98</v>
      </c>
      <c r="K63" s="8">
        <f>IF(K16&gt;0,1-AVERAGEIFS('Data(perSeason,perCrop)'!$E:$E,'Data(perSeason,perCrop)'!$S:$S,Indicators!$B63,'Data(perSeason,perCrop)'!$O:$O,0,'Data(perSeason,perCrop)'!$C:$C,Indicators!K$3,'Data(perSeason,perCrop)'!$R:$R,"IRRIGATED")/AVERAGEIFS('Data(perSeason,perCrop)'!$F:$F,'Data(perSeason,perCrop)'!$S:$S,Indicators!$B63,'Data(perSeason,perCrop)'!$O:$O,0,'Data(perSeason,perCrop)'!$C:$C,Indicators!K$3,'Data(perSeason,perCrop)'!$R:$R,"IRRIGATED"),"")</f>
        <v>0.29908256880733941</v>
      </c>
      <c r="L63" s="8">
        <f>IF(L16&gt;0,1-AVERAGEIFS('Data(perSeason,perCrop)'!$E:$E,'Data(perSeason,perCrop)'!$S:$S,Indicators!$B63,'Data(perSeason,perCrop)'!$O:$O,0,'Data(perSeason,perCrop)'!$C:$C,Indicators!L$3,'Data(perSeason,perCrop)'!$R:$R,"IRRIGATED")/AVERAGEIFS('Data(perSeason,perCrop)'!$F:$F,'Data(perSeason,perCrop)'!$S:$S,Indicators!$B63,'Data(perSeason,perCrop)'!$O:$O,0,'Data(perSeason,perCrop)'!$C:$C,Indicators!L$3,'Data(perSeason,perCrop)'!$R:$R,"IRRIGATED"),"")</f>
        <v>0.23439490445859867</v>
      </c>
      <c r="M63" s="8">
        <f>IF(M16&gt;0,1-AVERAGEIFS('Data(perSeason,perCrop)'!$E:$E,'Data(perSeason,perCrop)'!$S:$S,Indicators!$B63,'Data(perSeason,perCrop)'!$O:$O,0,'Data(perSeason,perCrop)'!$C:$C,Indicators!M$3,'Data(perSeason,perCrop)'!$R:$R,"IRRIGATED")/AVERAGEIFS('Data(perSeason,perCrop)'!$F:$F,'Data(perSeason,perCrop)'!$S:$S,Indicators!$B63,'Data(perSeason,perCrop)'!$O:$O,0,'Data(perSeason,perCrop)'!$C:$C,Indicators!M$3,'Data(perSeason,perCrop)'!$R:$R,"IRRIGATED"),"")</f>
        <v>0.18697225572979492</v>
      </c>
      <c r="N63" s="8">
        <f>IF(N16&gt;0,1-AVERAGEIFS('Data(perSeason,perCrop)'!$E:$E,'Data(perSeason,perCrop)'!$S:$S,Indicators!$B63,'Data(perSeason,perCrop)'!$O:$O,0,'Data(perSeason,perCrop)'!$C:$C,Indicators!N$3,'Data(perSeason,perCrop)'!$R:$R,"IRRIGATED")/AVERAGEIFS('Data(perSeason,perCrop)'!$F:$F,'Data(perSeason,perCrop)'!$S:$S,Indicators!$B63,'Data(perSeason,perCrop)'!$O:$O,0,'Data(perSeason,perCrop)'!$C:$C,Indicators!N$3,'Data(perSeason,perCrop)'!$R:$R,"IRRIGATED"),"")</f>
        <v>0.11212397447584321</v>
      </c>
      <c r="O63" s="8">
        <f>IF(O16&gt;0,1-AVERAGEIFS('Data(perSeason,perCrop)'!$E:$E,'Data(perSeason,perCrop)'!$S:$S,Indicators!$B63,'Data(perSeason,perCrop)'!$O:$O,0,'Data(perSeason,perCrop)'!$C:$C,Indicators!O$3,'Data(perSeason,perCrop)'!$R:$R,"IRRIGATED")/AVERAGEIFS('Data(perSeason,perCrop)'!$F:$F,'Data(perSeason,perCrop)'!$S:$S,Indicators!$B63,'Data(perSeason,perCrop)'!$O:$O,0,'Data(perSeason,perCrop)'!$C:$C,Indicators!O$3,'Data(perSeason,perCrop)'!$R:$R,"IRRIGATED"),"")</f>
        <v>0.19999999999999996</v>
      </c>
      <c r="P63" s="8">
        <f>IF(P16&gt;0,1-AVERAGEIFS('Data(perSeason,perCrop)'!$E:$E,'Data(perSeason,perCrop)'!$S:$S,Indicators!$B63,'Data(perSeason,perCrop)'!$O:$O,0,'Data(perSeason,perCrop)'!$C:$C,Indicators!P$3,'Data(perSeason,perCrop)'!$R:$R,"IRRIGATED")/AVERAGEIFS('Data(perSeason,perCrop)'!$F:$F,'Data(perSeason,perCrop)'!$S:$S,Indicators!$B63,'Data(perSeason,perCrop)'!$O:$O,0,'Data(perSeason,perCrop)'!$C:$C,Indicators!P$3,'Data(perSeason,perCrop)'!$R:$R,"IRRIGATED"),"")</f>
        <v>0.42690815006468308</v>
      </c>
      <c r="Q63" s="8">
        <f>IF(Q16&gt;0,1-AVERAGEIFS('Data(perSeason,perCrop)'!$E:$E,'Data(perSeason,perCrop)'!$S:$S,Indicators!$B63,'Data(perSeason,perCrop)'!$O:$O,0,'Data(perSeason,perCrop)'!$C:$C,Indicators!Q$3,'Data(perSeason,perCrop)'!$R:$R,"IRRIGATED")/AVERAGEIFS('Data(perSeason,perCrop)'!$F:$F,'Data(perSeason,perCrop)'!$S:$S,Indicators!$B63,'Data(perSeason,perCrop)'!$O:$O,0,'Data(perSeason,perCrop)'!$C:$C,Indicators!Q$3,'Data(perSeason,perCrop)'!$R:$R,"IRRIGATED"),"")</f>
        <v>0.15345005149330582</v>
      </c>
      <c r="R63" s="8">
        <f>IF(R16&gt;0,1-AVERAGEIFS('Data(perSeason,perCrop)'!$E:$E,'Data(perSeason,perCrop)'!$S:$S,Indicators!$B63,'Data(perSeason,perCrop)'!$O:$O,0,'Data(perSeason,perCrop)'!$C:$C,Indicators!R$3,'Data(perSeason,perCrop)'!$R:$R,"IRRIGATED")/AVERAGEIFS('Data(perSeason,perCrop)'!$F:$F,'Data(perSeason,perCrop)'!$S:$S,Indicators!$B63,'Data(perSeason,perCrop)'!$O:$O,0,'Data(perSeason,perCrop)'!$C:$C,Indicators!R$3,'Data(perSeason,perCrop)'!$R:$R,"IRRIGATED"),"")</f>
        <v>0.26900584795321636</v>
      </c>
      <c r="S63" s="65" t="str">
        <f>IF(S16&gt;0,1-AVERAGEIFS('Data(perSeason,perCrop)'!$E:$E,'Data(perSeason,perCrop)'!$S:$S,Indicators!$B63,'Data(perSeason,perCrop)'!$O:$O,S$7,'Data(perSeason,perCrop)'!$C:$C,Indicators!S$3,'Data(perSeason,perCrop)'!$R:$R,"IRRIGATED")/AVERAGEIFS('Data(perSeason,perCrop)'!$F:$F,'Data(perSeason,perCrop)'!$S:$S,Indicators!$B63,'Data(perSeason,perCrop)'!$O:$O,S$7,'Data(perSeason,perCrop)'!$C:$C,Indicators!S$3,'Data(perSeason,perCrop)'!$R:$R,"IRRIGATED"),"")</f>
        <v/>
      </c>
      <c r="T63" s="65">
        <f>IF(T16&gt;0,1-AVERAGEIFS('Data(perSeason,perCrop)'!$E:$E,'Data(perSeason,perCrop)'!$S:$S,Indicators!$B63,'Data(perSeason,perCrop)'!$O:$O,T$7,'Data(perSeason,perCrop)'!$C:$C,Indicators!T$3,'Data(perSeason,perCrop)'!$R:$R,"IRRIGATED")/AVERAGEIFS('Data(perSeason,perCrop)'!$F:$F,'Data(perSeason,perCrop)'!$S:$S,Indicators!$B63,'Data(perSeason,perCrop)'!$O:$O,T$7,'Data(perSeason,perCrop)'!$C:$C,Indicators!T$3,'Data(perSeason,perCrop)'!$R:$R,"IRRIGATED"),"")</f>
        <v>0.25157232704402521</v>
      </c>
      <c r="U63" s="65" t="str">
        <f>IF(U16&gt;0,1-AVERAGEIFS('Data(perSeason,perCrop)'!$E:$E,'Data(perSeason,perCrop)'!$S:$S,Indicators!$B63,'Data(perSeason,perCrop)'!$O:$O,U$7,'Data(perSeason,perCrop)'!$C:$C,Indicators!U$3,'Data(perSeason,perCrop)'!$R:$R,"IRRIGATED")/AVERAGEIFS('Data(perSeason,perCrop)'!$F:$F,'Data(perSeason,perCrop)'!$S:$S,Indicators!$B63,'Data(perSeason,perCrop)'!$O:$O,U$7,'Data(perSeason,perCrop)'!$C:$C,Indicators!U$3,'Data(perSeason,perCrop)'!$R:$R,"IRRIGATED"),"")</f>
        <v/>
      </c>
      <c r="V63" s="65" t="str">
        <f>IF(V16&gt;0,1-AVERAGEIFS('Data(perSeason,perCrop)'!$E:$E,'Data(perSeason,perCrop)'!$S:$S,Indicators!$B63,'Data(perSeason,perCrop)'!$O:$O,V$7,'Data(perSeason,perCrop)'!$C:$C,Indicators!V$3,'Data(perSeason,perCrop)'!$R:$R,"IRRIGATED")/AVERAGEIFS('Data(perSeason,perCrop)'!$F:$F,'Data(perSeason,perCrop)'!$S:$S,Indicators!$B63,'Data(perSeason,perCrop)'!$O:$O,V$7,'Data(perSeason,perCrop)'!$C:$C,Indicators!V$3,'Data(perSeason,perCrop)'!$R:$R,"IRRIGATED"),"")</f>
        <v/>
      </c>
      <c r="W63" s="65" t="str">
        <f>IF(W16&gt;0,1-AVERAGEIFS('Data(perSeason,perCrop)'!$E:$E,'Data(perSeason,perCrop)'!$S:$S,Indicators!$B63,'Data(perSeason,perCrop)'!$O:$O,W$7,'Data(perSeason,perCrop)'!$C:$C,Indicators!W$3,'Data(perSeason,perCrop)'!$R:$R,"IRRIGATED")/AVERAGEIFS('Data(perSeason,perCrop)'!$F:$F,'Data(perSeason,perCrop)'!$S:$S,Indicators!$B63,'Data(perSeason,perCrop)'!$O:$O,W$7,'Data(perSeason,perCrop)'!$C:$C,Indicators!W$3,'Data(perSeason,perCrop)'!$R:$R,"IRRIGATED"),"")</f>
        <v/>
      </c>
      <c r="X63" s="65" t="str">
        <f>IF(X16&gt;0,1-AVERAGEIFS('Data(perSeason,perCrop)'!$E:$E,'Data(perSeason,perCrop)'!$S:$S,Indicators!$B63,'Data(perSeason,perCrop)'!$O:$O,X$7,'Data(perSeason,perCrop)'!$C:$C,Indicators!X$3,'Data(perSeason,perCrop)'!$R:$R,"IRRIGATED")/AVERAGEIFS('Data(perSeason,perCrop)'!$F:$F,'Data(perSeason,perCrop)'!$S:$S,Indicators!$B63,'Data(perSeason,perCrop)'!$O:$O,X$7,'Data(perSeason,perCrop)'!$C:$C,Indicators!X$3,'Data(perSeason,perCrop)'!$R:$R,"IRRIGATED"),"")</f>
        <v/>
      </c>
      <c r="Y63" s="65" t="str">
        <f>IF(Y16&gt;0,1-AVERAGEIFS('Data(perSeason,perCrop)'!$E:$E,'Data(perSeason,perCrop)'!$S:$S,Indicators!$B63,'Data(perSeason,perCrop)'!$O:$O,Y$7,'Data(perSeason,perCrop)'!$C:$C,Indicators!Y$3,'Data(perSeason,perCrop)'!$R:$R,"IRRIGATED")/AVERAGEIFS('Data(perSeason,perCrop)'!$F:$F,'Data(perSeason,perCrop)'!$S:$S,Indicators!$B63,'Data(perSeason,perCrop)'!$O:$O,Y$7,'Data(perSeason,perCrop)'!$C:$C,Indicators!Y$3,'Data(perSeason,perCrop)'!$R:$R,"IRRIGATED"),"")</f>
        <v/>
      </c>
      <c r="Z63" s="65" t="str">
        <f>IF(Z16&gt;0,1-AVERAGEIFS('Data(perSeason,perCrop)'!$E:$E,'Data(perSeason,perCrop)'!$S:$S,Indicators!$B63,'Data(perSeason,perCrop)'!$O:$O,Z$7,'Data(perSeason,perCrop)'!$C:$C,Indicators!Z$3,'Data(perSeason,perCrop)'!$R:$R,"IRRIGATED")/AVERAGEIFS('Data(perSeason,perCrop)'!$F:$F,'Data(perSeason,perCrop)'!$S:$S,Indicators!$B63,'Data(perSeason,perCrop)'!$O:$O,Z$7,'Data(perSeason,perCrop)'!$C:$C,Indicators!Z$3,'Data(perSeason,perCrop)'!$R:$R,"IRRIGATED"),"")</f>
        <v/>
      </c>
      <c r="AA63" s="65" t="str">
        <f>IF(AA16&gt;0,1-AVERAGEIFS('Data(perSeason,perCrop)'!$E:$E,'Data(perSeason,perCrop)'!$S:$S,Indicators!$B63,'Data(perSeason,perCrop)'!$O:$O,AA$7,'Data(perSeason,perCrop)'!$C:$C,Indicators!AA$3,'Data(perSeason,perCrop)'!$R:$R,"IRRIGATED")/AVERAGEIFS('Data(perSeason,perCrop)'!$F:$F,'Data(perSeason,perCrop)'!$S:$S,Indicators!$B63,'Data(perSeason,perCrop)'!$O:$O,AA$7,'Data(perSeason,perCrop)'!$C:$C,Indicators!AA$3,'Data(perSeason,perCrop)'!$R:$R,"IRRIGATED"),"")</f>
        <v/>
      </c>
      <c r="AB63" s="65" t="str">
        <f>IF(AB16&gt;0,1-AVERAGEIFS('Data(perSeason,perCrop)'!$E:$E,'Data(perSeason,perCrop)'!$S:$S,Indicators!$B63,'Data(perSeason,perCrop)'!$O:$O,AB$7,'Data(perSeason,perCrop)'!$C:$C,Indicators!AB$3,'Data(perSeason,perCrop)'!$R:$R,"IRRIGATED")/AVERAGEIFS('Data(perSeason,perCrop)'!$F:$F,'Data(perSeason,perCrop)'!$S:$S,Indicators!$B63,'Data(perSeason,perCrop)'!$O:$O,AB$7,'Data(perSeason,perCrop)'!$C:$C,Indicators!AB$3,'Data(perSeason,perCrop)'!$R:$R,"IRRIGATED"),"")</f>
        <v/>
      </c>
      <c r="AC63" s="65" t="str">
        <f>IF(AC16&gt;0,1-AVERAGEIFS('Data(perSeason,perCrop)'!$E:$E,'Data(perSeason,perCrop)'!$S:$S,Indicators!$B63,'Data(perSeason,perCrop)'!$O:$O,AC$7,'Data(perSeason,perCrop)'!$C:$C,Indicators!AC$3,'Data(perSeason,perCrop)'!$R:$R,"IRRIGATED")/AVERAGEIFS('Data(perSeason,perCrop)'!$F:$F,'Data(perSeason,perCrop)'!$S:$S,Indicators!$B63,'Data(perSeason,perCrop)'!$O:$O,AC$7,'Data(perSeason,perCrop)'!$C:$C,Indicators!AC$3,'Data(perSeason,perCrop)'!$R:$R,"IRRIGATED"),"")</f>
        <v/>
      </c>
      <c r="AD63" s="65" t="str">
        <f>IF(AD16&gt;0,1-AVERAGEIFS('Data(perSeason,perCrop)'!$E:$E,'Data(perSeason,perCrop)'!$S:$S,Indicators!$B63,'Data(perSeason,perCrop)'!$O:$O,AD$7,'Data(perSeason,perCrop)'!$C:$C,Indicators!AD$3,'Data(perSeason,perCrop)'!$R:$R,"IRRIGATED")/AVERAGEIFS('Data(perSeason,perCrop)'!$F:$F,'Data(perSeason,perCrop)'!$S:$S,Indicators!$B63,'Data(perSeason,perCrop)'!$O:$O,AD$7,'Data(perSeason,perCrop)'!$C:$C,Indicators!AD$3,'Data(perSeason,perCrop)'!$R:$R,"IRRIGATED"),"")</f>
        <v/>
      </c>
      <c r="AE63" s="65" t="str">
        <f>IF(AE16&gt;0,1-AVERAGEIFS('Data(perSeason,perCrop)'!$E:$E,'Data(perSeason,perCrop)'!$S:$S,Indicators!$B63,'Data(perSeason,perCrop)'!$O:$O,AE$7,'Data(perSeason,perCrop)'!$C:$C,Indicators!AE$3,'Data(perSeason,perCrop)'!$R:$R,"IRRIGATED")/AVERAGEIFS('Data(perSeason,perCrop)'!$F:$F,'Data(perSeason,perCrop)'!$S:$S,Indicators!$B63,'Data(perSeason,perCrop)'!$O:$O,AE$7,'Data(perSeason,perCrop)'!$C:$C,Indicators!AE$3,'Data(perSeason,perCrop)'!$R:$R,"IRRIGATED"),"")</f>
        <v/>
      </c>
      <c r="AF63" s="65">
        <f>IF(AF16&gt;0,1-AVERAGEIFS('Data(perSeason,perCrop)'!$E:$E,'Data(perSeason,perCrop)'!$S:$S,Indicators!$B63,'Data(perSeason,perCrop)'!$O:$O,AF$7,'Data(perSeason,perCrop)'!$C:$C,Indicators!AF$3,'Data(perSeason,perCrop)'!$R:$R,"IRRIGATED")/AVERAGEIFS('Data(perSeason,perCrop)'!$F:$F,'Data(perSeason,perCrop)'!$S:$S,Indicators!$B63,'Data(perSeason,perCrop)'!$O:$O,AF$7,'Data(perSeason,perCrop)'!$C:$C,Indicators!AF$3,'Data(perSeason,perCrop)'!$R:$R,"IRRIGATED"),"")</f>
        <v>0.17616580310880825</v>
      </c>
      <c r="AG63" s="65">
        <f>IF(AG16&gt;0,1-AVERAGEIFS('Data(perSeason,perCrop)'!$E:$E,'Data(perSeason,perCrop)'!$S:$S,Indicators!$B63,'Data(perSeason,perCrop)'!$O:$O,AG$7,'Data(perSeason,perCrop)'!$C:$C,Indicators!AG$3,'Data(perSeason,perCrop)'!$R:$R,"IRRIGATED")/AVERAGEIFS('Data(perSeason,perCrop)'!$F:$F,'Data(perSeason,perCrop)'!$S:$S,Indicators!$B63,'Data(perSeason,perCrop)'!$O:$O,AG$7,'Data(perSeason,perCrop)'!$C:$C,Indicators!AG$3,'Data(perSeason,perCrop)'!$R:$R,"IRRIGATED"),"")</f>
        <v>0.19366197183098588</v>
      </c>
      <c r="AH63" s="65" t="str">
        <f>IF(AH16&gt;0,1-AVERAGEIFS('Data(perSeason,perCrop)'!$E:$E,'Data(perSeason,perCrop)'!$S:$S,Indicators!$B63,'Data(perSeason,perCrop)'!$O:$O,AH$7,'Data(perSeason,perCrop)'!$C:$C,Indicators!AH$3,'Data(perSeason,perCrop)'!$R:$R,"IRRIGATED")/AVERAGEIFS('Data(perSeason,perCrop)'!$F:$F,'Data(perSeason,perCrop)'!$S:$S,Indicators!$B63,'Data(perSeason,perCrop)'!$O:$O,AH$7,'Data(perSeason,perCrop)'!$C:$C,Indicators!AH$3,'Data(perSeason,perCrop)'!$R:$R,"IRRIGATED"),"")</f>
        <v/>
      </c>
      <c r="AI63" s="65">
        <f>IF(AI16&gt;0,1-AVERAGEIFS('Data(perSeason,perCrop)'!$E:$E,'Data(perSeason,perCrop)'!$S:$S,Indicators!$B63,'Data(perSeason,perCrop)'!$O:$O,AI$7,'Data(perSeason,perCrop)'!$C:$C,Indicators!AI$3,'Data(perSeason,perCrop)'!$R:$R,"IRRIGATED")/AVERAGEIFS('Data(perSeason,perCrop)'!$F:$F,'Data(perSeason,perCrop)'!$S:$S,Indicators!$B63,'Data(perSeason,perCrop)'!$O:$O,AI$7,'Data(perSeason,perCrop)'!$C:$C,Indicators!AI$3,'Data(perSeason,perCrop)'!$R:$R,"IRRIGATED"),"")</f>
        <v>0.20608108108108103</v>
      </c>
      <c r="AJ63" s="65" t="str">
        <f>IF(AJ16&gt;0,1-AVERAGEIFS('Data(perSeason,perCrop)'!$E:$E,'Data(perSeason,perCrop)'!$S:$S,Indicators!$B63,'Data(perSeason,perCrop)'!$O:$O,AJ$7,'Data(perSeason,perCrop)'!$C:$C,Indicators!AJ$3,'Data(perSeason,perCrop)'!$R:$R,"IRRIGATED")/AVERAGEIFS('Data(perSeason,perCrop)'!$F:$F,'Data(perSeason,perCrop)'!$S:$S,Indicators!$B63,'Data(perSeason,perCrop)'!$O:$O,AJ$7,'Data(perSeason,perCrop)'!$C:$C,Indicators!AJ$3,'Data(perSeason,perCrop)'!$R:$R,"IRRIGATED"),"")</f>
        <v/>
      </c>
      <c r="AK63" s="65" t="str">
        <f>IF(AK16&gt;0,1-AVERAGEIFS('Data(perSeason,perCrop)'!$E:$E,'Data(perSeason,perCrop)'!$S:$S,Indicators!$B63,'Data(perSeason,perCrop)'!$O:$O,AK$7,'Data(perSeason,perCrop)'!$C:$C,Indicators!AK$3,'Data(perSeason,perCrop)'!$R:$R,"IRRIGATED")/AVERAGEIFS('Data(perSeason,perCrop)'!$F:$F,'Data(perSeason,perCrop)'!$S:$S,Indicators!$B63,'Data(perSeason,perCrop)'!$O:$O,AK$7,'Data(perSeason,perCrop)'!$C:$C,Indicators!AK$3,'Data(perSeason,perCrop)'!$R:$R,"IRRIGATED"),"")</f>
        <v/>
      </c>
      <c r="AL63" s="65">
        <f>IF(AL16&gt;0,1-AVERAGEIFS('Data(perSeason,perCrop)'!$E:$E,'Data(perSeason,perCrop)'!$S:$S,Indicators!$B63,'Data(perSeason,perCrop)'!$O:$O,AL$7,'Data(perSeason,perCrop)'!$C:$C,Indicators!AL$3,'Data(perSeason,perCrop)'!$R:$R,"IRRIGATED")/AVERAGEIFS('Data(perSeason,perCrop)'!$F:$F,'Data(perSeason,perCrop)'!$S:$S,Indicators!$B63,'Data(perSeason,perCrop)'!$O:$O,AL$7,'Data(perSeason,perCrop)'!$C:$C,Indicators!AL$3,'Data(perSeason,perCrop)'!$R:$R,"IRRIGATED"),"")</f>
        <v>0.25</v>
      </c>
      <c r="AM63" s="65" t="str">
        <f>IF(AM16&gt;0,1-AVERAGEIFS('Data(perSeason,perCrop)'!$E:$E,'Data(perSeason,perCrop)'!$S:$S,Indicators!$B63,'Data(perSeason,perCrop)'!$O:$O,AM$7,'Data(perSeason,perCrop)'!$C:$C,Indicators!AM$3,'Data(perSeason,perCrop)'!$R:$R,"IRRIGATED")/AVERAGEIFS('Data(perSeason,perCrop)'!$F:$F,'Data(perSeason,perCrop)'!$S:$S,Indicators!$B63,'Data(perSeason,perCrop)'!$O:$O,AM$7,'Data(perSeason,perCrop)'!$C:$C,Indicators!AM$3,'Data(perSeason,perCrop)'!$R:$R,"IRRIGATED"),"")</f>
        <v/>
      </c>
      <c r="AN63" s="65" t="str">
        <f>IF(AN16&gt;0,1-AVERAGEIFS('Data(perSeason,perCrop)'!$E:$E,'Data(perSeason,perCrop)'!$S:$S,Indicators!$B63,'Data(perSeason,perCrop)'!$O:$O,AN$7,'Data(perSeason,perCrop)'!$C:$C,Indicators!AN$3,'Data(perSeason,perCrop)'!$R:$R,"IRRIGATED")/AVERAGEIFS('Data(perSeason,perCrop)'!$F:$F,'Data(perSeason,perCrop)'!$S:$S,Indicators!$B63,'Data(perSeason,perCrop)'!$O:$O,AN$7,'Data(perSeason,perCrop)'!$C:$C,Indicators!AN$3,'Data(perSeason,perCrop)'!$R:$R,"IRRIGATED"),"")</f>
        <v/>
      </c>
      <c r="AO63" s="65" t="str">
        <f>IF(AO16&gt;0,1-AVERAGEIFS('Data(perSeason,perCrop)'!$E:$E,'Data(perSeason,perCrop)'!$S:$S,Indicators!$B63,'Data(perSeason,perCrop)'!$O:$O,AO$7,'Data(perSeason,perCrop)'!$C:$C,Indicators!AO$3,'Data(perSeason,perCrop)'!$R:$R,"IRRIGATED")/AVERAGEIFS('Data(perSeason,perCrop)'!$F:$F,'Data(perSeason,perCrop)'!$S:$S,Indicators!$B63,'Data(perSeason,perCrop)'!$O:$O,AO$7,'Data(perSeason,perCrop)'!$C:$C,Indicators!AO$3,'Data(perSeason,perCrop)'!$R:$R,"IRRIGATED"),"")</f>
        <v/>
      </c>
      <c r="AP63" s="65" t="str">
        <f>IF(AP16&gt;0,1-AVERAGEIFS('Data(perSeason,perCrop)'!$E:$E,'Data(perSeason,perCrop)'!$S:$S,Indicators!$B63,'Data(perSeason,perCrop)'!$O:$O,AP$7,'Data(perSeason,perCrop)'!$C:$C,Indicators!AP$3,'Data(perSeason,perCrop)'!$R:$R,"IRRIGATED")/AVERAGEIFS('Data(perSeason,perCrop)'!$F:$F,'Data(perSeason,perCrop)'!$S:$S,Indicators!$B63,'Data(perSeason,perCrop)'!$O:$O,AP$7,'Data(perSeason,perCrop)'!$C:$C,Indicators!AP$3,'Data(perSeason,perCrop)'!$R:$R,"IRRIGATED"),"")</f>
        <v/>
      </c>
      <c r="AQ63" s="65" t="str">
        <f>IF(AQ16&gt;0,1-AVERAGEIFS('Data(perSeason,perCrop)'!$E:$E,'Data(perSeason,perCrop)'!$S:$S,Indicators!$B63,'Data(perSeason,perCrop)'!$O:$O,AQ$7,'Data(perSeason,perCrop)'!$C:$C,Indicators!AQ$3,'Data(perSeason,perCrop)'!$R:$R,"IRRIGATED")/AVERAGEIFS('Data(perSeason,perCrop)'!$F:$F,'Data(perSeason,perCrop)'!$S:$S,Indicators!$B63,'Data(perSeason,perCrop)'!$O:$O,AQ$7,'Data(perSeason,perCrop)'!$C:$C,Indicators!AQ$3,'Data(perSeason,perCrop)'!$R:$R,"IRRIGATED"),"")</f>
        <v/>
      </c>
      <c r="AR63" s="65" t="str">
        <f>IF(AR16&gt;0,1-AVERAGEIFS('Data(perSeason,perCrop)'!$E:$E,'Data(perSeason,perCrop)'!$S:$S,Indicators!$B63,'Data(perSeason,perCrop)'!$O:$O,AR$7,'Data(perSeason,perCrop)'!$C:$C,Indicators!AR$3,'Data(perSeason,perCrop)'!$R:$R,"IRRIGATED")/AVERAGEIFS('Data(perSeason,perCrop)'!$F:$F,'Data(perSeason,perCrop)'!$S:$S,Indicators!$B63,'Data(perSeason,perCrop)'!$O:$O,AR$7,'Data(perSeason,perCrop)'!$C:$C,Indicators!AR$3,'Data(perSeason,perCrop)'!$R:$R,"IRRIGATED"),"")</f>
        <v/>
      </c>
      <c r="AS63" s="65" t="str">
        <f>IF(AS16&gt;0,1-AVERAGEIFS('Data(perSeason,perCrop)'!$E:$E,'Data(perSeason,perCrop)'!$S:$S,Indicators!$B63,'Data(perSeason,perCrop)'!$O:$O,AS$7,'Data(perSeason,perCrop)'!$C:$C,Indicators!AS$3,'Data(perSeason,perCrop)'!$R:$R,"IRRIGATED")/AVERAGEIFS('Data(perSeason,perCrop)'!$F:$F,'Data(perSeason,perCrop)'!$S:$S,Indicators!$B63,'Data(perSeason,perCrop)'!$O:$O,AS$7,'Data(perSeason,perCrop)'!$C:$C,Indicators!AS$3,'Data(perSeason,perCrop)'!$R:$R,"IRRIGATED"),"")</f>
        <v/>
      </c>
      <c r="AT63" s="65" t="str">
        <f>IF(AT16&gt;0,1-AVERAGEIFS('Data(perSeason,perCrop)'!$E:$E,'Data(perSeason,perCrop)'!$S:$S,Indicators!$B63,'Data(perSeason,perCrop)'!$O:$O,AT$7,'Data(perSeason,perCrop)'!$C:$C,Indicators!AT$3,'Data(perSeason,perCrop)'!$R:$R,"IRRIGATED")/AVERAGEIFS('Data(perSeason,perCrop)'!$F:$F,'Data(perSeason,perCrop)'!$S:$S,Indicators!$B63,'Data(perSeason,perCrop)'!$O:$O,AT$7,'Data(perSeason,perCrop)'!$C:$C,Indicators!AT$3,'Data(perSeason,perCrop)'!$R:$R,"IRRIGATED"),"")</f>
        <v/>
      </c>
      <c r="AU63" s="65" t="str">
        <f>IF(AU16&gt;0,1-AVERAGEIFS('Data(perSeason,perCrop)'!$E:$E,'Data(perSeason,perCrop)'!$S:$S,Indicators!$B63,'Data(perSeason,perCrop)'!$O:$O,AU$7,'Data(perSeason,perCrop)'!$C:$C,Indicators!AU$3,'Data(perSeason,perCrop)'!$R:$R,"IRRIGATED")/AVERAGEIFS('Data(perSeason,perCrop)'!$F:$F,'Data(perSeason,perCrop)'!$S:$S,Indicators!$B63,'Data(perSeason,perCrop)'!$O:$O,AU$7,'Data(perSeason,perCrop)'!$C:$C,Indicators!AU$3,'Data(perSeason,perCrop)'!$R:$R,"IRRIGATED"),"")</f>
        <v/>
      </c>
      <c r="AV63" s="65" t="str">
        <f>IF(AV16&gt;0,1-AVERAGEIFS('Data(perSeason,perCrop)'!$E:$E,'Data(perSeason,perCrop)'!$S:$S,Indicators!$B63,'Data(perSeason,perCrop)'!$O:$O,AV$7,'Data(perSeason,perCrop)'!$C:$C,Indicators!AV$3,'Data(perSeason,perCrop)'!$R:$R,"IRRIGATED")/AVERAGEIFS('Data(perSeason,perCrop)'!$F:$F,'Data(perSeason,perCrop)'!$S:$S,Indicators!$B63,'Data(perSeason,perCrop)'!$O:$O,AV$7,'Data(perSeason,perCrop)'!$C:$C,Indicators!AV$3,'Data(perSeason,perCrop)'!$R:$R,"IRRIGATED"),"")</f>
        <v/>
      </c>
      <c r="AW63" s="65" t="str">
        <f>IF(AW16&gt;0,1-AVERAGEIFS('Data(perSeason,perCrop)'!$E:$E,'Data(perSeason,perCrop)'!$S:$S,Indicators!$B63,'Data(perSeason,perCrop)'!$O:$O,AW$7,'Data(perSeason,perCrop)'!$C:$C,Indicators!AW$3,'Data(perSeason,perCrop)'!$R:$R,"IRRIGATED")/AVERAGEIFS('Data(perSeason,perCrop)'!$F:$F,'Data(perSeason,perCrop)'!$S:$S,Indicators!$B63,'Data(perSeason,perCrop)'!$O:$O,AW$7,'Data(perSeason,perCrop)'!$C:$C,Indicators!AW$3,'Data(perSeason,perCrop)'!$R:$R,"IRRIGATED"),"")</f>
        <v/>
      </c>
      <c r="AX63" s="8" t="str">
        <f>IF(AX16&gt;0,1-AVERAGEIFS('Data(perSeason,perCrop)'!$E:$E,'Data(perSeason,perCrop)'!$S:$S,Indicators!$B63,'Data(perSeason,perCrop)'!$O:$O,AX$7,'Data(perSeason,perCrop)'!$C:$C,Indicators!AX$3,'Data(perSeason,perCrop)'!$R:$R,"IRRIGATED")/AVERAGEIFS('Data(perSeason,perCrop)'!$F:$F,'Data(perSeason,perCrop)'!$S:$S,Indicators!$B63,'Data(perSeason,perCrop)'!$O:$O,AX$7,'Data(perSeason,perCrop)'!$C:$C,Indicators!AX$3,'Data(perSeason,perCrop)'!$R:$R,"IRRIGATED"),"")</f>
        <v/>
      </c>
      <c r="AY63" s="8">
        <f>IF(AY16&gt;0,1-AVERAGEIFS('Data(perSeason,perCrop)'!$E:$E,'Data(perSeason,perCrop)'!$S:$S,Indicators!$B63,'Data(perSeason,perCrop)'!$O:$O,AY$7,'Data(perSeason,perCrop)'!$C:$C,Indicators!AY$3,'Data(perSeason,perCrop)'!$R:$R,"IRRIGATED")/AVERAGEIFS('Data(perSeason,perCrop)'!$F:$F,'Data(perSeason,perCrop)'!$S:$S,Indicators!$B63,'Data(perSeason,perCrop)'!$O:$O,AY$7,'Data(perSeason,perCrop)'!$C:$C,Indicators!AY$3,'Data(perSeason,perCrop)'!$R:$R,"IRRIGATED"),"")</f>
        <v>0.20454545454545459</v>
      </c>
      <c r="AZ63" s="8" t="str">
        <f>IF(AZ16&gt;0,1-AVERAGEIFS('Data(perSeason,perCrop)'!$E:$E,'Data(perSeason,perCrop)'!$S:$S,Indicators!$B63,'Data(perSeason,perCrop)'!$O:$O,AZ$7,'Data(perSeason,perCrop)'!$C:$C,Indicators!AZ$3,'Data(perSeason,perCrop)'!$R:$R,"IRRIGATED")/AVERAGEIFS('Data(perSeason,perCrop)'!$F:$F,'Data(perSeason,perCrop)'!$S:$S,Indicators!$B63,'Data(perSeason,perCrop)'!$O:$O,AZ$7,'Data(perSeason,perCrop)'!$C:$C,Indicators!AZ$3,'Data(perSeason,perCrop)'!$R:$R,"IRRIGATED"),"")</f>
        <v/>
      </c>
      <c r="BA63" s="8" t="str">
        <f>IF(BA16&gt;0,1-AVERAGEIFS('Data(perSeason,perCrop)'!$E:$E,'Data(perSeason,perCrop)'!$S:$S,Indicators!$B63,'Data(perSeason,perCrop)'!$O:$O,BA$7,'Data(perSeason,perCrop)'!$C:$C,Indicators!BA$3,'Data(perSeason,perCrop)'!$R:$R,"IRRIGATED")/AVERAGEIFS('Data(perSeason,perCrop)'!$F:$F,'Data(perSeason,perCrop)'!$S:$S,Indicators!$B63,'Data(perSeason,perCrop)'!$O:$O,BA$7,'Data(perSeason,perCrop)'!$C:$C,Indicators!BA$3,'Data(perSeason,perCrop)'!$R:$R,"IRRIGATED"),"")</f>
        <v/>
      </c>
      <c r="BB63" s="8" t="str">
        <f>IF(BB16&gt;0,1-AVERAGEIFS('Data(perSeason,perCrop)'!$E:$E,'Data(perSeason,perCrop)'!$S:$S,Indicators!$B63,'Data(perSeason,perCrop)'!$O:$O,BB$7,'Data(perSeason,perCrop)'!$C:$C,Indicators!BB$3,'Data(perSeason,perCrop)'!$R:$R,"IRRIGATED")/AVERAGEIFS('Data(perSeason,perCrop)'!$F:$F,'Data(perSeason,perCrop)'!$S:$S,Indicators!$B63,'Data(perSeason,perCrop)'!$O:$O,BB$7,'Data(perSeason,perCrop)'!$C:$C,Indicators!BB$3,'Data(perSeason,perCrop)'!$R:$R,"IRRIGATED"),"")</f>
        <v/>
      </c>
      <c r="BC63" s="8" t="str">
        <f>IF(BC16&gt;0,1-AVERAGEIFS('Data(perSeason,perCrop)'!$E:$E,'Data(perSeason,perCrop)'!$S:$S,Indicators!$B63,'Data(perSeason,perCrop)'!$O:$O,BC$7,'Data(perSeason,perCrop)'!$C:$C,Indicators!BC$3,'Data(perSeason,perCrop)'!$R:$R,"IRRIGATED")/AVERAGEIFS('Data(perSeason,perCrop)'!$F:$F,'Data(perSeason,perCrop)'!$S:$S,Indicators!$B63,'Data(perSeason,perCrop)'!$O:$O,BC$7,'Data(perSeason,perCrop)'!$C:$C,Indicators!BC$3,'Data(perSeason,perCrop)'!$R:$R,"IRRIGATED"),"")</f>
        <v/>
      </c>
      <c r="BD63" s="8" t="str">
        <f>IF(BD16&gt;0,1-AVERAGEIFS('Data(perSeason,perCrop)'!$E:$E,'Data(perSeason,perCrop)'!$S:$S,Indicators!$B63,'Data(perSeason,perCrop)'!$O:$O,BD$7,'Data(perSeason,perCrop)'!$C:$C,Indicators!BD$3,'Data(perSeason,perCrop)'!$R:$R,"IRRIGATED")/AVERAGEIFS('Data(perSeason,perCrop)'!$F:$F,'Data(perSeason,perCrop)'!$S:$S,Indicators!$B63,'Data(perSeason,perCrop)'!$O:$O,BD$7,'Data(perSeason,perCrop)'!$C:$C,Indicators!BD$3,'Data(perSeason,perCrop)'!$R:$R,"IRRIGATED"),"")</f>
        <v/>
      </c>
      <c r="BE63" s="8" t="str">
        <f>IF(BE16&gt;0,1-AVERAGEIFS('Data(perSeason,perCrop)'!$E:$E,'Data(perSeason,perCrop)'!$S:$S,Indicators!$B63,'Data(perSeason,perCrop)'!$O:$O,BE$7,'Data(perSeason,perCrop)'!$C:$C,Indicators!BE$3,'Data(perSeason,perCrop)'!$R:$R,"IRRIGATED")/AVERAGEIFS('Data(perSeason,perCrop)'!$F:$F,'Data(perSeason,perCrop)'!$S:$S,Indicators!$B63,'Data(perSeason,perCrop)'!$O:$O,BE$7,'Data(perSeason,perCrop)'!$C:$C,Indicators!BE$3,'Data(perSeason,perCrop)'!$R:$R,"IRRIGATED"),"")</f>
        <v/>
      </c>
      <c r="BF63" s="8" t="str">
        <f>IF(BF16&gt;0,1-AVERAGEIFS('Data(perSeason,perCrop)'!$E:$E,'Data(perSeason,perCrop)'!$S:$S,Indicators!$B63,'Data(perSeason,perCrop)'!$O:$O,BF$7,'Data(perSeason,perCrop)'!$C:$C,Indicators!BF$3,'Data(perSeason,perCrop)'!$R:$R,"IRRIGATED")/AVERAGEIFS('Data(perSeason,perCrop)'!$F:$F,'Data(perSeason,perCrop)'!$S:$S,Indicators!$B63,'Data(perSeason,perCrop)'!$O:$O,BF$7,'Data(perSeason,perCrop)'!$C:$C,Indicators!BF$3,'Data(perSeason,perCrop)'!$R:$R,"IRRIGATED"),"")</f>
        <v/>
      </c>
      <c r="BG63" s="8" t="str">
        <f>IF(BG16&gt;0,1-AVERAGEIFS('Data(perSeason,perCrop)'!$E:$E,'Data(perSeason,perCrop)'!$S:$S,Indicators!$B63,'Data(perSeason,perCrop)'!$O:$O,BG$7,'Data(perSeason,perCrop)'!$C:$C,Indicators!BG$3,'Data(perSeason,perCrop)'!$R:$R,"IRRIGATED")/AVERAGEIFS('Data(perSeason,perCrop)'!$F:$F,'Data(perSeason,perCrop)'!$S:$S,Indicators!$B63,'Data(perSeason,perCrop)'!$O:$O,BG$7,'Data(perSeason,perCrop)'!$C:$C,Indicators!BG$3,'Data(perSeason,perCrop)'!$R:$R,"IRRIGATED"),"")</f>
        <v/>
      </c>
      <c r="BH63" s="8" t="str">
        <f>IF(BH16&gt;0,1-AVERAGEIFS('Data(perSeason,perCrop)'!$E:$E,'Data(perSeason,perCrop)'!$S:$S,Indicators!$B63,'Data(perSeason,perCrop)'!$O:$O,BH$7,'Data(perSeason,perCrop)'!$C:$C,Indicators!BH$3,'Data(perSeason,perCrop)'!$R:$R,"IRRIGATED")/AVERAGEIFS('Data(perSeason,perCrop)'!$F:$F,'Data(perSeason,perCrop)'!$S:$S,Indicators!$B63,'Data(perSeason,perCrop)'!$O:$O,BH$7,'Data(perSeason,perCrop)'!$C:$C,Indicators!BH$3,'Data(perSeason,perCrop)'!$R:$R,"IRRIGATED"),"")</f>
        <v/>
      </c>
      <c r="BI63" s="8" t="str">
        <f>IF(BI16&gt;0,1-AVERAGEIFS('Data(perSeason,perCrop)'!$E:$E,'Data(perSeason,perCrop)'!$S:$S,Indicators!$B63,'Data(perSeason,perCrop)'!$O:$O,BI$7,'Data(perSeason,perCrop)'!$C:$C,Indicators!BI$3,'Data(perSeason,perCrop)'!$R:$R,"IRRIGATED")/AVERAGEIFS('Data(perSeason,perCrop)'!$F:$F,'Data(perSeason,perCrop)'!$S:$S,Indicators!$B63,'Data(perSeason,perCrop)'!$O:$O,BI$7,'Data(perSeason,perCrop)'!$C:$C,Indicators!BI$3,'Data(perSeason,perCrop)'!$R:$R,"IRRIGATED"),"")</f>
        <v/>
      </c>
      <c r="BJ63" s="8" t="str">
        <f>IF(BJ16&gt;0,1-AVERAGEIFS('Data(perSeason,perCrop)'!$E:$E,'Data(perSeason,perCrop)'!$S:$S,Indicators!$B63,'Data(perSeason,perCrop)'!$O:$O,BJ$7,'Data(perSeason,perCrop)'!$C:$C,Indicators!BJ$3,'Data(perSeason,perCrop)'!$R:$R,"IRRIGATED")/AVERAGEIFS('Data(perSeason,perCrop)'!$F:$F,'Data(perSeason,perCrop)'!$S:$S,Indicators!$B63,'Data(perSeason,perCrop)'!$O:$O,BJ$7,'Data(perSeason,perCrop)'!$C:$C,Indicators!BJ$3,'Data(perSeason,perCrop)'!$R:$R,"IRRIGATED"),"")</f>
        <v/>
      </c>
      <c r="BK63" s="8" t="str">
        <f>IF(BK16&gt;0,1-AVERAGEIFS('Data(perSeason,perCrop)'!$E:$E,'Data(perSeason,perCrop)'!$S:$S,Indicators!$B63,'Data(perSeason,perCrop)'!$O:$O,BK$7,'Data(perSeason,perCrop)'!$C:$C,Indicators!BK$3,'Data(perSeason,perCrop)'!$R:$R,"IRRIGATED")/AVERAGEIFS('Data(perSeason,perCrop)'!$F:$F,'Data(perSeason,perCrop)'!$S:$S,Indicators!$B63,'Data(perSeason,perCrop)'!$O:$O,BK$7,'Data(perSeason,perCrop)'!$C:$C,Indicators!BK$3,'Data(perSeason,perCrop)'!$R:$R,"IRRIGATED"),"")</f>
        <v/>
      </c>
      <c r="BL63" s="8">
        <f>IF(BL16&gt;0,1-AVERAGEIFS('Data(perSeason,perCrop)'!$E:$E,'Data(perSeason,perCrop)'!$S:$S,Indicators!$B63,'Data(perSeason,perCrop)'!$O:$O,BL$7,'Data(perSeason,perCrop)'!$C:$C,Indicators!BL$3,'Data(perSeason,perCrop)'!$R:$R,"IRRIGATED")/AVERAGEIFS('Data(perSeason,perCrop)'!$F:$F,'Data(perSeason,perCrop)'!$S:$S,Indicators!$B63,'Data(perSeason,perCrop)'!$O:$O,BL$7,'Data(perSeason,perCrop)'!$C:$C,Indicators!BL$3,'Data(perSeason,perCrop)'!$R:$R,"IRRIGATED"),"")</f>
        <v>0.3179012345679012</v>
      </c>
      <c r="BM63" s="8" t="str">
        <f>IF(BM16&gt;0,1-AVERAGEIFS('Data(perSeason,perCrop)'!$E:$E,'Data(perSeason,perCrop)'!$S:$S,Indicators!$B63,'Data(perSeason,perCrop)'!$O:$O,BM$7,'Data(perSeason,perCrop)'!$C:$C,Indicators!BM$3,'Data(perSeason,perCrop)'!$R:$R,"IRRIGATED")/AVERAGEIFS('Data(perSeason,perCrop)'!$F:$F,'Data(perSeason,perCrop)'!$S:$S,Indicators!$B63,'Data(perSeason,perCrop)'!$O:$O,BM$7,'Data(perSeason,perCrop)'!$C:$C,Indicators!BM$3,'Data(perSeason,perCrop)'!$R:$R,"IRRIGATED"),"")</f>
        <v/>
      </c>
      <c r="BN63" s="8">
        <f>IF(BN16&gt;0,1-AVERAGEIFS('Data(perSeason,perCrop)'!$E:$E,'Data(perSeason,perCrop)'!$S:$S,Indicators!$B63,'Data(perSeason,perCrop)'!$O:$O,BN$7,'Data(perSeason,perCrop)'!$C:$C,Indicators!BN$3,'Data(perSeason,perCrop)'!$R:$R,"IRRIGATED")/AVERAGEIFS('Data(perSeason,perCrop)'!$F:$F,'Data(perSeason,perCrop)'!$S:$S,Indicators!$B63,'Data(perSeason,perCrop)'!$O:$O,BN$7,'Data(perSeason,perCrop)'!$C:$C,Indicators!BN$3,'Data(perSeason,perCrop)'!$R:$R,"IRRIGATED"),"")</f>
        <v>0.30312499999999998</v>
      </c>
      <c r="BO63" s="8" t="str">
        <f>IF(BO16&gt;0,1-AVERAGEIFS('Data(perSeason,perCrop)'!$E:$E,'Data(perSeason,perCrop)'!$S:$S,Indicators!$B63,'Data(perSeason,perCrop)'!$O:$O,BO$7,'Data(perSeason,perCrop)'!$C:$C,Indicators!BO$3,'Data(perSeason,perCrop)'!$R:$R,"IRRIGATED")/AVERAGEIFS('Data(perSeason,perCrop)'!$F:$F,'Data(perSeason,perCrop)'!$S:$S,Indicators!$B63,'Data(perSeason,perCrop)'!$O:$O,BO$7,'Data(perSeason,perCrop)'!$C:$C,Indicators!BO$3,'Data(perSeason,perCrop)'!$R:$R,"IRRIGATED"),"")</f>
        <v/>
      </c>
      <c r="BP63" s="8" t="str">
        <f>IF(BP16&gt;0,1-AVERAGEIFS('Data(perSeason,perCrop)'!$E:$E,'Data(perSeason,perCrop)'!$S:$S,Indicators!$B63,'Data(perSeason,perCrop)'!$O:$O,BP$7,'Data(perSeason,perCrop)'!$C:$C,Indicators!BP$3,'Data(perSeason,perCrop)'!$R:$R,"IRRIGATED")/AVERAGEIFS('Data(perSeason,perCrop)'!$F:$F,'Data(perSeason,perCrop)'!$S:$S,Indicators!$B63,'Data(perSeason,perCrop)'!$O:$O,BP$7,'Data(perSeason,perCrop)'!$C:$C,Indicators!BP$3,'Data(perSeason,perCrop)'!$R:$R,"IRRIGATED"),"")</f>
        <v/>
      </c>
      <c r="BQ63" s="8">
        <f>IF(BQ16&gt;0,1-AVERAGEIFS('Data(perSeason,perCrop)'!$E:$E,'Data(perSeason,perCrop)'!$S:$S,Indicators!$B63,'Data(perSeason,perCrop)'!$O:$O,BQ$7,'Data(perSeason,perCrop)'!$C:$C,Indicators!BQ$3,'Data(perSeason,perCrop)'!$R:$R,"IRRIGATED")/AVERAGEIFS('Data(perSeason,perCrop)'!$F:$F,'Data(perSeason,perCrop)'!$S:$S,Indicators!$B63,'Data(perSeason,perCrop)'!$O:$O,BQ$7,'Data(perSeason,perCrop)'!$C:$C,Indicators!BQ$3,'Data(perSeason,perCrop)'!$R:$R,"IRRIGATED"),"")</f>
        <v>0.20359281437125754</v>
      </c>
      <c r="BR63" s="8" t="str">
        <f>IF(BR16&gt;0,1-AVERAGEIFS('Data(perSeason,perCrop)'!$E:$E,'Data(perSeason,perCrop)'!$S:$S,Indicators!$B63,'Data(perSeason,perCrop)'!$O:$O,BR$7,'Data(perSeason,perCrop)'!$C:$C,Indicators!BR$3,'Data(perSeason,perCrop)'!$R:$R,"IRRIGATED")/AVERAGEIFS('Data(perSeason,perCrop)'!$F:$F,'Data(perSeason,perCrop)'!$S:$S,Indicators!$B63,'Data(perSeason,perCrop)'!$O:$O,BR$7,'Data(perSeason,perCrop)'!$C:$C,Indicators!BR$3,'Data(perSeason,perCrop)'!$R:$R,"IRRIGATED"),"")</f>
        <v/>
      </c>
      <c r="BS63" s="8" t="str">
        <f>IF(BS16&gt;0,1-AVERAGEIFS('Data(perSeason,perCrop)'!$E:$E,'Data(perSeason,perCrop)'!$S:$S,Indicators!$B63,'Data(perSeason,perCrop)'!$O:$O,BS$7,'Data(perSeason,perCrop)'!$C:$C,Indicators!BS$3,'Data(perSeason,perCrop)'!$R:$R,"IRRIGATED")/AVERAGEIFS('Data(perSeason,perCrop)'!$F:$F,'Data(perSeason,perCrop)'!$S:$S,Indicators!$B63,'Data(perSeason,perCrop)'!$O:$O,BS$7,'Data(perSeason,perCrop)'!$C:$C,Indicators!BS$3,'Data(perSeason,perCrop)'!$R:$R,"IRRIGATED"),"")</f>
        <v/>
      </c>
      <c r="BT63" s="8" t="str">
        <f>IF(BT16&gt;0,1-AVERAGEIFS('Data(perSeason,perCrop)'!$E:$E,'Data(perSeason,perCrop)'!$S:$S,Indicators!$B63,'Data(perSeason,perCrop)'!$O:$O,BT$7,'Data(perSeason,perCrop)'!$C:$C,Indicators!BT$3,'Data(perSeason,perCrop)'!$R:$R,"IRRIGATED")/AVERAGEIFS('Data(perSeason,perCrop)'!$F:$F,'Data(perSeason,perCrop)'!$S:$S,Indicators!$B63,'Data(perSeason,perCrop)'!$O:$O,BT$7,'Data(perSeason,perCrop)'!$C:$C,Indicators!BT$3,'Data(perSeason,perCrop)'!$R:$R,"IRRIGATED"),"")</f>
        <v/>
      </c>
      <c r="BU63" s="8" t="str">
        <f>IF(BU16&gt;0,1-AVERAGEIFS('Data(perSeason,perCrop)'!$E:$E,'Data(perSeason,perCrop)'!$S:$S,Indicators!$B63,'Data(perSeason,perCrop)'!$O:$O,BU$7,'Data(perSeason,perCrop)'!$C:$C,Indicators!BU$3,'Data(perSeason,perCrop)'!$R:$R,"IRRIGATED")/AVERAGEIFS('Data(perSeason,perCrop)'!$F:$F,'Data(perSeason,perCrop)'!$S:$S,Indicators!$B63,'Data(perSeason,perCrop)'!$O:$O,BU$7,'Data(perSeason,perCrop)'!$C:$C,Indicators!BU$3,'Data(perSeason,perCrop)'!$R:$R,"IRRIGATED"),"")</f>
        <v/>
      </c>
      <c r="BV63" s="8" t="str">
        <f>IF(BV16&gt;0,1-AVERAGEIFS('Data(perSeason,perCrop)'!$E:$E,'Data(perSeason,perCrop)'!$S:$S,Indicators!$B63,'Data(perSeason,perCrop)'!$O:$O,BV$7,'Data(perSeason,perCrop)'!$C:$C,Indicators!BV$3,'Data(perSeason,perCrop)'!$R:$R,"IRRIGATED")/AVERAGEIFS('Data(perSeason,perCrop)'!$F:$F,'Data(perSeason,perCrop)'!$S:$S,Indicators!$B63,'Data(perSeason,perCrop)'!$O:$O,BV$7,'Data(perSeason,perCrop)'!$C:$C,Indicators!BV$3,'Data(perSeason,perCrop)'!$R:$R,"IRRIGATED"),"")</f>
        <v/>
      </c>
      <c r="BW63" s="8" t="str">
        <f>IF(BW16&gt;0,1-AVERAGEIFS('Data(perSeason,perCrop)'!$E:$E,'Data(perSeason,perCrop)'!$S:$S,Indicators!$B63,'Data(perSeason,perCrop)'!$O:$O,BW$7,'Data(perSeason,perCrop)'!$C:$C,Indicators!BW$3,'Data(perSeason,perCrop)'!$R:$R,"IRRIGATED")/AVERAGEIFS('Data(perSeason,perCrop)'!$F:$F,'Data(perSeason,perCrop)'!$S:$S,Indicators!$B63,'Data(perSeason,perCrop)'!$O:$O,BW$7,'Data(perSeason,perCrop)'!$C:$C,Indicators!BW$3,'Data(perSeason,perCrop)'!$R:$R,"IRRIGATED"),"")</f>
        <v/>
      </c>
      <c r="BX63" s="8" t="str">
        <f>IF(BX16&gt;0,1-AVERAGEIFS('Data(perSeason,perCrop)'!$E:$E,'Data(perSeason,perCrop)'!$S:$S,Indicators!$B63,'Data(perSeason,perCrop)'!$O:$O,BX$7,'Data(perSeason,perCrop)'!$C:$C,Indicators!BX$3,'Data(perSeason,perCrop)'!$R:$R,"IRRIGATED")/AVERAGEIFS('Data(perSeason,perCrop)'!$F:$F,'Data(perSeason,perCrop)'!$S:$S,Indicators!$B63,'Data(perSeason,perCrop)'!$O:$O,BX$7,'Data(perSeason,perCrop)'!$C:$C,Indicators!BX$3,'Data(perSeason,perCrop)'!$R:$R,"IRRIGATED"),"")</f>
        <v/>
      </c>
      <c r="BY63" s="8" t="str">
        <f>IF(BY16&gt;0,1-AVERAGEIFS('Data(perSeason,perCrop)'!$E:$E,'Data(perSeason,perCrop)'!$S:$S,Indicators!$B63,'Data(perSeason,perCrop)'!$O:$O,BY$7,'Data(perSeason,perCrop)'!$C:$C,Indicators!BY$3,'Data(perSeason,perCrop)'!$R:$R,"IRRIGATED")/AVERAGEIFS('Data(perSeason,perCrop)'!$F:$F,'Data(perSeason,perCrop)'!$S:$S,Indicators!$B63,'Data(perSeason,perCrop)'!$O:$O,BY$7,'Data(perSeason,perCrop)'!$C:$C,Indicators!BY$3,'Data(perSeason,perCrop)'!$R:$R,"IRRIGATED"),"")</f>
        <v/>
      </c>
      <c r="BZ63" s="8" t="str">
        <f>IF(BZ16&gt;0,1-AVERAGEIFS('Data(perSeason,perCrop)'!$E:$E,'Data(perSeason,perCrop)'!$S:$S,Indicators!$B63,'Data(perSeason,perCrop)'!$O:$O,BZ$7,'Data(perSeason,perCrop)'!$C:$C,Indicators!BZ$3,'Data(perSeason,perCrop)'!$R:$R,"IRRIGATED")/AVERAGEIFS('Data(perSeason,perCrop)'!$F:$F,'Data(perSeason,perCrop)'!$S:$S,Indicators!$B63,'Data(perSeason,perCrop)'!$O:$O,BZ$7,'Data(perSeason,perCrop)'!$C:$C,Indicators!BZ$3,'Data(perSeason,perCrop)'!$R:$R,"IRRIGATED"),"")</f>
        <v/>
      </c>
      <c r="CA63" s="8" t="str">
        <f>IF(CA16&gt;0,1-AVERAGEIFS('Data(perSeason,perCrop)'!$E:$E,'Data(perSeason,perCrop)'!$S:$S,Indicators!$B63,'Data(perSeason,perCrop)'!$O:$O,CA$7,'Data(perSeason,perCrop)'!$C:$C,Indicators!CA$3,'Data(perSeason,perCrop)'!$R:$R,"IRRIGATED")/AVERAGEIFS('Data(perSeason,perCrop)'!$F:$F,'Data(perSeason,perCrop)'!$S:$S,Indicators!$B63,'Data(perSeason,perCrop)'!$O:$O,CA$7,'Data(perSeason,perCrop)'!$C:$C,Indicators!CA$3,'Data(perSeason,perCrop)'!$R:$R,"IRRIGATED"),"")</f>
        <v/>
      </c>
      <c r="CB63" s="8" t="str">
        <f>IF(CB16&gt;0,1-AVERAGEIFS('Data(perSeason,perCrop)'!$E:$E,'Data(perSeason,perCrop)'!$S:$S,Indicators!$B63,'Data(perSeason,perCrop)'!$O:$O,CB$7,'Data(perSeason,perCrop)'!$C:$C,Indicators!CB$3,'Data(perSeason,perCrop)'!$R:$R,"IRRIGATED")/AVERAGEIFS('Data(perSeason,perCrop)'!$F:$F,'Data(perSeason,perCrop)'!$S:$S,Indicators!$B63,'Data(perSeason,perCrop)'!$O:$O,CB$7,'Data(perSeason,perCrop)'!$C:$C,Indicators!CB$3,'Data(perSeason,perCrop)'!$R:$R,"IRRIGATED"),"")</f>
        <v/>
      </c>
      <c r="CC63" s="8" t="str">
        <f>IF(CC16&gt;0,1-AVERAGEIFS('Data(perSeason,perCrop)'!$E:$E,'Data(perSeason,perCrop)'!$S:$S,Indicators!$B63,'Data(perSeason,perCrop)'!$O:$O,CC$7,'Data(perSeason,perCrop)'!$C:$C,Indicators!CC$3,'Data(perSeason,perCrop)'!$R:$R,"IRRIGATED")/AVERAGEIFS('Data(perSeason,perCrop)'!$F:$F,'Data(perSeason,perCrop)'!$S:$S,Indicators!$B63,'Data(perSeason,perCrop)'!$O:$O,CC$7,'Data(perSeason,perCrop)'!$C:$C,Indicators!CC$3,'Data(perSeason,perCrop)'!$R:$R,"IRRIGATED"),"")</f>
        <v/>
      </c>
      <c r="CD63" s="8" t="str">
        <f>IF(CD16&gt;0,1-AVERAGEIFS('Data(perSeason,perCrop)'!$E:$E,'Data(perSeason,perCrop)'!$S:$S,Indicators!$B63,'Data(perSeason,perCrop)'!$O:$O,CD$7,'Data(perSeason,perCrop)'!$C:$C,Indicators!CD$3,'Data(perSeason,perCrop)'!$R:$R,"IRRIGATED")/AVERAGEIFS('Data(perSeason,perCrop)'!$F:$F,'Data(perSeason,perCrop)'!$S:$S,Indicators!$B63,'Data(perSeason,perCrop)'!$O:$O,CD$7,'Data(perSeason,perCrop)'!$C:$C,Indicators!CD$3,'Data(perSeason,perCrop)'!$R:$R,"IRRIGATED"),"")</f>
        <v/>
      </c>
      <c r="CE63" s="8" t="str">
        <f>IF(CE16&gt;0,1-AVERAGEIFS('Data(perSeason,perCrop)'!$E:$E,'Data(perSeason,perCrop)'!$S:$S,Indicators!$B63,'Data(perSeason,perCrop)'!$O:$O,CE$7,'Data(perSeason,perCrop)'!$C:$C,Indicators!CE$3,'Data(perSeason,perCrop)'!$R:$R,"IRRIGATED")/AVERAGEIFS('Data(perSeason,perCrop)'!$F:$F,'Data(perSeason,perCrop)'!$S:$S,Indicators!$B63,'Data(perSeason,perCrop)'!$O:$O,CE$7,'Data(perSeason,perCrop)'!$C:$C,Indicators!CE$3,'Data(perSeason,perCrop)'!$R:$R,"IRRIGATED"),"")</f>
        <v/>
      </c>
      <c r="CF63" s="8" t="str">
        <f>IF(CF16&gt;0,1-AVERAGEIFS('Data(perSeason,perCrop)'!$E:$E,'Data(perSeason,perCrop)'!$S:$S,Indicators!$B63,'Data(perSeason,perCrop)'!$O:$O,CF$7,'Data(perSeason,perCrop)'!$C:$C,Indicators!CF$3,'Data(perSeason,perCrop)'!$R:$R,"IRRIGATED")/AVERAGEIFS('Data(perSeason,perCrop)'!$F:$F,'Data(perSeason,perCrop)'!$S:$S,Indicators!$B63,'Data(perSeason,perCrop)'!$O:$O,CF$7,'Data(perSeason,perCrop)'!$C:$C,Indicators!CF$3,'Data(perSeason,perCrop)'!$R:$R,"IRRIGATED"),"")</f>
        <v/>
      </c>
      <c r="CG63" s="8" t="str">
        <f>IF(CG16&gt;0,1-AVERAGEIFS('Data(perSeason,perCrop)'!$E:$E,'Data(perSeason,perCrop)'!$S:$S,Indicators!$B63,'Data(perSeason,perCrop)'!$O:$O,CG$7,'Data(perSeason,perCrop)'!$C:$C,Indicators!CG$3,'Data(perSeason,perCrop)'!$R:$R,"IRRIGATED")/AVERAGEIFS('Data(perSeason,perCrop)'!$F:$F,'Data(perSeason,perCrop)'!$S:$S,Indicators!$B63,'Data(perSeason,perCrop)'!$O:$O,CG$7,'Data(perSeason,perCrop)'!$C:$C,Indicators!CG$3,'Data(perSeason,perCrop)'!$R:$R,"IRRIGATED"),"")</f>
        <v/>
      </c>
      <c r="CH63" s="8" t="str">
        <f>IF(CH16&gt;0,1-AVERAGEIFS('Data(perSeason,perCrop)'!$E:$E,'Data(perSeason,perCrop)'!$S:$S,Indicators!$B63,'Data(perSeason,perCrop)'!$O:$O,CH$7,'Data(perSeason,perCrop)'!$C:$C,Indicators!CH$3,'Data(perSeason,perCrop)'!$R:$R,"IRRIGATED")/AVERAGEIFS('Data(perSeason,perCrop)'!$F:$F,'Data(perSeason,perCrop)'!$S:$S,Indicators!$B63,'Data(perSeason,perCrop)'!$O:$O,CH$7,'Data(perSeason,perCrop)'!$C:$C,Indicators!CH$3,'Data(perSeason,perCrop)'!$R:$R,"IRRIGATED"),"")</f>
        <v/>
      </c>
      <c r="CI63" s="8" t="str">
        <f>IF(CI16&gt;0,1-AVERAGEIFS('Data(perSeason,perCrop)'!$E:$E,'Data(perSeason,perCrop)'!$S:$S,Indicators!$B63,'Data(perSeason,perCrop)'!$O:$O,CI$7,'Data(perSeason,perCrop)'!$C:$C,Indicators!CI$3,'Data(perSeason,perCrop)'!$R:$R,"IRRIGATED")/AVERAGEIFS('Data(perSeason,perCrop)'!$F:$F,'Data(perSeason,perCrop)'!$S:$S,Indicators!$B63,'Data(perSeason,perCrop)'!$O:$O,CI$7,'Data(perSeason,perCrop)'!$C:$C,Indicators!CI$3,'Data(perSeason,perCrop)'!$R:$R,"IRRIGATED"),"")</f>
        <v/>
      </c>
      <c r="CJ63" s="8" t="str">
        <f>IF(CJ16&gt;0,1-AVERAGEIFS('Data(perSeason,perCrop)'!$E:$E,'Data(perSeason,perCrop)'!$S:$S,Indicators!$B63,'Data(perSeason,perCrop)'!$O:$O,CJ$7,'Data(perSeason,perCrop)'!$C:$C,Indicators!CJ$3,'Data(perSeason,perCrop)'!$R:$R,"IRRIGATED")/AVERAGEIFS('Data(perSeason,perCrop)'!$F:$F,'Data(perSeason,perCrop)'!$S:$S,Indicators!$B63,'Data(perSeason,perCrop)'!$O:$O,CJ$7,'Data(perSeason,perCrop)'!$C:$C,Indicators!CJ$3,'Data(perSeason,perCrop)'!$R:$R,"IRRIGATED"),"")</f>
        <v/>
      </c>
      <c r="CK63" s="8" t="str">
        <f>IF(CK16&gt;0,1-AVERAGEIFS('Data(perSeason,perCrop)'!$E:$E,'Data(perSeason,perCrop)'!$S:$S,Indicators!$B63,'Data(perSeason,perCrop)'!$O:$O,CK$7,'Data(perSeason,perCrop)'!$C:$C,Indicators!CK$3,'Data(perSeason,perCrop)'!$R:$R,"IRRIGATED")/AVERAGEIFS('Data(perSeason,perCrop)'!$F:$F,'Data(perSeason,perCrop)'!$S:$S,Indicators!$B63,'Data(perSeason,perCrop)'!$O:$O,CK$7,'Data(perSeason,perCrop)'!$C:$C,Indicators!CK$3,'Data(perSeason,perCrop)'!$R:$R,"IRRIGATED"),"")</f>
        <v/>
      </c>
      <c r="CL63" s="8" t="str">
        <f>IF(CL16&gt;0,1-AVERAGEIFS('Data(perSeason,perCrop)'!$E:$E,'Data(perSeason,perCrop)'!$S:$S,Indicators!$B63,'Data(perSeason,perCrop)'!$O:$O,CL$7,'Data(perSeason,perCrop)'!$C:$C,Indicators!CL$3,'Data(perSeason,perCrop)'!$R:$R,"IRRIGATED")/AVERAGEIFS('Data(perSeason,perCrop)'!$F:$F,'Data(perSeason,perCrop)'!$S:$S,Indicators!$B63,'Data(perSeason,perCrop)'!$O:$O,CL$7,'Data(perSeason,perCrop)'!$C:$C,Indicators!CL$3,'Data(perSeason,perCrop)'!$R:$R,"IRRIGATED"),"")</f>
        <v/>
      </c>
      <c r="CM63" s="8" t="str">
        <f>IF(CM16&gt;0,1-AVERAGEIFS('Data(perSeason,perCrop)'!$E:$E,'Data(perSeason,perCrop)'!$S:$S,Indicators!$B63,'Data(perSeason,perCrop)'!$O:$O,CM$7,'Data(perSeason,perCrop)'!$C:$C,Indicators!CM$3,'Data(perSeason,perCrop)'!$R:$R,"IRRIGATED")/AVERAGEIFS('Data(perSeason,perCrop)'!$F:$F,'Data(perSeason,perCrop)'!$S:$S,Indicators!$B63,'Data(perSeason,perCrop)'!$O:$O,CM$7,'Data(perSeason,perCrop)'!$C:$C,Indicators!CM$3,'Data(perSeason,perCrop)'!$R:$R,"IRRIGATED"),"")</f>
        <v/>
      </c>
      <c r="CN63" s="8" t="str">
        <f>IF(CN16&gt;0,1-AVERAGEIFS('Data(perSeason,perCrop)'!$E:$E,'Data(perSeason,perCrop)'!$S:$S,Indicators!$B63,'Data(perSeason,perCrop)'!$O:$O,CN$7,'Data(perSeason,perCrop)'!$C:$C,Indicators!CN$3,'Data(perSeason,perCrop)'!$R:$R,"IRRIGATED")/AVERAGEIFS('Data(perSeason,perCrop)'!$F:$F,'Data(perSeason,perCrop)'!$S:$S,Indicators!$B63,'Data(perSeason,perCrop)'!$O:$O,CN$7,'Data(perSeason,perCrop)'!$C:$C,Indicators!CN$3,'Data(perSeason,perCrop)'!$R:$R,"IRRIGATED"),"")</f>
        <v/>
      </c>
      <c r="CO63" s="8" t="str">
        <f>IF(CO16&gt;0,1-AVERAGEIFS('Data(perSeason,perCrop)'!$E:$E,'Data(perSeason,perCrop)'!$S:$S,Indicators!$B63,'Data(perSeason,perCrop)'!$O:$O,CO$7,'Data(perSeason,perCrop)'!$C:$C,Indicators!CO$3,'Data(perSeason,perCrop)'!$R:$R,"IRRIGATED")/AVERAGEIFS('Data(perSeason,perCrop)'!$F:$F,'Data(perSeason,perCrop)'!$S:$S,Indicators!$B63,'Data(perSeason,perCrop)'!$O:$O,CO$7,'Data(perSeason,perCrop)'!$C:$C,Indicators!CO$3,'Data(perSeason,perCrop)'!$R:$R,"IRRIGATED"),"")</f>
        <v/>
      </c>
      <c r="CP63" s="8">
        <f>IF(CP16&gt;0,1-AVERAGEIFS('Data(perSeason,perCrop)'!$E:$E,'Data(perSeason,perCrop)'!$S:$S,Indicators!$B63,'Data(perSeason,perCrop)'!$O:$O,CP$7,'Data(perSeason,perCrop)'!$C:$C,Indicators!CP$3,'Data(perSeason,perCrop)'!$R:$R,"IRRIGATED")/AVERAGEIFS('Data(perSeason,perCrop)'!$F:$F,'Data(perSeason,perCrop)'!$S:$S,Indicators!$B63,'Data(perSeason,perCrop)'!$O:$O,CP$7,'Data(perSeason,perCrop)'!$C:$C,Indicators!CP$3,'Data(perSeason,perCrop)'!$R:$R,"IRRIGATED"),"")</f>
        <v>0.11173184357541899</v>
      </c>
      <c r="CQ63" s="8">
        <f>IF(CQ16&gt;0,1-AVERAGEIFS('Data(perSeason,perCrop)'!$E:$E,'Data(perSeason,perCrop)'!$S:$S,Indicators!$B63,'Data(perSeason,perCrop)'!$O:$O,CQ$7,'Data(perSeason,perCrop)'!$C:$C,Indicators!CQ$3,'Data(perSeason,perCrop)'!$R:$R,"IRRIGATED")/AVERAGEIFS('Data(perSeason,perCrop)'!$F:$F,'Data(perSeason,perCrop)'!$S:$S,Indicators!$B63,'Data(perSeason,perCrop)'!$O:$O,CQ$7,'Data(perSeason,perCrop)'!$C:$C,Indicators!CQ$3,'Data(perSeason,perCrop)'!$R:$R,"IRRIGATED"),"")</f>
        <v>0.20048309178743962</v>
      </c>
      <c r="CR63" s="8" t="str">
        <f>IF(CR16&gt;0,1-AVERAGEIFS('Data(perSeason,perCrop)'!$E:$E,'Data(perSeason,perCrop)'!$S:$S,Indicators!$B63,'Data(perSeason,perCrop)'!$O:$O,CR$7,'Data(perSeason,perCrop)'!$C:$C,Indicators!CR$3,'Data(perSeason,perCrop)'!$R:$R,"IRRIGATED")/AVERAGEIFS('Data(perSeason,perCrop)'!$F:$F,'Data(perSeason,perCrop)'!$S:$S,Indicators!$B63,'Data(perSeason,perCrop)'!$O:$O,CR$7,'Data(perSeason,perCrop)'!$C:$C,Indicators!CR$3,'Data(perSeason,perCrop)'!$R:$R,"IRRIGATED"),"")</f>
        <v/>
      </c>
      <c r="CS63" s="8">
        <f>IF(CS16&gt;0,1-AVERAGEIFS('Data(perSeason,perCrop)'!$E:$E,'Data(perSeason,perCrop)'!$S:$S,Indicators!$B63,'Data(perSeason,perCrop)'!$O:$O,CS$7,'Data(perSeason,perCrop)'!$C:$C,Indicators!CS$3,'Data(perSeason,perCrop)'!$R:$R,"IRRIGATED")/AVERAGEIFS('Data(perSeason,perCrop)'!$F:$F,'Data(perSeason,perCrop)'!$S:$S,Indicators!$B63,'Data(perSeason,perCrop)'!$O:$O,CS$7,'Data(perSeason,perCrop)'!$C:$C,Indicators!CS$3,'Data(perSeason,perCrop)'!$R:$R,"IRRIGATED"),"")</f>
        <v>0.25799086757990863</v>
      </c>
      <c r="CT63" s="8" t="str">
        <f>IF(CT16&gt;0,1-AVERAGEIFS('Data(perSeason,perCrop)'!$E:$E,'Data(perSeason,perCrop)'!$S:$S,Indicators!$B63,'Data(perSeason,perCrop)'!$O:$O,CT$7,'Data(perSeason,perCrop)'!$C:$C,Indicators!CT$3,'Data(perSeason,perCrop)'!$R:$R,"IRRIGATED")/AVERAGEIFS('Data(perSeason,perCrop)'!$F:$F,'Data(perSeason,perCrop)'!$S:$S,Indicators!$B63,'Data(perSeason,perCrop)'!$O:$O,CT$7,'Data(perSeason,perCrop)'!$C:$C,Indicators!CT$3,'Data(perSeason,perCrop)'!$R:$R,"IRRIGATED"),"")</f>
        <v/>
      </c>
      <c r="CU63" s="8" t="str">
        <f>IF(CU16&gt;0,1-AVERAGEIFS('Data(perSeason,perCrop)'!$E:$E,'Data(perSeason,perCrop)'!$S:$S,Indicators!$B63,'Data(perSeason,perCrop)'!$O:$O,CU$7,'Data(perSeason,perCrop)'!$C:$C,Indicators!CU$3,'Data(perSeason,perCrop)'!$R:$R,"IRRIGATED")/AVERAGEIFS('Data(perSeason,perCrop)'!$F:$F,'Data(perSeason,perCrop)'!$S:$S,Indicators!$B63,'Data(perSeason,perCrop)'!$O:$O,CU$7,'Data(perSeason,perCrop)'!$C:$C,Indicators!CU$3,'Data(perSeason,perCrop)'!$R:$R,"IRRIGATED"),"")</f>
        <v/>
      </c>
      <c r="CV63" s="8">
        <f>IF(CV16&gt;0,1-AVERAGEIFS('Data(perSeason,perCrop)'!$E:$E,'Data(perSeason,perCrop)'!$S:$S,Indicators!$B63,'Data(perSeason,perCrop)'!$O:$O,CV$7,'Data(perSeason,perCrop)'!$C:$C,Indicators!CV$3,'Data(perSeason,perCrop)'!$R:$R,"IRRIGATED")/AVERAGEIFS('Data(perSeason,perCrop)'!$F:$F,'Data(perSeason,perCrop)'!$S:$S,Indicators!$B63,'Data(perSeason,perCrop)'!$O:$O,CV$7,'Data(perSeason,perCrop)'!$C:$C,Indicators!CV$3,'Data(perSeason,perCrop)'!$R:$R,"IRRIGATED"),"")</f>
        <v>0.16008316008316004</v>
      </c>
      <c r="CW63" s="8" t="str">
        <f>IF(CW16&gt;0,1-AVERAGEIFS('Data(perSeason,perCrop)'!$E:$E,'Data(perSeason,perCrop)'!$S:$S,Indicators!$B63,'Data(perSeason,perCrop)'!$O:$O,CW$7,'Data(perSeason,perCrop)'!$C:$C,Indicators!CW$3,'Data(perSeason,perCrop)'!$R:$R,"IRRIGATED")/AVERAGEIFS('Data(perSeason,perCrop)'!$F:$F,'Data(perSeason,perCrop)'!$S:$S,Indicators!$B63,'Data(perSeason,perCrop)'!$O:$O,CW$7,'Data(perSeason,perCrop)'!$C:$C,Indicators!CW$3,'Data(perSeason,perCrop)'!$R:$R,"IRRIGATED"),"")</f>
        <v/>
      </c>
      <c r="CX63" s="8" t="str">
        <f>IF(CX16&gt;0,1-AVERAGEIFS('Data(perSeason,perCrop)'!$E:$E,'Data(perSeason,perCrop)'!$S:$S,Indicators!$B63,'Data(perSeason,perCrop)'!$O:$O,CX$7,'Data(perSeason,perCrop)'!$C:$C,Indicators!CX$3,'Data(perSeason,perCrop)'!$R:$R,"IRRIGATED")/AVERAGEIFS('Data(perSeason,perCrop)'!$F:$F,'Data(perSeason,perCrop)'!$S:$S,Indicators!$B63,'Data(perSeason,perCrop)'!$O:$O,CX$7,'Data(perSeason,perCrop)'!$C:$C,Indicators!CX$3,'Data(perSeason,perCrop)'!$R:$R,"IRRIGATED"),"")</f>
        <v/>
      </c>
      <c r="CY63" s="8" t="str">
        <f>IF(CY16&gt;0,1-AVERAGEIFS('Data(perSeason,perCrop)'!$E:$E,'Data(perSeason,perCrop)'!$S:$S,Indicators!$B63,'Data(perSeason,perCrop)'!$O:$O,CY$7,'Data(perSeason,perCrop)'!$C:$C,Indicators!CY$3,'Data(perSeason,perCrop)'!$R:$R,"IRRIGATED")/AVERAGEIFS('Data(perSeason,perCrop)'!$F:$F,'Data(perSeason,perCrop)'!$S:$S,Indicators!$B63,'Data(perSeason,perCrop)'!$O:$O,CY$7,'Data(perSeason,perCrop)'!$C:$C,Indicators!CY$3,'Data(perSeason,perCrop)'!$R:$R,"IRRIGATED"),"")</f>
        <v/>
      </c>
      <c r="CZ63" s="8" t="str">
        <f>IF(CZ16&gt;0,1-AVERAGEIFS('Data(perSeason,perCrop)'!$E:$E,'Data(perSeason,perCrop)'!$S:$S,Indicators!$B63,'Data(perSeason,perCrop)'!$O:$O,CZ$7,'Data(perSeason,perCrop)'!$C:$C,Indicators!CZ$3,'Data(perSeason,perCrop)'!$R:$R,"IRRIGATED")/AVERAGEIFS('Data(perSeason,perCrop)'!$F:$F,'Data(perSeason,perCrop)'!$S:$S,Indicators!$B63,'Data(perSeason,perCrop)'!$O:$O,CZ$7,'Data(perSeason,perCrop)'!$C:$C,Indicators!CZ$3,'Data(perSeason,perCrop)'!$R:$R,"IRRIGATED"),"")</f>
        <v/>
      </c>
      <c r="DA63" s="8" t="str">
        <f>IF(DA16&gt;0,1-AVERAGEIFS('Data(perSeason,perCrop)'!$E:$E,'Data(perSeason,perCrop)'!$S:$S,Indicators!$B63,'Data(perSeason,perCrop)'!$O:$O,DA$7,'Data(perSeason,perCrop)'!$C:$C,Indicators!DA$3,'Data(perSeason,perCrop)'!$R:$R,"IRRIGATED")/AVERAGEIFS('Data(perSeason,perCrop)'!$F:$F,'Data(perSeason,perCrop)'!$S:$S,Indicators!$B63,'Data(perSeason,perCrop)'!$O:$O,DA$7,'Data(perSeason,perCrop)'!$C:$C,Indicators!DA$3,'Data(perSeason,perCrop)'!$R:$R,"IRRIGATED"),"")</f>
        <v/>
      </c>
      <c r="DB63" s="8" t="str">
        <f>IF(DB16&gt;0,1-AVERAGEIFS('Data(perSeason,perCrop)'!$E:$E,'Data(perSeason,perCrop)'!$S:$S,Indicators!$B63,'Data(perSeason,perCrop)'!$O:$O,DB$7,'Data(perSeason,perCrop)'!$C:$C,Indicators!DB$3,'Data(perSeason,perCrop)'!$R:$R,"IRRIGATED")/AVERAGEIFS('Data(perSeason,perCrop)'!$F:$F,'Data(perSeason,perCrop)'!$S:$S,Indicators!$B63,'Data(perSeason,perCrop)'!$O:$O,DB$7,'Data(perSeason,perCrop)'!$C:$C,Indicators!DB$3,'Data(perSeason,perCrop)'!$R:$R,"IRRIGATED"),"")</f>
        <v/>
      </c>
      <c r="DC63" s="8" t="str">
        <f>IF(DC16&gt;0,1-AVERAGEIFS('Data(perSeason,perCrop)'!$E:$E,'Data(perSeason,perCrop)'!$S:$S,Indicators!$B63,'Data(perSeason,perCrop)'!$O:$O,DC$7,'Data(perSeason,perCrop)'!$C:$C,Indicators!DC$3,'Data(perSeason,perCrop)'!$R:$R,"IRRIGATED")/AVERAGEIFS('Data(perSeason,perCrop)'!$F:$F,'Data(perSeason,perCrop)'!$S:$S,Indicators!$B63,'Data(perSeason,perCrop)'!$O:$O,DC$7,'Data(perSeason,perCrop)'!$C:$C,Indicators!DC$3,'Data(perSeason,perCrop)'!$R:$R,"IRRIGATED"),"")</f>
        <v/>
      </c>
      <c r="DD63" s="8" t="str">
        <f>IF(DD16&gt;0,1-AVERAGEIFS('Data(perSeason,perCrop)'!$E:$E,'Data(perSeason,perCrop)'!$S:$S,Indicators!$B63,'Data(perSeason,perCrop)'!$O:$O,DD$7,'Data(perSeason,perCrop)'!$C:$C,Indicators!DD$3,'Data(perSeason,perCrop)'!$R:$R,"IRRIGATED")/AVERAGEIFS('Data(perSeason,perCrop)'!$F:$F,'Data(perSeason,perCrop)'!$S:$S,Indicators!$B63,'Data(perSeason,perCrop)'!$O:$O,DD$7,'Data(perSeason,perCrop)'!$C:$C,Indicators!DD$3,'Data(perSeason,perCrop)'!$R:$R,"IRRIGATED"),"")</f>
        <v/>
      </c>
      <c r="DE63" s="8" t="str">
        <f>IF(DE16&gt;0,1-AVERAGEIFS('Data(perSeason,perCrop)'!$E:$E,'Data(perSeason,perCrop)'!$S:$S,Indicators!$B63,'Data(perSeason,perCrop)'!$O:$O,DE$7,'Data(perSeason,perCrop)'!$C:$C,Indicators!DE$3,'Data(perSeason,perCrop)'!$R:$R,"IRRIGATED")/AVERAGEIFS('Data(perSeason,perCrop)'!$F:$F,'Data(perSeason,perCrop)'!$S:$S,Indicators!$B63,'Data(perSeason,perCrop)'!$O:$O,DE$7,'Data(perSeason,perCrop)'!$C:$C,Indicators!DE$3,'Data(perSeason,perCrop)'!$R:$R,"IRRIGATED"),"")</f>
        <v/>
      </c>
      <c r="DF63" s="8" t="str">
        <f>IF(DF16&gt;0,1-AVERAGEIFS('Data(perSeason,perCrop)'!$E:$E,'Data(perSeason,perCrop)'!$S:$S,Indicators!$B63,'Data(perSeason,perCrop)'!$O:$O,DF$7,'Data(perSeason,perCrop)'!$C:$C,Indicators!DF$3,'Data(perSeason,perCrop)'!$R:$R,"IRRIGATED")/AVERAGEIFS('Data(perSeason,perCrop)'!$F:$F,'Data(perSeason,perCrop)'!$S:$S,Indicators!$B63,'Data(perSeason,perCrop)'!$O:$O,DF$7,'Data(perSeason,perCrop)'!$C:$C,Indicators!DF$3,'Data(perSeason,perCrop)'!$R:$R,"IRRIGATED"),"")</f>
        <v/>
      </c>
      <c r="DG63" s="8" t="str">
        <f>IF(DG16&gt;0,1-AVERAGEIFS('Data(perSeason,perCrop)'!$E:$E,'Data(perSeason,perCrop)'!$S:$S,Indicators!$B63,'Data(perSeason,perCrop)'!$O:$O,DG$7,'Data(perSeason,perCrop)'!$C:$C,Indicators!DG$3,'Data(perSeason,perCrop)'!$R:$R,"IRRIGATED")/AVERAGEIFS('Data(perSeason,perCrop)'!$F:$F,'Data(perSeason,perCrop)'!$S:$S,Indicators!$B63,'Data(perSeason,perCrop)'!$O:$O,DG$7,'Data(perSeason,perCrop)'!$C:$C,Indicators!DG$3,'Data(perSeason,perCrop)'!$R:$R,"IRRIGATED"),"")</f>
        <v/>
      </c>
    </row>
    <row r="64" spans="1:111" x14ac:dyDescent="0.25">
      <c r="B64">
        <v>2020</v>
      </c>
      <c r="C64" s="80">
        <f>IF(COUNTIFS('Data(perSeason,perCrop)'!$S:$S,Indicators!$B64)&gt;0,SUMPRODUCT(S17:AW17,S64:AW64)/SUM(S17:AW17),"")</f>
        <v>0.17837009457175418</v>
      </c>
      <c r="D64" s="80">
        <f>IF(COUNTIFS('Data(perSeason,perCrop)'!$S:$S,Indicators!$B64)&gt;0,SUMPRODUCT(AX17:CB17,AX64:CB64)/SUM(AX17:CB17),"")</f>
        <v>0.19518292900311013</v>
      </c>
      <c r="E64" s="80">
        <f>IF(COUNTIFS('Data(perSeason,perCrop)'!$S:$S,Indicators!$B64)&gt;0,SUMPRODUCT(CC17:DG17,CC64:DG64)/SUM(CC17:DG17),"")</f>
        <v>0.19716989447899658</v>
      </c>
      <c r="F64" s="80">
        <f>IF(COUNTIFS('Data(perSeason,perCrop)'!$S:$S,Indicators!$B64)&gt;0,'Indicators(perCrop)'!X$38,"")</f>
        <v>0.29111703002532957</v>
      </c>
      <c r="G64" s="8"/>
      <c r="H64" s="8"/>
      <c r="J64" s="2" t="s">
        <v>98</v>
      </c>
      <c r="K64" s="8">
        <f>IF(K17&gt;0,1-AVERAGEIFS('Data(perSeason,perCrop)'!$E:$E,'Data(perSeason,perCrop)'!$S:$S,Indicators!$B64,'Data(perSeason,perCrop)'!$O:$O,0,'Data(perSeason,perCrop)'!$C:$C,Indicators!K$3,'Data(perSeason,perCrop)'!$R:$R,"IRRIGATED")/AVERAGEIFS('Data(perSeason,perCrop)'!$F:$F,'Data(perSeason,perCrop)'!$S:$S,Indicators!$B64,'Data(perSeason,perCrop)'!$O:$O,0,'Data(perSeason,perCrop)'!$C:$C,Indicators!K$3,'Data(perSeason,perCrop)'!$R:$R,"IRRIGATED"),"")</f>
        <v>0.3474452554744526</v>
      </c>
      <c r="L64" s="8">
        <f>IF(L17&gt;0,1-AVERAGEIFS('Data(perSeason,perCrop)'!$E:$E,'Data(perSeason,perCrop)'!$S:$S,Indicators!$B64,'Data(perSeason,perCrop)'!$O:$O,0,'Data(perSeason,perCrop)'!$C:$C,Indicators!L$3,'Data(perSeason,perCrop)'!$R:$R,"IRRIGATED")/AVERAGEIFS('Data(perSeason,perCrop)'!$F:$F,'Data(perSeason,perCrop)'!$S:$S,Indicators!$B64,'Data(perSeason,perCrop)'!$O:$O,0,'Data(perSeason,perCrop)'!$C:$C,Indicators!L$3,'Data(perSeason,perCrop)'!$R:$R,"IRRIGATED"),"")</f>
        <v>0.15923566878980888</v>
      </c>
      <c r="M64" s="8">
        <f>IF(M17&gt;0,1-AVERAGEIFS('Data(perSeason,perCrop)'!$E:$E,'Data(perSeason,perCrop)'!$S:$S,Indicators!$B64,'Data(perSeason,perCrop)'!$O:$O,0,'Data(perSeason,perCrop)'!$C:$C,Indicators!M$3,'Data(perSeason,perCrop)'!$R:$R,"IRRIGATED")/AVERAGEIFS('Data(perSeason,perCrop)'!$F:$F,'Data(perSeason,perCrop)'!$S:$S,Indicators!$B64,'Data(perSeason,perCrop)'!$O:$O,0,'Data(perSeason,perCrop)'!$C:$C,Indicators!M$3,'Data(perSeason,perCrop)'!$R:$R,"IRRIGATED"),"")</f>
        <v>0.21685508735868453</v>
      </c>
      <c r="N64" s="8">
        <f>IF(N17&gt;0,1-AVERAGEIFS('Data(perSeason,perCrop)'!$E:$E,'Data(perSeason,perCrop)'!$S:$S,Indicators!$B64,'Data(perSeason,perCrop)'!$O:$O,0,'Data(perSeason,perCrop)'!$C:$C,Indicators!N$3,'Data(perSeason,perCrop)'!$R:$R,"IRRIGATED")/AVERAGEIFS('Data(perSeason,perCrop)'!$F:$F,'Data(perSeason,perCrop)'!$S:$S,Indicators!$B64,'Data(perSeason,perCrop)'!$O:$O,0,'Data(perSeason,perCrop)'!$C:$C,Indicators!N$3,'Data(perSeason,perCrop)'!$R:$R,"IRRIGATED"),"")</f>
        <v>0.15538847117794485</v>
      </c>
      <c r="O64" s="8">
        <f>IF(O17&gt;0,1-AVERAGEIFS('Data(perSeason,perCrop)'!$E:$E,'Data(perSeason,perCrop)'!$S:$S,Indicators!$B64,'Data(perSeason,perCrop)'!$O:$O,0,'Data(perSeason,perCrop)'!$C:$C,Indicators!O$3,'Data(perSeason,perCrop)'!$R:$R,"IRRIGATED")/AVERAGEIFS('Data(perSeason,perCrop)'!$F:$F,'Data(perSeason,perCrop)'!$S:$S,Indicators!$B64,'Data(perSeason,perCrop)'!$O:$O,0,'Data(perSeason,perCrop)'!$C:$C,Indicators!O$3,'Data(perSeason,perCrop)'!$R:$R,"IRRIGATED"),"")</f>
        <v>0.18632478632478633</v>
      </c>
      <c r="P64" s="8" t="str">
        <f>IF(P17&gt;0,1-AVERAGEIFS('Data(perSeason,perCrop)'!$E:$E,'Data(perSeason,perCrop)'!$S:$S,Indicators!$B64,'Data(perSeason,perCrop)'!$O:$O,0,'Data(perSeason,perCrop)'!$C:$C,Indicators!P$3,'Data(perSeason,perCrop)'!$R:$R,"IRRIGATED")/AVERAGEIFS('Data(perSeason,perCrop)'!$F:$F,'Data(perSeason,perCrop)'!$S:$S,Indicators!$B64,'Data(perSeason,perCrop)'!$O:$O,0,'Data(perSeason,perCrop)'!$C:$C,Indicators!P$3,'Data(perSeason,perCrop)'!$R:$R,"IRRIGATED"),"")</f>
        <v/>
      </c>
      <c r="Q64" s="8">
        <f>IF(Q17&gt;0,1-AVERAGEIFS('Data(perSeason,perCrop)'!$E:$E,'Data(perSeason,perCrop)'!$S:$S,Indicators!$B64,'Data(perSeason,perCrop)'!$O:$O,0,'Data(perSeason,perCrop)'!$C:$C,Indicators!Q$3,'Data(perSeason,perCrop)'!$R:$R,"IRRIGATED")/AVERAGEIFS('Data(perSeason,perCrop)'!$F:$F,'Data(perSeason,perCrop)'!$S:$S,Indicators!$B64,'Data(perSeason,perCrop)'!$O:$O,0,'Data(perSeason,perCrop)'!$C:$C,Indicators!Q$3,'Data(perSeason,perCrop)'!$R:$R,"IRRIGATED"),"")</f>
        <v>0.17449664429530198</v>
      </c>
      <c r="R64" s="8" t="str">
        <f>IF(R17&gt;0,1-AVERAGEIFS('Data(perSeason,perCrop)'!$E:$E,'Data(perSeason,perCrop)'!$S:$S,Indicators!$B64,'Data(perSeason,perCrop)'!$O:$O,0,'Data(perSeason,perCrop)'!$C:$C,Indicators!R$3,'Data(perSeason,perCrop)'!$R:$R,"IRRIGATED")/AVERAGEIFS('Data(perSeason,perCrop)'!$F:$F,'Data(perSeason,perCrop)'!$S:$S,Indicators!$B64,'Data(perSeason,perCrop)'!$O:$O,0,'Data(perSeason,perCrop)'!$C:$C,Indicators!R$3,'Data(perSeason,perCrop)'!$R:$R,"IRRIGATED"),"")</f>
        <v/>
      </c>
      <c r="S64" s="65" t="str">
        <f>IF(S17&gt;0,1-AVERAGEIFS('Data(perSeason,perCrop)'!$E:$E,'Data(perSeason,perCrop)'!$S:$S,Indicators!$B64,'Data(perSeason,perCrop)'!$O:$O,S$7,'Data(perSeason,perCrop)'!$C:$C,Indicators!S$3,'Data(perSeason,perCrop)'!$R:$R,"IRRIGATED")/AVERAGEIFS('Data(perSeason,perCrop)'!$F:$F,'Data(perSeason,perCrop)'!$S:$S,Indicators!$B64,'Data(perSeason,perCrop)'!$O:$O,S$7,'Data(perSeason,perCrop)'!$C:$C,Indicators!S$3,'Data(perSeason,perCrop)'!$R:$R,"IRRIGATED"),"")</f>
        <v/>
      </c>
      <c r="T64" s="65">
        <f>IF(T17&gt;0,1-AVERAGEIFS('Data(perSeason,perCrop)'!$E:$E,'Data(perSeason,perCrop)'!$S:$S,Indicators!$B64,'Data(perSeason,perCrop)'!$O:$O,T$7,'Data(perSeason,perCrop)'!$C:$C,Indicators!T$3,'Data(perSeason,perCrop)'!$R:$R,"IRRIGATED")/AVERAGEIFS('Data(perSeason,perCrop)'!$F:$F,'Data(perSeason,perCrop)'!$S:$S,Indicators!$B64,'Data(perSeason,perCrop)'!$O:$O,T$7,'Data(perSeason,perCrop)'!$C:$C,Indicators!T$3,'Data(perSeason,perCrop)'!$R:$R,"IRRIGATED"),"")</f>
        <v>0.21739130434782605</v>
      </c>
      <c r="U64" s="65" t="str">
        <f>IF(U17&gt;0,1-AVERAGEIFS('Data(perSeason,perCrop)'!$E:$E,'Data(perSeason,perCrop)'!$S:$S,Indicators!$B64,'Data(perSeason,perCrop)'!$O:$O,U$7,'Data(perSeason,perCrop)'!$C:$C,Indicators!U$3,'Data(perSeason,perCrop)'!$R:$R,"IRRIGATED")/AVERAGEIFS('Data(perSeason,perCrop)'!$F:$F,'Data(perSeason,perCrop)'!$S:$S,Indicators!$B64,'Data(perSeason,perCrop)'!$O:$O,U$7,'Data(perSeason,perCrop)'!$C:$C,Indicators!U$3,'Data(perSeason,perCrop)'!$R:$R,"IRRIGATED"),"")</f>
        <v/>
      </c>
      <c r="V64" s="65" t="str">
        <f>IF(V17&gt;0,1-AVERAGEIFS('Data(perSeason,perCrop)'!$E:$E,'Data(perSeason,perCrop)'!$S:$S,Indicators!$B64,'Data(perSeason,perCrop)'!$O:$O,V$7,'Data(perSeason,perCrop)'!$C:$C,Indicators!V$3,'Data(perSeason,perCrop)'!$R:$R,"IRRIGATED")/AVERAGEIFS('Data(perSeason,perCrop)'!$F:$F,'Data(perSeason,perCrop)'!$S:$S,Indicators!$B64,'Data(perSeason,perCrop)'!$O:$O,V$7,'Data(perSeason,perCrop)'!$C:$C,Indicators!V$3,'Data(perSeason,perCrop)'!$R:$R,"IRRIGATED"),"")</f>
        <v/>
      </c>
      <c r="W64" s="65" t="str">
        <f>IF(W17&gt;0,1-AVERAGEIFS('Data(perSeason,perCrop)'!$E:$E,'Data(perSeason,perCrop)'!$S:$S,Indicators!$B64,'Data(perSeason,perCrop)'!$O:$O,W$7,'Data(perSeason,perCrop)'!$C:$C,Indicators!W$3,'Data(perSeason,perCrop)'!$R:$R,"IRRIGATED")/AVERAGEIFS('Data(perSeason,perCrop)'!$F:$F,'Data(perSeason,perCrop)'!$S:$S,Indicators!$B64,'Data(perSeason,perCrop)'!$O:$O,W$7,'Data(perSeason,perCrop)'!$C:$C,Indicators!W$3,'Data(perSeason,perCrop)'!$R:$R,"IRRIGATED"),"")</f>
        <v/>
      </c>
      <c r="X64" s="65" t="str">
        <f>IF(X17&gt;0,1-AVERAGEIFS('Data(perSeason,perCrop)'!$E:$E,'Data(perSeason,perCrop)'!$S:$S,Indicators!$B64,'Data(perSeason,perCrop)'!$O:$O,X$7,'Data(perSeason,perCrop)'!$C:$C,Indicators!X$3,'Data(perSeason,perCrop)'!$R:$R,"IRRIGATED")/AVERAGEIFS('Data(perSeason,perCrop)'!$F:$F,'Data(perSeason,perCrop)'!$S:$S,Indicators!$B64,'Data(perSeason,perCrop)'!$O:$O,X$7,'Data(perSeason,perCrop)'!$C:$C,Indicators!X$3,'Data(perSeason,perCrop)'!$R:$R,"IRRIGATED"),"")</f>
        <v/>
      </c>
      <c r="Y64" s="65" t="str">
        <f>IF(Y17&gt;0,1-AVERAGEIFS('Data(perSeason,perCrop)'!$E:$E,'Data(perSeason,perCrop)'!$S:$S,Indicators!$B64,'Data(perSeason,perCrop)'!$O:$O,Y$7,'Data(perSeason,perCrop)'!$C:$C,Indicators!Y$3,'Data(perSeason,perCrop)'!$R:$R,"IRRIGATED")/AVERAGEIFS('Data(perSeason,perCrop)'!$F:$F,'Data(perSeason,perCrop)'!$S:$S,Indicators!$B64,'Data(perSeason,perCrop)'!$O:$O,Y$7,'Data(perSeason,perCrop)'!$C:$C,Indicators!Y$3,'Data(perSeason,perCrop)'!$R:$R,"IRRIGATED"),"")</f>
        <v/>
      </c>
      <c r="Z64" s="65" t="str">
        <f>IF(Z17&gt;0,1-AVERAGEIFS('Data(perSeason,perCrop)'!$E:$E,'Data(perSeason,perCrop)'!$S:$S,Indicators!$B64,'Data(perSeason,perCrop)'!$O:$O,Z$7,'Data(perSeason,perCrop)'!$C:$C,Indicators!Z$3,'Data(perSeason,perCrop)'!$R:$R,"IRRIGATED")/AVERAGEIFS('Data(perSeason,perCrop)'!$F:$F,'Data(perSeason,perCrop)'!$S:$S,Indicators!$B64,'Data(perSeason,perCrop)'!$O:$O,Z$7,'Data(perSeason,perCrop)'!$C:$C,Indicators!Z$3,'Data(perSeason,perCrop)'!$R:$R,"IRRIGATED"),"")</f>
        <v/>
      </c>
      <c r="AA64" s="65" t="str">
        <f>IF(AA17&gt;0,1-AVERAGEIFS('Data(perSeason,perCrop)'!$E:$E,'Data(perSeason,perCrop)'!$S:$S,Indicators!$B64,'Data(perSeason,perCrop)'!$O:$O,AA$7,'Data(perSeason,perCrop)'!$C:$C,Indicators!AA$3,'Data(perSeason,perCrop)'!$R:$R,"IRRIGATED")/AVERAGEIFS('Data(perSeason,perCrop)'!$F:$F,'Data(perSeason,perCrop)'!$S:$S,Indicators!$B64,'Data(perSeason,perCrop)'!$O:$O,AA$7,'Data(perSeason,perCrop)'!$C:$C,Indicators!AA$3,'Data(perSeason,perCrop)'!$R:$R,"IRRIGATED"),"")</f>
        <v/>
      </c>
      <c r="AB64" s="65" t="str">
        <f>IF(AB17&gt;0,1-AVERAGEIFS('Data(perSeason,perCrop)'!$E:$E,'Data(perSeason,perCrop)'!$S:$S,Indicators!$B64,'Data(perSeason,perCrop)'!$O:$O,AB$7,'Data(perSeason,perCrop)'!$C:$C,Indicators!AB$3,'Data(perSeason,perCrop)'!$R:$R,"IRRIGATED")/AVERAGEIFS('Data(perSeason,perCrop)'!$F:$F,'Data(perSeason,perCrop)'!$S:$S,Indicators!$B64,'Data(perSeason,perCrop)'!$O:$O,AB$7,'Data(perSeason,perCrop)'!$C:$C,Indicators!AB$3,'Data(perSeason,perCrop)'!$R:$R,"IRRIGATED"),"")</f>
        <v/>
      </c>
      <c r="AC64" s="65" t="str">
        <f>IF(AC17&gt;0,1-AVERAGEIFS('Data(perSeason,perCrop)'!$E:$E,'Data(perSeason,perCrop)'!$S:$S,Indicators!$B64,'Data(perSeason,perCrop)'!$O:$O,AC$7,'Data(perSeason,perCrop)'!$C:$C,Indicators!AC$3,'Data(perSeason,perCrop)'!$R:$R,"IRRIGATED")/AVERAGEIFS('Data(perSeason,perCrop)'!$F:$F,'Data(perSeason,perCrop)'!$S:$S,Indicators!$B64,'Data(perSeason,perCrop)'!$O:$O,AC$7,'Data(perSeason,perCrop)'!$C:$C,Indicators!AC$3,'Data(perSeason,perCrop)'!$R:$R,"IRRIGATED"),"")</f>
        <v/>
      </c>
      <c r="AD64" s="65" t="str">
        <f>IF(AD17&gt;0,1-AVERAGEIFS('Data(perSeason,perCrop)'!$E:$E,'Data(perSeason,perCrop)'!$S:$S,Indicators!$B64,'Data(perSeason,perCrop)'!$O:$O,AD$7,'Data(perSeason,perCrop)'!$C:$C,Indicators!AD$3,'Data(perSeason,perCrop)'!$R:$R,"IRRIGATED")/AVERAGEIFS('Data(perSeason,perCrop)'!$F:$F,'Data(perSeason,perCrop)'!$S:$S,Indicators!$B64,'Data(perSeason,perCrop)'!$O:$O,AD$7,'Data(perSeason,perCrop)'!$C:$C,Indicators!AD$3,'Data(perSeason,perCrop)'!$R:$R,"IRRIGATED"),"")</f>
        <v/>
      </c>
      <c r="AE64" s="65" t="str">
        <f>IF(AE17&gt;0,1-AVERAGEIFS('Data(perSeason,perCrop)'!$E:$E,'Data(perSeason,perCrop)'!$S:$S,Indicators!$B64,'Data(perSeason,perCrop)'!$O:$O,AE$7,'Data(perSeason,perCrop)'!$C:$C,Indicators!AE$3,'Data(perSeason,perCrop)'!$R:$R,"IRRIGATED")/AVERAGEIFS('Data(perSeason,perCrop)'!$F:$F,'Data(perSeason,perCrop)'!$S:$S,Indicators!$B64,'Data(perSeason,perCrop)'!$O:$O,AE$7,'Data(perSeason,perCrop)'!$C:$C,Indicators!AE$3,'Data(perSeason,perCrop)'!$R:$R,"IRRIGATED"),"")</f>
        <v/>
      </c>
      <c r="AF64" s="65">
        <f>IF(AF17&gt;0,1-AVERAGEIFS('Data(perSeason,perCrop)'!$E:$E,'Data(perSeason,perCrop)'!$S:$S,Indicators!$B64,'Data(perSeason,perCrop)'!$O:$O,AF$7,'Data(perSeason,perCrop)'!$C:$C,Indicators!AF$3,'Data(perSeason,perCrop)'!$R:$R,"IRRIGATED")/AVERAGEIFS('Data(perSeason,perCrop)'!$F:$F,'Data(perSeason,perCrop)'!$S:$S,Indicators!$B64,'Data(perSeason,perCrop)'!$O:$O,AF$7,'Data(perSeason,perCrop)'!$C:$C,Indicators!AF$3,'Data(perSeason,perCrop)'!$R:$R,"IRRIGATED"),"")</f>
        <v>6.6666666666666652E-2</v>
      </c>
      <c r="AG64" s="65">
        <f>IF(AG17&gt;0,1-AVERAGEIFS('Data(perSeason,perCrop)'!$E:$E,'Data(perSeason,perCrop)'!$S:$S,Indicators!$B64,'Data(perSeason,perCrop)'!$O:$O,AG$7,'Data(perSeason,perCrop)'!$C:$C,Indicators!AG$3,'Data(perSeason,perCrop)'!$R:$R,"IRRIGATED")/AVERAGEIFS('Data(perSeason,perCrop)'!$F:$F,'Data(perSeason,perCrop)'!$S:$S,Indicators!$B64,'Data(perSeason,perCrop)'!$O:$O,AG$7,'Data(perSeason,perCrop)'!$C:$C,Indicators!AG$3,'Data(perSeason,perCrop)'!$R:$R,"IRRIGATED"),"")</f>
        <v>8.6705202312138741E-2</v>
      </c>
      <c r="AH64" s="65" t="str">
        <f>IF(AH17&gt;0,1-AVERAGEIFS('Data(perSeason,perCrop)'!$E:$E,'Data(perSeason,perCrop)'!$S:$S,Indicators!$B64,'Data(perSeason,perCrop)'!$O:$O,AH$7,'Data(perSeason,perCrop)'!$C:$C,Indicators!AH$3,'Data(perSeason,perCrop)'!$R:$R,"IRRIGATED")/AVERAGEIFS('Data(perSeason,perCrop)'!$F:$F,'Data(perSeason,perCrop)'!$S:$S,Indicators!$B64,'Data(perSeason,perCrop)'!$O:$O,AH$7,'Data(perSeason,perCrop)'!$C:$C,Indicators!AH$3,'Data(perSeason,perCrop)'!$R:$R,"IRRIGATED"),"")</f>
        <v/>
      </c>
      <c r="AI64" s="65">
        <f>IF(AI17&gt;0,1-AVERAGEIFS('Data(perSeason,perCrop)'!$E:$E,'Data(perSeason,perCrop)'!$S:$S,Indicators!$B64,'Data(perSeason,perCrop)'!$O:$O,AI$7,'Data(perSeason,perCrop)'!$C:$C,Indicators!AI$3,'Data(perSeason,perCrop)'!$R:$R,"IRRIGATED")/AVERAGEIFS('Data(perSeason,perCrop)'!$F:$F,'Data(perSeason,perCrop)'!$S:$S,Indicators!$B64,'Data(perSeason,perCrop)'!$O:$O,AI$7,'Data(perSeason,perCrop)'!$C:$C,Indicators!AI$3,'Data(perSeason,perCrop)'!$R:$R,"IRRIGATED"),"")</f>
        <v>0.1640625</v>
      </c>
      <c r="AJ64" s="65" t="str">
        <f>IF(AJ17&gt;0,1-AVERAGEIFS('Data(perSeason,perCrop)'!$E:$E,'Data(perSeason,perCrop)'!$S:$S,Indicators!$B64,'Data(perSeason,perCrop)'!$O:$O,AJ$7,'Data(perSeason,perCrop)'!$C:$C,Indicators!AJ$3,'Data(perSeason,perCrop)'!$R:$R,"IRRIGATED")/AVERAGEIFS('Data(perSeason,perCrop)'!$F:$F,'Data(perSeason,perCrop)'!$S:$S,Indicators!$B64,'Data(perSeason,perCrop)'!$O:$O,AJ$7,'Data(perSeason,perCrop)'!$C:$C,Indicators!AJ$3,'Data(perSeason,perCrop)'!$R:$R,"IRRIGATED"),"")</f>
        <v/>
      </c>
      <c r="AK64" s="65" t="str">
        <f>IF(AK17&gt;0,1-AVERAGEIFS('Data(perSeason,perCrop)'!$E:$E,'Data(perSeason,perCrop)'!$S:$S,Indicators!$B64,'Data(perSeason,perCrop)'!$O:$O,AK$7,'Data(perSeason,perCrop)'!$C:$C,Indicators!AK$3,'Data(perSeason,perCrop)'!$R:$R,"IRRIGATED")/AVERAGEIFS('Data(perSeason,perCrop)'!$F:$F,'Data(perSeason,perCrop)'!$S:$S,Indicators!$B64,'Data(perSeason,perCrop)'!$O:$O,AK$7,'Data(perSeason,perCrop)'!$C:$C,Indicators!AK$3,'Data(perSeason,perCrop)'!$R:$R,"IRRIGATED"),"")</f>
        <v/>
      </c>
      <c r="AL64" s="65">
        <f>IF(AL17&gt;0,1-AVERAGEIFS('Data(perSeason,perCrop)'!$E:$E,'Data(perSeason,perCrop)'!$S:$S,Indicators!$B64,'Data(perSeason,perCrop)'!$O:$O,AL$7,'Data(perSeason,perCrop)'!$C:$C,Indicators!AL$3,'Data(perSeason,perCrop)'!$R:$R,"IRRIGATED")/AVERAGEIFS('Data(perSeason,perCrop)'!$F:$F,'Data(perSeason,perCrop)'!$S:$S,Indicators!$B64,'Data(perSeason,perCrop)'!$O:$O,AL$7,'Data(perSeason,perCrop)'!$C:$C,Indicators!AL$3,'Data(perSeason,perCrop)'!$R:$R,"IRRIGATED"),"")</f>
        <v>0.15968586387434558</v>
      </c>
      <c r="AM64" s="65" t="str">
        <f>IF(AM17&gt;0,1-AVERAGEIFS('Data(perSeason,perCrop)'!$E:$E,'Data(perSeason,perCrop)'!$S:$S,Indicators!$B64,'Data(perSeason,perCrop)'!$O:$O,AM$7,'Data(perSeason,perCrop)'!$C:$C,Indicators!AM$3,'Data(perSeason,perCrop)'!$R:$R,"IRRIGATED")/AVERAGEIFS('Data(perSeason,perCrop)'!$F:$F,'Data(perSeason,perCrop)'!$S:$S,Indicators!$B64,'Data(perSeason,perCrop)'!$O:$O,AM$7,'Data(perSeason,perCrop)'!$C:$C,Indicators!AM$3,'Data(perSeason,perCrop)'!$R:$R,"IRRIGATED"),"")</f>
        <v/>
      </c>
      <c r="AN64" s="65" t="str">
        <f>IF(AN17&gt;0,1-AVERAGEIFS('Data(perSeason,perCrop)'!$E:$E,'Data(perSeason,perCrop)'!$S:$S,Indicators!$B64,'Data(perSeason,perCrop)'!$O:$O,AN$7,'Data(perSeason,perCrop)'!$C:$C,Indicators!AN$3,'Data(perSeason,perCrop)'!$R:$R,"IRRIGATED")/AVERAGEIFS('Data(perSeason,perCrop)'!$F:$F,'Data(perSeason,perCrop)'!$S:$S,Indicators!$B64,'Data(perSeason,perCrop)'!$O:$O,AN$7,'Data(perSeason,perCrop)'!$C:$C,Indicators!AN$3,'Data(perSeason,perCrop)'!$R:$R,"IRRIGATED"),"")</f>
        <v/>
      </c>
      <c r="AO64" s="65" t="str">
        <f>IF(AO17&gt;0,1-AVERAGEIFS('Data(perSeason,perCrop)'!$E:$E,'Data(perSeason,perCrop)'!$S:$S,Indicators!$B64,'Data(perSeason,perCrop)'!$O:$O,AO$7,'Data(perSeason,perCrop)'!$C:$C,Indicators!AO$3,'Data(perSeason,perCrop)'!$R:$R,"IRRIGATED")/AVERAGEIFS('Data(perSeason,perCrop)'!$F:$F,'Data(perSeason,perCrop)'!$S:$S,Indicators!$B64,'Data(perSeason,perCrop)'!$O:$O,AO$7,'Data(perSeason,perCrop)'!$C:$C,Indicators!AO$3,'Data(perSeason,perCrop)'!$R:$R,"IRRIGATED"),"")</f>
        <v/>
      </c>
      <c r="AP64" s="65" t="str">
        <f>IF(AP17&gt;0,1-AVERAGEIFS('Data(perSeason,perCrop)'!$E:$E,'Data(perSeason,perCrop)'!$S:$S,Indicators!$B64,'Data(perSeason,perCrop)'!$O:$O,AP$7,'Data(perSeason,perCrop)'!$C:$C,Indicators!AP$3,'Data(perSeason,perCrop)'!$R:$R,"IRRIGATED")/AVERAGEIFS('Data(perSeason,perCrop)'!$F:$F,'Data(perSeason,perCrop)'!$S:$S,Indicators!$B64,'Data(perSeason,perCrop)'!$O:$O,AP$7,'Data(perSeason,perCrop)'!$C:$C,Indicators!AP$3,'Data(perSeason,perCrop)'!$R:$R,"IRRIGATED"),"")</f>
        <v/>
      </c>
      <c r="AQ64" s="65" t="str">
        <f>IF(AQ17&gt;0,1-AVERAGEIFS('Data(perSeason,perCrop)'!$E:$E,'Data(perSeason,perCrop)'!$S:$S,Indicators!$B64,'Data(perSeason,perCrop)'!$O:$O,AQ$7,'Data(perSeason,perCrop)'!$C:$C,Indicators!AQ$3,'Data(perSeason,perCrop)'!$R:$R,"IRRIGATED")/AVERAGEIFS('Data(perSeason,perCrop)'!$F:$F,'Data(perSeason,perCrop)'!$S:$S,Indicators!$B64,'Data(perSeason,perCrop)'!$O:$O,AQ$7,'Data(perSeason,perCrop)'!$C:$C,Indicators!AQ$3,'Data(perSeason,perCrop)'!$R:$R,"IRRIGATED"),"")</f>
        <v/>
      </c>
      <c r="AR64" s="65" t="str">
        <f>IF(AR17&gt;0,1-AVERAGEIFS('Data(perSeason,perCrop)'!$E:$E,'Data(perSeason,perCrop)'!$S:$S,Indicators!$B64,'Data(perSeason,perCrop)'!$O:$O,AR$7,'Data(perSeason,perCrop)'!$C:$C,Indicators!AR$3,'Data(perSeason,perCrop)'!$R:$R,"IRRIGATED")/AVERAGEIFS('Data(perSeason,perCrop)'!$F:$F,'Data(perSeason,perCrop)'!$S:$S,Indicators!$B64,'Data(perSeason,perCrop)'!$O:$O,AR$7,'Data(perSeason,perCrop)'!$C:$C,Indicators!AR$3,'Data(perSeason,perCrop)'!$R:$R,"IRRIGATED"),"")</f>
        <v/>
      </c>
      <c r="AS64" s="65" t="str">
        <f>IF(AS17&gt;0,1-AVERAGEIFS('Data(perSeason,perCrop)'!$E:$E,'Data(perSeason,perCrop)'!$S:$S,Indicators!$B64,'Data(perSeason,perCrop)'!$O:$O,AS$7,'Data(perSeason,perCrop)'!$C:$C,Indicators!AS$3,'Data(perSeason,perCrop)'!$R:$R,"IRRIGATED")/AVERAGEIFS('Data(perSeason,perCrop)'!$F:$F,'Data(perSeason,perCrop)'!$S:$S,Indicators!$B64,'Data(perSeason,perCrop)'!$O:$O,AS$7,'Data(perSeason,perCrop)'!$C:$C,Indicators!AS$3,'Data(perSeason,perCrop)'!$R:$R,"IRRIGATED"),"")</f>
        <v/>
      </c>
      <c r="AT64" s="65" t="str">
        <f>IF(AT17&gt;0,1-AVERAGEIFS('Data(perSeason,perCrop)'!$E:$E,'Data(perSeason,perCrop)'!$S:$S,Indicators!$B64,'Data(perSeason,perCrop)'!$O:$O,AT$7,'Data(perSeason,perCrop)'!$C:$C,Indicators!AT$3,'Data(perSeason,perCrop)'!$R:$R,"IRRIGATED")/AVERAGEIFS('Data(perSeason,perCrop)'!$F:$F,'Data(perSeason,perCrop)'!$S:$S,Indicators!$B64,'Data(perSeason,perCrop)'!$O:$O,AT$7,'Data(perSeason,perCrop)'!$C:$C,Indicators!AT$3,'Data(perSeason,perCrop)'!$R:$R,"IRRIGATED"),"")</f>
        <v/>
      </c>
      <c r="AU64" s="65" t="str">
        <f>IF(AU17&gt;0,1-AVERAGEIFS('Data(perSeason,perCrop)'!$E:$E,'Data(perSeason,perCrop)'!$S:$S,Indicators!$B64,'Data(perSeason,perCrop)'!$O:$O,AU$7,'Data(perSeason,perCrop)'!$C:$C,Indicators!AU$3,'Data(perSeason,perCrop)'!$R:$R,"IRRIGATED")/AVERAGEIFS('Data(perSeason,perCrop)'!$F:$F,'Data(perSeason,perCrop)'!$S:$S,Indicators!$B64,'Data(perSeason,perCrop)'!$O:$O,AU$7,'Data(perSeason,perCrop)'!$C:$C,Indicators!AU$3,'Data(perSeason,perCrop)'!$R:$R,"IRRIGATED"),"")</f>
        <v/>
      </c>
      <c r="AV64" s="65" t="str">
        <f>IF(AV17&gt;0,1-AVERAGEIFS('Data(perSeason,perCrop)'!$E:$E,'Data(perSeason,perCrop)'!$S:$S,Indicators!$B64,'Data(perSeason,perCrop)'!$O:$O,AV$7,'Data(perSeason,perCrop)'!$C:$C,Indicators!AV$3,'Data(perSeason,perCrop)'!$R:$R,"IRRIGATED")/AVERAGEIFS('Data(perSeason,perCrop)'!$F:$F,'Data(perSeason,perCrop)'!$S:$S,Indicators!$B64,'Data(perSeason,perCrop)'!$O:$O,AV$7,'Data(perSeason,perCrop)'!$C:$C,Indicators!AV$3,'Data(perSeason,perCrop)'!$R:$R,"IRRIGATED"),"")</f>
        <v/>
      </c>
      <c r="AW64" s="65" t="str">
        <f>IF(AW17&gt;0,1-AVERAGEIFS('Data(perSeason,perCrop)'!$E:$E,'Data(perSeason,perCrop)'!$S:$S,Indicators!$B64,'Data(perSeason,perCrop)'!$O:$O,AW$7,'Data(perSeason,perCrop)'!$C:$C,Indicators!AW$3,'Data(perSeason,perCrop)'!$R:$R,"IRRIGATED")/AVERAGEIFS('Data(perSeason,perCrop)'!$F:$F,'Data(perSeason,perCrop)'!$S:$S,Indicators!$B64,'Data(perSeason,perCrop)'!$O:$O,AW$7,'Data(perSeason,perCrop)'!$C:$C,Indicators!AW$3,'Data(perSeason,perCrop)'!$R:$R,"IRRIGATED"),"")</f>
        <v/>
      </c>
      <c r="AX64" s="8" t="str">
        <f>IF(AX17&gt;0,1-AVERAGEIFS('Data(perSeason,perCrop)'!$E:$E,'Data(perSeason,perCrop)'!$S:$S,Indicators!$B64,'Data(perSeason,perCrop)'!$O:$O,AX$7,'Data(perSeason,perCrop)'!$C:$C,Indicators!AX$3,'Data(perSeason,perCrop)'!$R:$R,"IRRIGATED")/AVERAGEIFS('Data(perSeason,perCrop)'!$F:$F,'Data(perSeason,perCrop)'!$S:$S,Indicators!$B64,'Data(perSeason,perCrop)'!$O:$O,AX$7,'Data(perSeason,perCrop)'!$C:$C,Indicators!AX$3,'Data(perSeason,perCrop)'!$R:$R,"IRRIGATED"),"")</f>
        <v/>
      </c>
      <c r="AY64" s="8">
        <f>IF(AY17&gt;0,1-AVERAGEIFS('Data(perSeason,perCrop)'!$E:$E,'Data(perSeason,perCrop)'!$S:$S,Indicators!$B64,'Data(perSeason,perCrop)'!$O:$O,AY$7,'Data(perSeason,perCrop)'!$C:$C,Indicators!AY$3,'Data(perSeason,perCrop)'!$R:$R,"IRRIGATED")/AVERAGEIFS('Data(perSeason,perCrop)'!$F:$F,'Data(perSeason,perCrop)'!$S:$S,Indicators!$B64,'Data(perSeason,perCrop)'!$O:$O,AY$7,'Data(perSeason,perCrop)'!$C:$C,Indicators!AY$3,'Data(perSeason,perCrop)'!$R:$R,"IRRIGATED"),"")</f>
        <v>0.19927536231884058</v>
      </c>
      <c r="AZ64" s="8" t="str">
        <f>IF(AZ17&gt;0,1-AVERAGEIFS('Data(perSeason,perCrop)'!$E:$E,'Data(perSeason,perCrop)'!$S:$S,Indicators!$B64,'Data(perSeason,perCrop)'!$O:$O,AZ$7,'Data(perSeason,perCrop)'!$C:$C,Indicators!AZ$3,'Data(perSeason,perCrop)'!$R:$R,"IRRIGATED")/AVERAGEIFS('Data(perSeason,perCrop)'!$F:$F,'Data(perSeason,perCrop)'!$S:$S,Indicators!$B64,'Data(perSeason,perCrop)'!$O:$O,AZ$7,'Data(perSeason,perCrop)'!$C:$C,Indicators!AZ$3,'Data(perSeason,perCrop)'!$R:$R,"IRRIGATED"),"")</f>
        <v/>
      </c>
      <c r="BA64" s="8" t="str">
        <f>IF(BA17&gt;0,1-AVERAGEIFS('Data(perSeason,perCrop)'!$E:$E,'Data(perSeason,perCrop)'!$S:$S,Indicators!$B64,'Data(perSeason,perCrop)'!$O:$O,BA$7,'Data(perSeason,perCrop)'!$C:$C,Indicators!BA$3,'Data(perSeason,perCrop)'!$R:$R,"IRRIGATED")/AVERAGEIFS('Data(perSeason,perCrop)'!$F:$F,'Data(perSeason,perCrop)'!$S:$S,Indicators!$B64,'Data(perSeason,perCrop)'!$O:$O,BA$7,'Data(perSeason,perCrop)'!$C:$C,Indicators!BA$3,'Data(perSeason,perCrop)'!$R:$R,"IRRIGATED"),"")</f>
        <v/>
      </c>
      <c r="BB64" s="8" t="str">
        <f>IF(BB17&gt;0,1-AVERAGEIFS('Data(perSeason,perCrop)'!$E:$E,'Data(perSeason,perCrop)'!$S:$S,Indicators!$B64,'Data(perSeason,perCrop)'!$O:$O,BB$7,'Data(perSeason,perCrop)'!$C:$C,Indicators!BB$3,'Data(perSeason,perCrop)'!$R:$R,"IRRIGATED")/AVERAGEIFS('Data(perSeason,perCrop)'!$F:$F,'Data(perSeason,perCrop)'!$S:$S,Indicators!$B64,'Data(perSeason,perCrop)'!$O:$O,BB$7,'Data(perSeason,perCrop)'!$C:$C,Indicators!BB$3,'Data(perSeason,perCrop)'!$R:$R,"IRRIGATED"),"")</f>
        <v/>
      </c>
      <c r="BC64" s="8" t="str">
        <f>IF(BC17&gt;0,1-AVERAGEIFS('Data(perSeason,perCrop)'!$E:$E,'Data(perSeason,perCrop)'!$S:$S,Indicators!$B64,'Data(perSeason,perCrop)'!$O:$O,BC$7,'Data(perSeason,perCrop)'!$C:$C,Indicators!BC$3,'Data(perSeason,perCrop)'!$R:$R,"IRRIGATED")/AVERAGEIFS('Data(perSeason,perCrop)'!$F:$F,'Data(perSeason,perCrop)'!$S:$S,Indicators!$B64,'Data(perSeason,perCrop)'!$O:$O,BC$7,'Data(perSeason,perCrop)'!$C:$C,Indicators!BC$3,'Data(perSeason,perCrop)'!$R:$R,"IRRIGATED"),"")</f>
        <v/>
      </c>
      <c r="BD64" s="8" t="str">
        <f>IF(BD17&gt;0,1-AVERAGEIFS('Data(perSeason,perCrop)'!$E:$E,'Data(perSeason,perCrop)'!$S:$S,Indicators!$B64,'Data(perSeason,perCrop)'!$O:$O,BD$7,'Data(perSeason,perCrop)'!$C:$C,Indicators!BD$3,'Data(perSeason,perCrop)'!$R:$R,"IRRIGATED")/AVERAGEIFS('Data(perSeason,perCrop)'!$F:$F,'Data(perSeason,perCrop)'!$S:$S,Indicators!$B64,'Data(perSeason,perCrop)'!$O:$O,BD$7,'Data(perSeason,perCrop)'!$C:$C,Indicators!BD$3,'Data(perSeason,perCrop)'!$R:$R,"IRRIGATED"),"")</f>
        <v/>
      </c>
      <c r="BE64" s="8" t="str">
        <f>IF(BE17&gt;0,1-AVERAGEIFS('Data(perSeason,perCrop)'!$E:$E,'Data(perSeason,perCrop)'!$S:$S,Indicators!$B64,'Data(perSeason,perCrop)'!$O:$O,BE$7,'Data(perSeason,perCrop)'!$C:$C,Indicators!BE$3,'Data(perSeason,perCrop)'!$R:$R,"IRRIGATED")/AVERAGEIFS('Data(perSeason,perCrop)'!$F:$F,'Data(perSeason,perCrop)'!$S:$S,Indicators!$B64,'Data(perSeason,perCrop)'!$O:$O,BE$7,'Data(perSeason,perCrop)'!$C:$C,Indicators!BE$3,'Data(perSeason,perCrop)'!$R:$R,"IRRIGATED"),"")</f>
        <v/>
      </c>
      <c r="BF64" s="8" t="str">
        <f>IF(BF17&gt;0,1-AVERAGEIFS('Data(perSeason,perCrop)'!$E:$E,'Data(perSeason,perCrop)'!$S:$S,Indicators!$B64,'Data(perSeason,perCrop)'!$O:$O,BF$7,'Data(perSeason,perCrop)'!$C:$C,Indicators!BF$3,'Data(perSeason,perCrop)'!$R:$R,"IRRIGATED")/AVERAGEIFS('Data(perSeason,perCrop)'!$F:$F,'Data(perSeason,perCrop)'!$S:$S,Indicators!$B64,'Data(perSeason,perCrop)'!$O:$O,BF$7,'Data(perSeason,perCrop)'!$C:$C,Indicators!BF$3,'Data(perSeason,perCrop)'!$R:$R,"IRRIGATED"),"")</f>
        <v/>
      </c>
      <c r="BG64" s="8" t="str">
        <f>IF(BG17&gt;0,1-AVERAGEIFS('Data(perSeason,perCrop)'!$E:$E,'Data(perSeason,perCrop)'!$S:$S,Indicators!$B64,'Data(perSeason,perCrop)'!$O:$O,BG$7,'Data(perSeason,perCrop)'!$C:$C,Indicators!BG$3,'Data(perSeason,perCrop)'!$R:$R,"IRRIGATED")/AVERAGEIFS('Data(perSeason,perCrop)'!$F:$F,'Data(perSeason,perCrop)'!$S:$S,Indicators!$B64,'Data(perSeason,perCrop)'!$O:$O,BG$7,'Data(perSeason,perCrop)'!$C:$C,Indicators!BG$3,'Data(perSeason,perCrop)'!$R:$R,"IRRIGATED"),"")</f>
        <v/>
      </c>
      <c r="BH64" s="8" t="str">
        <f>IF(BH17&gt;0,1-AVERAGEIFS('Data(perSeason,perCrop)'!$E:$E,'Data(perSeason,perCrop)'!$S:$S,Indicators!$B64,'Data(perSeason,perCrop)'!$O:$O,BH$7,'Data(perSeason,perCrop)'!$C:$C,Indicators!BH$3,'Data(perSeason,perCrop)'!$R:$R,"IRRIGATED")/AVERAGEIFS('Data(perSeason,perCrop)'!$F:$F,'Data(perSeason,perCrop)'!$S:$S,Indicators!$B64,'Data(perSeason,perCrop)'!$O:$O,BH$7,'Data(perSeason,perCrop)'!$C:$C,Indicators!BH$3,'Data(perSeason,perCrop)'!$R:$R,"IRRIGATED"),"")</f>
        <v/>
      </c>
      <c r="BI64" s="8" t="str">
        <f>IF(BI17&gt;0,1-AVERAGEIFS('Data(perSeason,perCrop)'!$E:$E,'Data(perSeason,perCrop)'!$S:$S,Indicators!$B64,'Data(perSeason,perCrop)'!$O:$O,BI$7,'Data(perSeason,perCrop)'!$C:$C,Indicators!BI$3,'Data(perSeason,perCrop)'!$R:$R,"IRRIGATED")/AVERAGEIFS('Data(perSeason,perCrop)'!$F:$F,'Data(perSeason,perCrop)'!$S:$S,Indicators!$B64,'Data(perSeason,perCrop)'!$O:$O,BI$7,'Data(perSeason,perCrop)'!$C:$C,Indicators!BI$3,'Data(perSeason,perCrop)'!$R:$R,"IRRIGATED"),"")</f>
        <v/>
      </c>
      <c r="BJ64" s="8" t="str">
        <f>IF(BJ17&gt;0,1-AVERAGEIFS('Data(perSeason,perCrop)'!$E:$E,'Data(perSeason,perCrop)'!$S:$S,Indicators!$B64,'Data(perSeason,perCrop)'!$O:$O,BJ$7,'Data(perSeason,perCrop)'!$C:$C,Indicators!BJ$3,'Data(perSeason,perCrop)'!$R:$R,"IRRIGATED")/AVERAGEIFS('Data(perSeason,perCrop)'!$F:$F,'Data(perSeason,perCrop)'!$S:$S,Indicators!$B64,'Data(perSeason,perCrop)'!$O:$O,BJ$7,'Data(perSeason,perCrop)'!$C:$C,Indicators!BJ$3,'Data(perSeason,perCrop)'!$R:$R,"IRRIGATED"),"")</f>
        <v/>
      </c>
      <c r="BK64" s="8" t="str">
        <f>IF(BK17&gt;0,1-AVERAGEIFS('Data(perSeason,perCrop)'!$E:$E,'Data(perSeason,perCrop)'!$S:$S,Indicators!$B64,'Data(perSeason,perCrop)'!$O:$O,BK$7,'Data(perSeason,perCrop)'!$C:$C,Indicators!BK$3,'Data(perSeason,perCrop)'!$R:$R,"IRRIGATED")/AVERAGEIFS('Data(perSeason,perCrop)'!$F:$F,'Data(perSeason,perCrop)'!$S:$S,Indicators!$B64,'Data(perSeason,perCrop)'!$O:$O,BK$7,'Data(perSeason,perCrop)'!$C:$C,Indicators!BK$3,'Data(perSeason,perCrop)'!$R:$R,"IRRIGATED"),"")</f>
        <v/>
      </c>
      <c r="BL64" s="8">
        <f>IF(BL17&gt;0,1-AVERAGEIFS('Data(perSeason,perCrop)'!$E:$E,'Data(perSeason,perCrop)'!$S:$S,Indicators!$B64,'Data(perSeason,perCrop)'!$O:$O,BL$7,'Data(perSeason,perCrop)'!$C:$C,Indicators!BL$3,'Data(perSeason,perCrop)'!$R:$R,"IRRIGATED")/AVERAGEIFS('Data(perSeason,perCrop)'!$F:$F,'Data(perSeason,perCrop)'!$S:$S,Indicators!$B64,'Data(perSeason,perCrop)'!$O:$O,BL$7,'Data(perSeason,perCrop)'!$C:$C,Indicators!BL$3,'Data(perSeason,perCrop)'!$R:$R,"IRRIGATED"),"")</f>
        <v>0.27616279069767447</v>
      </c>
      <c r="BM64" s="8" t="str">
        <f>IF(BM17&gt;0,1-AVERAGEIFS('Data(perSeason,perCrop)'!$E:$E,'Data(perSeason,perCrop)'!$S:$S,Indicators!$B64,'Data(perSeason,perCrop)'!$O:$O,BM$7,'Data(perSeason,perCrop)'!$C:$C,Indicators!BM$3,'Data(perSeason,perCrop)'!$R:$R,"IRRIGATED")/AVERAGEIFS('Data(perSeason,perCrop)'!$F:$F,'Data(perSeason,perCrop)'!$S:$S,Indicators!$B64,'Data(perSeason,perCrop)'!$O:$O,BM$7,'Data(perSeason,perCrop)'!$C:$C,Indicators!BM$3,'Data(perSeason,perCrop)'!$R:$R,"IRRIGATED"),"")</f>
        <v/>
      </c>
      <c r="BN64" s="8">
        <f>IF(BN17&gt;0,1-AVERAGEIFS('Data(perSeason,perCrop)'!$E:$E,'Data(perSeason,perCrop)'!$S:$S,Indicators!$B64,'Data(perSeason,perCrop)'!$O:$O,BN$7,'Data(perSeason,perCrop)'!$C:$C,Indicators!BN$3,'Data(perSeason,perCrop)'!$R:$R,"IRRIGATED")/AVERAGEIFS('Data(perSeason,perCrop)'!$F:$F,'Data(perSeason,perCrop)'!$S:$S,Indicators!$B64,'Data(perSeason,perCrop)'!$O:$O,BN$7,'Data(perSeason,perCrop)'!$C:$C,Indicators!BN$3,'Data(perSeason,perCrop)'!$R:$R,"IRRIGATED"),"")</f>
        <v>0.1398601398601399</v>
      </c>
      <c r="BO64" s="8" t="str">
        <f>IF(BO17&gt;0,1-AVERAGEIFS('Data(perSeason,perCrop)'!$E:$E,'Data(perSeason,perCrop)'!$S:$S,Indicators!$B64,'Data(perSeason,perCrop)'!$O:$O,BO$7,'Data(perSeason,perCrop)'!$C:$C,Indicators!BO$3,'Data(perSeason,perCrop)'!$R:$R,"IRRIGATED")/AVERAGEIFS('Data(perSeason,perCrop)'!$F:$F,'Data(perSeason,perCrop)'!$S:$S,Indicators!$B64,'Data(perSeason,perCrop)'!$O:$O,BO$7,'Data(perSeason,perCrop)'!$C:$C,Indicators!BO$3,'Data(perSeason,perCrop)'!$R:$R,"IRRIGATED"),"")</f>
        <v/>
      </c>
      <c r="BP64" s="8" t="str">
        <f>IF(BP17&gt;0,1-AVERAGEIFS('Data(perSeason,perCrop)'!$E:$E,'Data(perSeason,perCrop)'!$S:$S,Indicators!$B64,'Data(perSeason,perCrop)'!$O:$O,BP$7,'Data(perSeason,perCrop)'!$C:$C,Indicators!BP$3,'Data(perSeason,perCrop)'!$R:$R,"IRRIGATED")/AVERAGEIFS('Data(perSeason,perCrop)'!$F:$F,'Data(perSeason,perCrop)'!$S:$S,Indicators!$B64,'Data(perSeason,perCrop)'!$O:$O,BP$7,'Data(perSeason,perCrop)'!$C:$C,Indicators!BP$3,'Data(perSeason,perCrop)'!$R:$R,"IRRIGATED"),"")</f>
        <v/>
      </c>
      <c r="BQ64" s="8">
        <f>IF(BQ17&gt;0,1-AVERAGEIFS('Data(perSeason,perCrop)'!$E:$E,'Data(perSeason,perCrop)'!$S:$S,Indicators!$B64,'Data(perSeason,perCrop)'!$O:$O,BQ$7,'Data(perSeason,perCrop)'!$C:$C,Indicators!BQ$3,'Data(perSeason,perCrop)'!$R:$R,"IRRIGATED")/AVERAGEIFS('Data(perSeason,perCrop)'!$F:$F,'Data(perSeason,perCrop)'!$S:$S,Indicators!$B64,'Data(perSeason,perCrop)'!$O:$O,BQ$7,'Data(perSeason,perCrop)'!$C:$C,Indicators!BQ$3,'Data(perSeason,perCrop)'!$R:$R,"IRRIGATED"),"")</f>
        <v>0.21270718232044195</v>
      </c>
      <c r="BR64" s="8" t="str">
        <f>IF(BR17&gt;0,1-AVERAGEIFS('Data(perSeason,perCrop)'!$E:$E,'Data(perSeason,perCrop)'!$S:$S,Indicators!$B64,'Data(perSeason,perCrop)'!$O:$O,BR$7,'Data(perSeason,perCrop)'!$C:$C,Indicators!BR$3,'Data(perSeason,perCrop)'!$R:$R,"IRRIGATED")/AVERAGEIFS('Data(perSeason,perCrop)'!$F:$F,'Data(perSeason,perCrop)'!$S:$S,Indicators!$B64,'Data(perSeason,perCrop)'!$O:$O,BR$7,'Data(perSeason,perCrop)'!$C:$C,Indicators!BR$3,'Data(perSeason,perCrop)'!$R:$R,"IRRIGATED"),"")</f>
        <v/>
      </c>
      <c r="BS64" s="8" t="str">
        <f>IF(BS17&gt;0,1-AVERAGEIFS('Data(perSeason,perCrop)'!$E:$E,'Data(perSeason,perCrop)'!$S:$S,Indicators!$B64,'Data(perSeason,perCrop)'!$O:$O,BS$7,'Data(perSeason,perCrop)'!$C:$C,Indicators!BS$3,'Data(perSeason,perCrop)'!$R:$R,"IRRIGATED")/AVERAGEIFS('Data(perSeason,perCrop)'!$F:$F,'Data(perSeason,perCrop)'!$S:$S,Indicators!$B64,'Data(perSeason,perCrop)'!$O:$O,BS$7,'Data(perSeason,perCrop)'!$C:$C,Indicators!BS$3,'Data(perSeason,perCrop)'!$R:$R,"IRRIGATED"),"")</f>
        <v/>
      </c>
      <c r="BT64" s="8" t="str">
        <f>IF(BT17&gt;0,1-AVERAGEIFS('Data(perSeason,perCrop)'!$E:$E,'Data(perSeason,perCrop)'!$S:$S,Indicators!$B64,'Data(perSeason,perCrop)'!$O:$O,BT$7,'Data(perSeason,perCrop)'!$C:$C,Indicators!BT$3,'Data(perSeason,perCrop)'!$R:$R,"IRRIGATED")/AVERAGEIFS('Data(perSeason,perCrop)'!$F:$F,'Data(perSeason,perCrop)'!$S:$S,Indicators!$B64,'Data(perSeason,perCrop)'!$O:$O,BT$7,'Data(perSeason,perCrop)'!$C:$C,Indicators!BT$3,'Data(perSeason,perCrop)'!$R:$R,"IRRIGATED"),"")</f>
        <v/>
      </c>
      <c r="BU64" s="8" t="str">
        <f>IF(BU17&gt;0,1-AVERAGEIFS('Data(perSeason,perCrop)'!$E:$E,'Data(perSeason,perCrop)'!$S:$S,Indicators!$B64,'Data(perSeason,perCrop)'!$O:$O,BU$7,'Data(perSeason,perCrop)'!$C:$C,Indicators!BU$3,'Data(perSeason,perCrop)'!$R:$R,"IRRIGATED")/AVERAGEIFS('Data(perSeason,perCrop)'!$F:$F,'Data(perSeason,perCrop)'!$S:$S,Indicators!$B64,'Data(perSeason,perCrop)'!$O:$O,BU$7,'Data(perSeason,perCrop)'!$C:$C,Indicators!BU$3,'Data(perSeason,perCrop)'!$R:$R,"IRRIGATED"),"")</f>
        <v/>
      </c>
      <c r="BV64" s="8" t="str">
        <f>IF(BV17&gt;0,1-AVERAGEIFS('Data(perSeason,perCrop)'!$E:$E,'Data(perSeason,perCrop)'!$S:$S,Indicators!$B64,'Data(perSeason,perCrop)'!$O:$O,BV$7,'Data(perSeason,perCrop)'!$C:$C,Indicators!BV$3,'Data(perSeason,perCrop)'!$R:$R,"IRRIGATED")/AVERAGEIFS('Data(perSeason,perCrop)'!$F:$F,'Data(perSeason,perCrop)'!$S:$S,Indicators!$B64,'Data(perSeason,perCrop)'!$O:$O,BV$7,'Data(perSeason,perCrop)'!$C:$C,Indicators!BV$3,'Data(perSeason,perCrop)'!$R:$R,"IRRIGATED"),"")</f>
        <v/>
      </c>
      <c r="BW64" s="8" t="str">
        <f>IF(BW17&gt;0,1-AVERAGEIFS('Data(perSeason,perCrop)'!$E:$E,'Data(perSeason,perCrop)'!$S:$S,Indicators!$B64,'Data(perSeason,perCrop)'!$O:$O,BW$7,'Data(perSeason,perCrop)'!$C:$C,Indicators!BW$3,'Data(perSeason,perCrop)'!$R:$R,"IRRIGATED")/AVERAGEIFS('Data(perSeason,perCrop)'!$F:$F,'Data(perSeason,perCrop)'!$S:$S,Indicators!$B64,'Data(perSeason,perCrop)'!$O:$O,BW$7,'Data(perSeason,perCrop)'!$C:$C,Indicators!BW$3,'Data(perSeason,perCrop)'!$R:$R,"IRRIGATED"),"")</f>
        <v/>
      </c>
      <c r="BX64" s="8" t="str">
        <f>IF(BX17&gt;0,1-AVERAGEIFS('Data(perSeason,perCrop)'!$E:$E,'Data(perSeason,perCrop)'!$S:$S,Indicators!$B64,'Data(perSeason,perCrop)'!$O:$O,BX$7,'Data(perSeason,perCrop)'!$C:$C,Indicators!BX$3,'Data(perSeason,perCrop)'!$R:$R,"IRRIGATED")/AVERAGEIFS('Data(perSeason,perCrop)'!$F:$F,'Data(perSeason,perCrop)'!$S:$S,Indicators!$B64,'Data(perSeason,perCrop)'!$O:$O,BX$7,'Data(perSeason,perCrop)'!$C:$C,Indicators!BX$3,'Data(perSeason,perCrop)'!$R:$R,"IRRIGATED"),"")</f>
        <v/>
      </c>
      <c r="BY64" s="8" t="str">
        <f>IF(BY17&gt;0,1-AVERAGEIFS('Data(perSeason,perCrop)'!$E:$E,'Data(perSeason,perCrop)'!$S:$S,Indicators!$B64,'Data(perSeason,perCrop)'!$O:$O,BY$7,'Data(perSeason,perCrop)'!$C:$C,Indicators!BY$3,'Data(perSeason,perCrop)'!$R:$R,"IRRIGATED")/AVERAGEIFS('Data(perSeason,perCrop)'!$F:$F,'Data(perSeason,perCrop)'!$S:$S,Indicators!$B64,'Data(perSeason,perCrop)'!$O:$O,BY$7,'Data(perSeason,perCrop)'!$C:$C,Indicators!BY$3,'Data(perSeason,perCrop)'!$R:$R,"IRRIGATED"),"")</f>
        <v/>
      </c>
      <c r="BZ64" s="8" t="str">
        <f>IF(BZ17&gt;0,1-AVERAGEIFS('Data(perSeason,perCrop)'!$E:$E,'Data(perSeason,perCrop)'!$S:$S,Indicators!$B64,'Data(perSeason,perCrop)'!$O:$O,BZ$7,'Data(perSeason,perCrop)'!$C:$C,Indicators!BZ$3,'Data(perSeason,perCrop)'!$R:$R,"IRRIGATED")/AVERAGEIFS('Data(perSeason,perCrop)'!$F:$F,'Data(perSeason,perCrop)'!$S:$S,Indicators!$B64,'Data(perSeason,perCrop)'!$O:$O,BZ$7,'Data(perSeason,perCrop)'!$C:$C,Indicators!BZ$3,'Data(perSeason,perCrop)'!$R:$R,"IRRIGATED"),"")</f>
        <v/>
      </c>
      <c r="CA64" s="8" t="str">
        <f>IF(CA17&gt;0,1-AVERAGEIFS('Data(perSeason,perCrop)'!$E:$E,'Data(perSeason,perCrop)'!$S:$S,Indicators!$B64,'Data(perSeason,perCrop)'!$O:$O,CA$7,'Data(perSeason,perCrop)'!$C:$C,Indicators!CA$3,'Data(perSeason,perCrop)'!$R:$R,"IRRIGATED")/AVERAGEIFS('Data(perSeason,perCrop)'!$F:$F,'Data(perSeason,perCrop)'!$S:$S,Indicators!$B64,'Data(perSeason,perCrop)'!$O:$O,CA$7,'Data(perSeason,perCrop)'!$C:$C,Indicators!CA$3,'Data(perSeason,perCrop)'!$R:$R,"IRRIGATED"),"")</f>
        <v/>
      </c>
      <c r="CB64" s="8" t="str">
        <f>IF(CB17&gt;0,1-AVERAGEIFS('Data(perSeason,perCrop)'!$E:$E,'Data(perSeason,perCrop)'!$S:$S,Indicators!$B64,'Data(perSeason,perCrop)'!$O:$O,CB$7,'Data(perSeason,perCrop)'!$C:$C,Indicators!CB$3,'Data(perSeason,perCrop)'!$R:$R,"IRRIGATED")/AVERAGEIFS('Data(perSeason,perCrop)'!$F:$F,'Data(perSeason,perCrop)'!$S:$S,Indicators!$B64,'Data(perSeason,perCrop)'!$O:$O,CB$7,'Data(perSeason,perCrop)'!$C:$C,Indicators!CB$3,'Data(perSeason,perCrop)'!$R:$R,"IRRIGATED"),"")</f>
        <v/>
      </c>
      <c r="CC64" s="8" t="str">
        <f>IF(CC17&gt;0,1-AVERAGEIFS('Data(perSeason,perCrop)'!$E:$E,'Data(perSeason,perCrop)'!$S:$S,Indicators!$B64,'Data(perSeason,perCrop)'!$O:$O,CC$7,'Data(perSeason,perCrop)'!$C:$C,Indicators!CC$3,'Data(perSeason,perCrop)'!$R:$R,"IRRIGATED")/AVERAGEIFS('Data(perSeason,perCrop)'!$F:$F,'Data(perSeason,perCrop)'!$S:$S,Indicators!$B64,'Data(perSeason,perCrop)'!$O:$O,CC$7,'Data(perSeason,perCrop)'!$C:$C,Indicators!CC$3,'Data(perSeason,perCrop)'!$R:$R,"IRRIGATED"),"")</f>
        <v/>
      </c>
      <c r="CD64" s="8" t="str">
        <f>IF(CD17&gt;0,1-AVERAGEIFS('Data(perSeason,perCrop)'!$E:$E,'Data(perSeason,perCrop)'!$S:$S,Indicators!$B64,'Data(perSeason,perCrop)'!$O:$O,CD$7,'Data(perSeason,perCrop)'!$C:$C,Indicators!CD$3,'Data(perSeason,perCrop)'!$R:$R,"IRRIGATED")/AVERAGEIFS('Data(perSeason,perCrop)'!$F:$F,'Data(perSeason,perCrop)'!$S:$S,Indicators!$B64,'Data(perSeason,perCrop)'!$O:$O,CD$7,'Data(perSeason,perCrop)'!$C:$C,Indicators!CD$3,'Data(perSeason,perCrop)'!$R:$R,"IRRIGATED"),"")</f>
        <v/>
      </c>
      <c r="CE64" s="8" t="str">
        <f>IF(CE17&gt;0,1-AVERAGEIFS('Data(perSeason,perCrop)'!$E:$E,'Data(perSeason,perCrop)'!$S:$S,Indicators!$B64,'Data(perSeason,perCrop)'!$O:$O,CE$7,'Data(perSeason,perCrop)'!$C:$C,Indicators!CE$3,'Data(perSeason,perCrop)'!$R:$R,"IRRIGATED")/AVERAGEIFS('Data(perSeason,perCrop)'!$F:$F,'Data(perSeason,perCrop)'!$S:$S,Indicators!$B64,'Data(perSeason,perCrop)'!$O:$O,CE$7,'Data(perSeason,perCrop)'!$C:$C,Indicators!CE$3,'Data(perSeason,perCrop)'!$R:$R,"IRRIGATED"),"")</f>
        <v/>
      </c>
      <c r="CF64" s="8" t="str">
        <f>IF(CF17&gt;0,1-AVERAGEIFS('Data(perSeason,perCrop)'!$E:$E,'Data(perSeason,perCrop)'!$S:$S,Indicators!$B64,'Data(perSeason,perCrop)'!$O:$O,CF$7,'Data(perSeason,perCrop)'!$C:$C,Indicators!CF$3,'Data(perSeason,perCrop)'!$R:$R,"IRRIGATED")/AVERAGEIFS('Data(perSeason,perCrop)'!$F:$F,'Data(perSeason,perCrop)'!$S:$S,Indicators!$B64,'Data(perSeason,perCrop)'!$O:$O,CF$7,'Data(perSeason,perCrop)'!$C:$C,Indicators!CF$3,'Data(perSeason,perCrop)'!$R:$R,"IRRIGATED"),"")</f>
        <v/>
      </c>
      <c r="CG64" s="8" t="str">
        <f>IF(CG17&gt;0,1-AVERAGEIFS('Data(perSeason,perCrop)'!$E:$E,'Data(perSeason,perCrop)'!$S:$S,Indicators!$B64,'Data(perSeason,perCrop)'!$O:$O,CG$7,'Data(perSeason,perCrop)'!$C:$C,Indicators!CG$3,'Data(perSeason,perCrop)'!$R:$R,"IRRIGATED")/AVERAGEIFS('Data(perSeason,perCrop)'!$F:$F,'Data(perSeason,perCrop)'!$S:$S,Indicators!$B64,'Data(perSeason,perCrop)'!$O:$O,CG$7,'Data(perSeason,perCrop)'!$C:$C,Indicators!CG$3,'Data(perSeason,perCrop)'!$R:$R,"IRRIGATED"),"")</f>
        <v/>
      </c>
      <c r="CH64" s="8" t="str">
        <f>IF(CH17&gt;0,1-AVERAGEIFS('Data(perSeason,perCrop)'!$E:$E,'Data(perSeason,perCrop)'!$S:$S,Indicators!$B64,'Data(perSeason,perCrop)'!$O:$O,CH$7,'Data(perSeason,perCrop)'!$C:$C,Indicators!CH$3,'Data(perSeason,perCrop)'!$R:$R,"IRRIGATED")/AVERAGEIFS('Data(perSeason,perCrop)'!$F:$F,'Data(perSeason,perCrop)'!$S:$S,Indicators!$B64,'Data(perSeason,perCrop)'!$O:$O,CH$7,'Data(perSeason,perCrop)'!$C:$C,Indicators!CH$3,'Data(perSeason,perCrop)'!$R:$R,"IRRIGATED"),"")</f>
        <v/>
      </c>
      <c r="CI64" s="8" t="str">
        <f>IF(CI17&gt;0,1-AVERAGEIFS('Data(perSeason,perCrop)'!$E:$E,'Data(perSeason,perCrop)'!$S:$S,Indicators!$B64,'Data(perSeason,perCrop)'!$O:$O,CI$7,'Data(perSeason,perCrop)'!$C:$C,Indicators!CI$3,'Data(perSeason,perCrop)'!$R:$R,"IRRIGATED")/AVERAGEIFS('Data(perSeason,perCrop)'!$F:$F,'Data(perSeason,perCrop)'!$S:$S,Indicators!$B64,'Data(perSeason,perCrop)'!$O:$O,CI$7,'Data(perSeason,perCrop)'!$C:$C,Indicators!CI$3,'Data(perSeason,perCrop)'!$R:$R,"IRRIGATED"),"")</f>
        <v/>
      </c>
      <c r="CJ64" s="8" t="str">
        <f>IF(CJ17&gt;0,1-AVERAGEIFS('Data(perSeason,perCrop)'!$E:$E,'Data(perSeason,perCrop)'!$S:$S,Indicators!$B64,'Data(perSeason,perCrop)'!$O:$O,CJ$7,'Data(perSeason,perCrop)'!$C:$C,Indicators!CJ$3,'Data(perSeason,perCrop)'!$R:$R,"IRRIGATED")/AVERAGEIFS('Data(perSeason,perCrop)'!$F:$F,'Data(perSeason,perCrop)'!$S:$S,Indicators!$B64,'Data(perSeason,perCrop)'!$O:$O,CJ$7,'Data(perSeason,perCrop)'!$C:$C,Indicators!CJ$3,'Data(perSeason,perCrop)'!$R:$R,"IRRIGATED"),"")</f>
        <v/>
      </c>
      <c r="CK64" s="8" t="str">
        <f>IF(CK17&gt;0,1-AVERAGEIFS('Data(perSeason,perCrop)'!$E:$E,'Data(perSeason,perCrop)'!$S:$S,Indicators!$B64,'Data(perSeason,perCrop)'!$O:$O,CK$7,'Data(perSeason,perCrop)'!$C:$C,Indicators!CK$3,'Data(perSeason,perCrop)'!$R:$R,"IRRIGATED")/AVERAGEIFS('Data(perSeason,perCrop)'!$F:$F,'Data(perSeason,perCrop)'!$S:$S,Indicators!$B64,'Data(perSeason,perCrop)'!$O:$O,CK$7,'Data(perSeason,perCrop)'!$C:$C,Indicators!CK$3,'Data(perSeason,perCrop)'!$R:$R,"IRRIGATED"),"")</f>
        <v/>
      </c>
      <c r="CL64" s="8" t="str">
        <f>IF(CL17&gt;0,1-AVERAGEIFS('Data(perSeason,perCrop)'!$E:$E,'Data(perSeason,perCrop)'!$S:$S,Indicators!$B64,'Data(perSeason,perCrop)'!$O:$O,CL$7,'Data(perSeason,perCrop)'!$C:$C,Indicators!CL$3,'Data(perSeason,perCrop)'!$R:$R,"IRRIGATED")/AVERAGEIFS('Data(perSeason,perCrop)'!$F:$F,'Data(perSeason,perCrop)'!$S:$S,Indicators!$B64,'Data(perSeason,perCrop)'!$O:$O,CL$7,'Data(perSeason,perCrop)'!$C:$C,Indicators!CL$3,'Data(perSeason,perCrop)'!$R:$R,"IRRIGATED"),"")</f>
        <v/>
      </c>
      <c r="CM64" s="8" t="str">
        <f>IF(CM17&gt;0,1-AVERAGEIFS('Data(perSeason,perCrop)'!$E:$E,'Data(perSeason,perCrop)'!$S:$S,Indicators!$B64,'Data(perSeason,perCrop)'!$O:$O,CM$7,'Data(perSeason,perCrop)'!$C:$C,Indicators!CM$3,'Data(perSeason,perCrop)'!$R:$R,"IRRIGATED")/AVERAGEIFS('Data(perSeason,perCrop)'!$F:$F,'Data(perSeason,perCrop)'!$S:$S,Indicators!$B64,'Data(perSeason,perCrop)'!$O:$O,CM$7,'Data(perSeason,perCrop)'!$C:$C,Indicators!CM$3,'Data(perSeason,perCrop)'!$R:$R,"IRRIGATED"),"")</f>
        <v/>
      </c>
      <c r="CN64" s="8" t="str">
        <f>IF(CN17&gt;0,1-AVERAGEIFS('Data(perSeason,perCrop)'!$E:$E,'Data(perSeason,perCrop)'!$S:$S,Indicators!$B64,'Data(perSeason,perCrop)'!$O:$O,CN$7,'Data(perSeason,perCrop)'!$C:$C,Indicators!CN$3,'Data(perSeason,perCrop)'!$R:$R,"IRRIGATED")/AVERAGEIFS('Data(perSeason,perCrop)'!$F:$F,'Data(perSeason,perCrop)'!$S:$S,Indicators!$B64,'Data(perSeason,perCrop)'!$O:$O,CN$7,'Data(perSeason,perCrop)'!$C:$C,Indicators!CN$3,'Data(perSeason,perCrop)'!$R:$R,"IRRIGATED"),"")</f>
        <v/>
      </c>
      <c r="CO64" s="8" t="str">
        <f>IF(CO17&gt;0,1-AVERAGEIFS('Data(perSeason,perCrop)'!$E:$E,'Data(perSeason,perCrop)'!$S:$S,Indicators!$B64,'Data(perSeason,perCrop)'!$O:$O,CO$7,'Data(perSeason,perCrop)'!$C:$C,Indicators!CO$3,'Data(perSeason,perCrop)'!$R:$R,"IRRIGATED")/AVERAGEIFS('Data(perSeason,perCrop)'!$F:$F,'Data(perSeason,perCrop)'!$S:$S,Indicators!$B64,'Data(perSeason,perCrop)'!$O:$O,CO$7,'Data(perSeason,perCrop)'!$C:$C,Indicators!CO$3,'Data(perSeason,perCrop)'!$R:$R,"IRRIGATED"),"")</f>
        <v/>
      </c>
      <c r="CP64" s="8">
        <f>IF(CP17&gt;0,1-AVERAGEIFS('Data(perSeason,perCrop)'!$E:$E,'Data(perSeason,perCrop)'!$S:$S,Indicators!$B64,'Data(perSeason,perCrop)'!$O:$O,CP$7,'Data(perSeason,perCrop)'!$C:$C,Indicators!CP$3,'Data(perSeason,perCrop)'!$R:$R,"IRRIGATED")/AVERAGEIFS('Data(perSeason,perCrop)'!$F:$F,'Data(perSeason,perCrop)'!$S:$S,Indicators!$B64,'Data(perSeason,perCrop)'!$O:$O,CP$7,'Data(perSeason,perCrop)'!$C:$C,Indicators!CP$3,'Data(perSeason,perCrop)'!$R:$R,"IRRIGATED"),"")</f>
        <v>0.18147448015122869</v>
      </c>
      <c r="CQ64" s="8">
        <f>IF(CQ17&gt;0,1-AVERAGEIFS('Data(perSeason,perCrop)'!$E:$E,'Data(perSeason,perCrop)'!$S:$S,Indicators!$B64,'Data(perSeason,perCrop)'!$O:$O,CQ$7,'Data(perSeason,perCrop)'!$C:$C,Indicators!CQ$3,'Data(perSeason,perCrop)'!$R:$R,"IRRIGATED")/AVERAGEIFS('Data(perSeason,perCrop)'!$F:$F,'Data(perSeason,perCrop)'!$S:$S,Indicators!$B64,'Data(perSeason,perCrop)'!$O:$O,CQ$7,'Data(perSeason,perCrop)'!$C:$C,Indicators!CQ$3,'Data(perSeason,perCrop)'!$R:$R,"IRRIGATED"),"")</f>
        <v>0.20059880239520955</v>
      </c>
      <c r="CR64" s="8" t="str">
        <f>IF(CR17&gt;0,1-AVERAGEIFS('Data(perSeason,perCrop)'!$E:$E,'Data(perSeason,perCrop)'!$S:$S,Indicators!$B64,'Data(perSeason,perCrop)'!$O:$O,CR$7,'Data(perSeason,perCrop)'!$C:$C,Indicators!CR$3,'Data(perSeason,perCrop)'!$R:$R,"IRRIGATED")/AVERAGEIFS('Data(perSeason,perCrop)'!$F:$F,'Data(perSeason,perCrop)'!$S:$S,Indicators!$B64,'Data(perSeason,perCrop)'!$O:$O,CR$7,'Data(perSeason,perCrop)'!$C:$C,Indicators!CR$3,'Data(perSeason,perCrop)'!$R:$R,"IRRIGATED"),"")</f>
        <v/>
      </c>
      <c r="CS64" s="8">
        <f>IF(CS17&gt;0,1-AVERAGEIFS('Data(perSeason,perCrop)'!$E:$E,'Data(perSeason,perCrop)'!$S:$S,Indicators!$B64,'Data(perSeason,perCrop)'!$O:$O,CS$7,'Data(perSeason,perCrop)'!$C:$C,Indicators!CS$3,'Data(perSeason,perCrop)'!$R:$R,"IRRIGATED")/AVERAGEIFS('Data(perSeason,perCrop)'!$F:$F,'Data(perSeason,perCrop)'!$S:$S,Indicators!$B64,'Data(perSeason,perCrop)'!$O:$O,CS$7,'Data(perSeason,perCrop)'!$C:$C,Indicators!CS$3,'Data(perSeason,perCrop)'!$R:$R,"IRRIGATED"),"")</f>
        <v>0.30935251798561147</v>
      </c>
      <c r="CT64" s="8" t="str">
        <f>IF(CT17&gt;0,1-AVERAGEIFS('Data(perSeason,perCrop)'!$E:$E,'Data(perSeason,perCrop)'!$S:$S,Indicators!$B64,'Data(perSeason,perCrop)'!$O:$O,CT$7,'Data(perSeason,perCrop)'!$C:$C,Indicators!CT$3,'Data(perSeason,perCrop)'!$R:$R,"IRRIGATED")/AVERAGEIFS('Data(perSeason,perCrop)'!$F:$F,'Data(perSeason,perCrop)'!$S:$S,Indicators!$B64,'Data(perSeason,perCrop)'!$O:$O,CT$7,'Data(perSeason,perCrop)'!$C:$C,Indicators!CT$3,'Data(perSeason,perCrop)'!$R:$R,"IRRIGATED"),"")</f>
        <v/>
      </c>
      <c r="CU64" s="8" t="str">
        <f>IF(CU17&gt;0,1-AVERAGEIFS('Data(perSeason,perCrop)'!$E:$E,'Data(perSeason,perCrop)'!$S:$S,Indicators!$B64,'Data(perSeason,perCrop)'!$O:$O,CU$7,'Data(perSeason,perCrop)'!$C:$C,Indicators!CU$3,'Data(perSeason,perCrop)'!$R:$R,"IRRIGATED")/AVERAGEIFS('Data(perSeason,perCrop)'!$F:$F,'Data(perSeason,perCrop)'!$S:$S,Indicators!$B64,'Data(perSeason,perCrop)'!$O:$O,CU$7,'Data(perSeason,perCrop)'!$C:$C,Indicators!CU$3,'Data(perSeason,perCrop)'!$R:$R,"IRRIGATED"),"")</f>
        <v/>
      </c>
      <c r="CV64" s="8">
        <f>IF(CV17&gt;0,1-AVERAGEIFS('Data(perSeason,perCrop)'!$E:$E,'Data(perSeason,perCrop)'!$S:$S,Indicators!$B64,'Data(perSeason,perCrop)'!$O:$O,CV$7,'Data(perSeason,perCrop)'!$C:$C,Indicators!CV$3,'Data(perSeason,perCrop)'!$R:$R,"IRRIGATED")/AVERAGEIFS('Data(perSeason,perCrop)'!$F:$F,'Data(perSeason,perCrop)'!$S:$S,Indicators!$B64,'Data(perSeason,perCrop)'!$O:$O,CV$7,'Data(perSeason,perCrop)'!$C:$C,Indicators!CV$3,'Data(perSeason,perCrop)'!$R:$R,"IRRIGATED"),"")</f>
        <v>0.23552894211576847</v>
      </c>
      <c r="CW64" s="8" t="str">
        <f>IF(CW17&gt;0,1-AVERAGEIFS('Data(perSeason,perCrop)'!$E:$E,'Data(perSeason,perCrop)'!$S:$S,Indicators!$B64,'Data(perSeason,perCrop)'!$O:$O,CW$7,'Data(perSeason,perCrop)'!$C:$C,Indicators!CW$3,'Data(perSeason,perCrop)'!$R:$R,"IRRIGATED")/AVERAGEIFS('Data(perSeason,perCrop)'!$F:$F,'Data(perSeason,perCrop)'!$S:$S,Indicators!$B64,'Data(perSeason,perCrop)'!$O:$O,CW$7,'Data(perSeason,perCrop)'!$C:$C,Indicators!CW$3,'Data(perSeason,perCrop)'!$R:$R,"IRRIGATED"),"")</f>
        <v/>
      </c>
      <c r="CX64" s="8" t="str">
        <f>IF(CX17&gt;0,1-AVERAGEIFS('Data(perSeason,perCrop)'!$E:$E,'Data(perSeason,perCrop)'!$S:$S,Indicators!$B64,'Data(perSeason,perCrop)'!$O:$O,CX$7,'Data(perSeason,perCrop)'!$C:$C,Indicators!CX$3,'Data(perSeason,perCrop)'!$R:$R,"IRRIGATED")/AVERAGEIFS('Data(perSeason,perCrop)'!$F:$F,'Data(perSeason,perCrop)'!$S:$S,Indicators!$B64,'Data(perSeason,perCrop)'!$O:$O,CX$7,'Data(perSeason,perCrop)'!$C:$C,Indicators!CX$3,'Data(perSeason,perCrop)'!$R:$R,"IRRIGATED"),"")</f>
        <v/>
      </c>
      <c r="CY64" s="8" t="str">
        <f>IF(CY17&gt;0,1-AVERAGEIFS('Data(perSeason,perCrop)'!$E:$E,'Data(perSeason,perCrop)'!$S:$S,Indicators!$B64,'Data(perSeason,perCrop)'!$O:$O,CY$7,'Data(perSeason,perCrop)'!$C:$C,Indicators!CY$3,'Data(perSeason,perCrop)'!$R:$R,"IRRIGATED")/AVERAGEIFS('Data(perSeason,perCrop)'!$F:$F,'Data(perSeason,perCrop)'!$S:$S,Indicators!$B64,'Data(perSeason,perCrop)'!$O:$O,CY$7,'Data(perSeason,perCrop)'!$C:$C,Indicators!CY$3,'Data(perSeason,perCrop)'!$R:$R,"IRRIGATED"),"")</f>
        <v/>
      </c>
      <c r="CZ64" s="8" t="str">
        <f>IF(CZ17&gt;0,1-AVERAGEIFS('Data(perSeason,perCrop)'!$E:$E,'Data(perSeason,perCrop)'!$S:$S,Indicators!$B64,'Data(perSeason,perCrop)'!$O:$O,CZ$7,'Data(perSeason,perCrop)'!$C:$C,Indicators!CZ$3,'Data(perSeason,perCrop)'!$R:$R,"IRRIGATED")/AVERAGEIFS('Data(perSeason,perCrop)'!$F:$F,'Data(perSeason,perCrop)'!$S:$S,Indicators!$B64,'Data(perSeason,perCrop)'!$O:$O,CZ$7,'Data(perSeason,perCrop)'!$C:$C,Indicators!CZ$3,'Data(perSeason,perCrop)'!$R:$R,"IRRIGATED"),"")</f>
        <v/>
      </c>
      <c r="DA64" s="8" t="str">
        <f>IF(DA17&gt;0,1-AVERAGEIFS('Data(perSeason,perCrop)'!$E:$E,'Data(perSeason,perCrop)'!$S:$S,Indicators!$B64,'Data(perSeason,perCrop)'!$O:$O,DA$7,'Data(perSeason,perCrop)'!$C:$C,Indicators!DA$3,'Data(perSeason,perCrop)'!$R:$R,"IRRIGATED")/AVERAGEIFS('Data(perSeason,perCrop)'!$F:$F,'Data(perSeason,perCrop)'!$S:$S,Indicators!$B64,'Data(perSeason,perCrop)'!$O:$O,DA$7,'Data(perSeason,perCrop)'!$C:$C,Indicators!DA$3,'Data(perSeason,perCrop)'!$R:$R,"IRRIGATED"),"")</f>
        <v/>
      </c>
      <c r="DB64" s="8" t="str">
        <f>IF(DB17&gt;0,1-AVERAGEIFS('Data(perSeason,perCrop)'!$E:$E,'Data(perSeason,perCrop)'!$S:$S,Indicators!$B64,'Data(perSeason,perCrop)'!$O:$O,DB$7,'Data(perSeason,perCrop)'!$C:$C,Indicators!DB$3,'Data(perSeason,perCrop)'!$R:$R,"IRRIGATED")/AVERAGEIFS('Data(perSeason,perCrop)'!$F:$F,'Data(perSeason,perCrop)'!$S:$S,Indicators!$B64,'Data(perSeason,perCrop)'!$O:$O,DB$7,'Data(perSeason,perCrop)'!$C:$C,Indicators!DB$3,'Data(perSeason,perCrop)'!$R:$R,"IRRIGATED"),"")</f>
        <v/>
      </c>
      <c r="DC64" s="8" t="str">
        <f>IF(DC17&gt;0,1-AVERAGEIFS('Data(perSeason,perCrop)'!$E:$E,'Data(perSeason,perCrop)'!$S:$S,Indicators!$B64,'Data(perSeason,perCrop)'!$O:$O,DC$7,'Data(perSeason,perCrop)'!$C:$C,Indicators!DC$3,'Data(perSeason,perCrop)'!$R:$R,"IRRIGATED")/AVERAGEIFS('Data(perSeason,perCrop)'!$F:$F,'Data(perSeason,perCrop)'!$S:$S,Indicators!$B64,'Data(perSeason,perCrop)'!$O:$O,DC$7,'Data(perSeason,perCrop)'!$C:$C,Indicators!DC$3,'Data(perSeason,perCrop)'!$R:$R,"IRRIGATED"),"")</f>
        <v/>
      </c>
      <c r="DD64" s="8" t="str">
        <f>IF(DD17&gt;0,1-AVERAGEIFS('Data(perSeason,perCrop)'!$E:$E,'Data(perSeason,perCrop)'!$S:$S,Indicators!$B64,'Data(perSeason,perCrop)'!$O:$O,DD$7,'Data(perSeason,perCrop)'!$C:$C,Indicators!DD$3,'Data(perSeason,perCrop)'!$R:$R,"IRRIGATED")/AVERAGEIFS('Data(perSeason,perCrop)'!$F:$F,'Data(perSeason,perCrop)'!$S:$S,Indicators!$B64,'Data(perSeason,perCrop)'!$O:$O,DD$7,'Data(perSeason,perCrop)'!$C:$C,Indicators!DD$3,'Data(perSeason,perCrop)'!$R:$R,"IRRIGATED"),"")</f>
        <v/>
      </c>
      <c r="DE64" s="8" t="str">
        <f>IF(DE17&gt;0,1-AVERAGEIFS('Data(perSeason,perCrop)'!$E:$E,'Data(perSeason,perCrop)'!$S:$S,Indicators!$B64,'Data(perSeason,perCrop)'!$O:$O,DE$7,'Data(perSeason,perCrop)'!$C:$C,Indicators!DE$3,'Data(perSeason,perCrop)'!$R:$R,"IRRIGATED")/AVERAGEIFS('Data(perSeason,perCrop)'!$F:$F,'Data(perSeason,perCrop)'!$S:$S,Indicators!$B64,'Data(perSeason,perCrop)'!$O:$O,DE$7,'Data(perSeason,perCrop)'!$C:$C,Indicators!DE$3,'Data(perSeason,perCrop)'!$R:$R,"IRRIGATED"),"")</f>
        <v/>
      </c>
      <c r="DF64" s="8" t="str">
        <f>IF(DF17&gt;0,1-AVERAGEIFS('Data(perSeason,perCrop)'!$E:$E,'Data(perSeason,perCrop)'!$S:$S,Indicators!$B64,'Data(perSeason,perCrop)'!$O:$O,DF$7,'Data(perSeason,perCrop)'!$C:$C,Indicators!DF$3,'Data(perSeason,perCrop)'!$R:$R,"IRRIGATED")/AVERAGEIFS('Data(perSeason,perCrop)'!$F:$F,'Data(perSeason,perCrop)'!$S:$S,Indicators!$B64,'Data(perSeason,perCrop)'!$O:$O,DF$7,'Data(perSeason,perCrop)'!$C:$C,Indicators!DF$3,'Data(perSeason,perCrop)'!$R:$R,"IRRIGATED"),"")</f>
        <v/>
      </c>
      <c r="DG64" s="8" t="str">
        <f>IF(DG17&gt;0,1-AVERAGEIFS('Data(perSeason,perCrop)'!$E:$E,'Data(perSeason,perCrop)'!$S:$S,Indicators!$B64,'Data(perSeason,perCrop)'!$O:$O,DG$7,'Data(perSeason,perCrop)'!$C:$C,Indicators!DG$3,'Data(perSeason,perCrop)'!$R:$R,"IRRIGATED")/AVERAGEIFS('Data(perSeason,perCrop)'!$F:$F,'Data(perSeason,perCrop)'!$S:$S,Indicators!$B64,'Data(perSeason,perCrop)'!$O:$O,DG$7,'Data(perSeason,perCrop)'!$C:$C,Indicators!DG$3,'Data(perSeason,perCrop)'!$R:$R,"IRRIGATED"),"")</f>
        <v/>
      </c>
    </row>
    <row r="65" spans="1:111" x14ac:dyDescent="0.25">
      <c r="B65">
        <v>2021</v>
      </c>
      <c r="C65" s="80">
        <f>IF(COUNTIFS('Data(perSeason,perCrop)'!$S:$S,Indicators!$B65)&gt;0,SUMPRODUCT(S18:AW18,S65:AW65)/SUM(S18:AW18),"")</f>
        <v>0.22996328139055661</v>
      </c>
      <c r="D65" s="80">
        <f>IF(COUNTIFS('Data(perSeason,perCrop)'!$S:$S,Indicators!$B65)&gt;0,SUMPRODUCT(AX18:CB18,AX65:CB65)/SUM(AX18:CB18),"")</f>
        <v>0.2060417857122048</v>
      </c>
      <c r="E65" s="80">
        <f>IF(COUNTIFS('Data(perSeason,perCrop)'!$S:$S,Indicators!$B65)&gt;0,SUMPRODUCT(CC18:DG18,CC65:DG65)/SUM(CC18:DG18),"")</f>
        <v>0.17901164904506839</v>
      </c>
      <c r="F65" s="80">
        <f>IF(COUNTIFS('Data(perSeason,perCrop)'!$S:$S,Indicators!$B65)&gt;0,'Indicators(perCrop)'!Y$38,"")</f>
        <v>0.25664981304281581</v>
      </c>
      <c r="G65" s="8"/>
      <c r="H65" s="8"/>
      <c r="J65" s="2" t="s">
        <v>98</v>
      </c>
      <c r="K65" s="8">
        <f>IF(K18&gt;0,1-AVERAGEIFS('Data(perSeason,perCrop)'!$E:$E,'Data(perSeason,perCrop)'!$S:$S,Indicators!$B65,'Data(perSeason,perCrop)'!$O:$O,0,'Data(perSeason,perCrop)'!$C:$C,Indicators!K$3,'Data(perSeason,perCrop)'!$R:$R,"IRRIGATED")/AVERAGEIFS('Data(perSeason,perCrop)'!$F:$F,'Data(perSeason,perCrop)'!$S:$S,Indicators!$B65,'Data(perSeason,perCrop)'!$O:$O,0,'Data(perSeason,perCrop)'!$C:$C,Indicators!K$3,'Data(perSeason,perCrop)'!$R:$R,"IRRIGATED"),"")</f>
        <v>0.27669172932330832</v>
      </c>
      <c r="L65" s="8">
        <f>IF(L18&gt;0,1-AVERAGEIFS('Data(perSeason,perCrop)'!$E:$E,'Data(perSeason,perCrop)'!$S:$S,Indicators!$B65,'Data(perSeason,perCrop)'!$O:$O,0,'Data(perSeason,perCrop)'!$C:$C,Indicators!L$3,'Data(perSeason,perCrop)'!$R:$R,"IRRIGATED")/AVERAGEIFS('Data(perSeason,perCrop)'!$F:$F,'Data(perSeason,perCrop)'!$S:$S,Indicators!$B65,'Data(perSeason,perCrop)'!$O:$O,0,'Data(perSeason,perCrop)'!$C:$C,Indicators!L$3,'Data(perSeason,perCrop)'!$R:$R,"IRRIGATED"),"")</f>
        <v>0.14827586206896548</v>
      </c>
      <c r="M65" s="8">
        <f>IF(M18&gt;0,1-AVERAGEIFS('Data(perSeason,perCrop)'!$E:$E,'Data(perSeason,perCrop)'!$S:$S,Indicators!$B65,'Data(perSeason,perCrop)'!$O:$O,0,'Data(perSeason,perCrop)'!$C:$C,Indicators!M$3,'Data(perSeason,perCrop)'!$R:$R,"IRRIGATED")/AVERAGEIFS('Data(perSeason,perCrop)'!$F:$F,'Data(perSeason,perCrop)'!$S:$S,Indicators!$B65,'Data(perSeason,perCrop)'!$O:$O,0,'Data(perSeason,perCrop)'!$C:$C,Indicators!M$3,'Data(perSeason,perCrop)'!$R:$R,"IRRIGATED"),"")</f>
        <v>0.17523609653725081</v>
      </c>
      <c r="N65" s="8">
        <f>IF(N18&gt;0,1-AVERAGEIFS('Data(perSeason,perCrop)'!$E:$E,'Data(perSeason,perCrop)'!$S:$S,Indicators!$B65,'Data(perSeason,perCrop)'!$O:$O,0,'Data(perSeason,perCrop)'!$C:$C,Indicators!N$3,'Data(perSeason,perCrop)'!$R:$R,"IRRIGATED")/AVERAGEIFS('Data(perSeason,perCrop)'!$F:$F,'Data(perSeason,perCrop)'!$S:$S,Indicators!$B65,'Data(perSeason,perCrop)'!$O:$O,0,'Data(perSeason,perCrop)'!$C:$C,Indicators!N$3,'Data(perSeason,perCrop)'!$R:$R,"IRRIGATED"),"")</f>
        <v>0.19946091644204855</v>
      </c>
      <c r="O65" s="8">
        <f>IF(O18&gt;0,1-AVERAGEIFS('Data(perSeason,perCrop)'!$E:$E,'Data(perSeason,perCrop)'!$S:$S,Indicators!$B65,'Data(perSeason,perCrop)'!$O:$O,0,'Data(perSeason,perCrop)'!$C:$C,Indicators!O$3,'Data(perSeason,perCrop)'!$R:$R,"IRRIGATED")/AVERAGEIFS('Data(perSeason,perCrop)'!$F:$F,'Data(perSeason,perCrop)'!$S:$S,Indicators!$B65,'Data(perSeason,perCrop)'!$O:$O,0,'Data(perSeason,perCrop)'!$C:$C,Indicators!O$3,'Data(perSeason,perCrop)'!$R:$R,"IRRIGATED"),"")</f>
        <v>0.174852652259332</v>
      </c>
      <c r="P65" s="8">
        <f>IF(P18&gt;0,1-AVERAGEIFS('Data(perSeason,perCrop)'!$E:$E,'Data(perSeason,perCrop)'!$S:$S,Indicators!$B65,'Data(perSeason,perCrop)'!$O:$O,0,'Data(perSeason,perCrop)'!$C:$C,Indicators!P$3,'Data(perSeason,perCrop)'!$R:$R,"IRRIGATED")/AVERAGEIFS('Data(perSeason,perCrop)'!$F:$F,'Data(perSeason,perCrop)'!$S:$S,Indicators!$B65,'Data(perSeason,perCrop)'!$O:$O,0,'Data(perSeason,perCrop)'!$C:$C,Indicators!P$3,'Data(perSeason,perCrop)'!$R:$R,"IRRIGATED"),"")</f>
        <v>0.43351548269581053</v>
      </c>
      <c r="Q65" s="8">
        <f>IF(Q18&gt;0,1-AVERAGEIFS('Data(perSeason,perCrop)'!$E:$E,'Data(perSeason,perCrop)'!$S:$S,Indicators!$B65,'Data(perSeason,perCrop)'!$O:$O,0,'Data(perSeason,perCrop)'!$C:$C,Indicators!Q$3,'Data(perSeason,perCrop)'!$R:$R,"IRRIGATED")/AVERAGEIFS('Data(perSeason,perCrop)'!$F:$F,'Data(perSeason,perCrop)'!$S:$S,Indicators!$B65,'Data(perSeason,perCrop)'!$O:$O,0,'Data(perSeason,perCrop)'!$C:$C,Indicators!Q$3,'Data(perSeason,perCrop)'!$R:$R,"IRRIGATED"),"")</f>
        <v>0.14271356783919598</v>
      </c>
      <c r="R65" s="8" t="str">
        <f>IF(R18&gt;0,1-AVERAGEIFS('Data(perSeason,perCrop)'!$E:$E,'Data(perSeason,perCrop)'!$S:$S,Indicators!$B65,'Data(perSeason,perCrop)'!$O:$O,0,'Data(perSeason,perCrop)'!$C:$C,Indicators!R$3,'Data(perSeason,perCrop)'!$R:$R,"IRRIGATED")/AVERAGEIFS('Data(perSeason,perCrop)'!$F:$F,'Data(perSeason,perCrop)'!$S:$S,Indicators!$B65,'Data(perSeason,perCrop)'!$O:$O,0,'Data(perSeason,perCrop)'!$C:$C,Indicators!R$3,'Data(perSeason,perCrop)'!$R:$R,"IRRIGATED"),"")</f>
        <v/>
      </c>
      <c r="S65" s="65" t="str">
        <f>IF(S18&gt;0,1-AVERAGEIFS('Data(perSeason,perCrop)'!$E:$E,'Data(perSeason,perCrop)'!$S:$S,Indicators!$B65,'Data(perSeason,perCrop)'!$O:$O,S$7,'Data(perSeason,perCrop)'!$C:$C,Indicators!S$3,'Data(perSeason,perCrop)'!$R:$R,"IRRIGATED")/AVERAGEIFS('Data(perSeason,perCrop)'!$F:$F,'Data(perSeason,perCrop)'!$S:$S,Indicators!$B65,'Data(perSeason,perCrop)'!$O:$O,S$7,'Data(perSeason,perCrop)'!$C:$C,Indicators!S$3,'Data(perSeason,perCrop)'!$R:$R,"IRRIGATED"),"")</f>
        <v/>
      </c>
      <c r="T65" s="65">
        <f>IF(T18&gt;0,1-AVERAGEIFS('Data(perSeason,perCrop)'!$E:$E,'Data(perSeason,perCrop)'!$S:$S,Indicators!$B65,'Data(perSeason,perCrop)'!$O:$O,T$7,'Data(perSeason,perCrop)'!$C:$C,Indicators!T$3,'Data(perSeason,perCrop)'!$R:$R,"IRRIGATED")/AVERAGEIFS('Data(perSeason,perCrop)'!$F:$F,'Data(perSeason,perCrop)'!$S:$S,Indicators!$B65,'Data(perSeason,perCrop)'!$O:$O,T$7,'Data(perSeason,perCrop)'!$C:$C,Indicators!T$3,'Data(perSeason,perCrop)'!$R:$R,"IRRIGATED"),"")</f>
        <v>0.23943661971830987</v>
      </c>
      <c r="U65" s="65" t="str">
        <f>IF(U18&gt;0,1-AVERAGEIFS('Data(perSeason,perCrop)'!$E:$E,'Data(perSeason,perCrop)'!$S:$S,Indicators!$B65,'Data(perSeason,perCrop)'!$O:$O,U$7,'Data(perSeason,perCrop)'!$C:$C,Indicators!U$3,'Data(perSeason,perCrop)'!$R:$R,"IRRIGATED")/AVERAGEIFS('Data(perSeason,perCrop)'!$F:$F,'Data(perSeason,perCrop)'!$S:$S,Indicators!$B65,'Data(perSeason,perCrop)'!$O:$O,U$7,'Data(perSeason,perCrop)'!$C:$C,Indicators!U$3,'Data(perSeason,perCrop)'!$R:$R,"IRRIGATED"),"")</f>
        <v/>
      </c>
      <c r="V65" s="65" t="str">
        <f>IF(V18&gt;0,1-AVERAGEIFS('Data(perSeason,perCrop)'!$E:$E,'Data(perSeason,perCrop)'!$S:$S,Indicators!$B65,'Data(perSeason,perCrop)'!$O:$O,V$7,'Data(perSeason,perCrop)'!$C:$C,Indicators!V$3,'Data(perSeason,perCrop)'!$R:$R,"IRRIGATED")/AVERAGEIFS('Data(perSeason,perCrop)'!$F:$F,'Data(perSeason,perCrop)'!$S:$S,Indicators!$B65,'Data(perSeason,perCrop)'!$O:$O,V$7,'Data(perSeason,perCrop)'!$C:$C,Indicators!V$3,'Data(perSeason,perCrop)'!$R:$R,"IRRIGATED"),"")</f>
        <v/>
      </c>
      <c r="W65" s="65" t="str">
        <f>IF(W18&gt;0,1-AVERAGEIFS('Data(perSeason,perCrop)'!$E:$E,'Data(perSeason,perCrop)'!$S:$S,Indicators!$B65,'Data(perSeason,perCrop)'!$O:$O,W$7,'Data(perSeason,perCrop)'!$C:$C,Indicators!W$3,'Data(perSeason,perCrop)'!$R:$R,"IRRIGATED")/AVERAGEIFS('Data(perSeason,perCrop)'!$F:$F,'Data(perSeason,perCrop)'!$S:$S,Indicators!$B65,'Data(perSeason,perCrop)'!$O:$O,W$7,'Data(perSeason,perCrop)'!$C:$C,Indicators!W$3,'Data(perSeason,perCrop)'!$R:$R,"IRRIGATED"),"")</f>
        <v/>
      </c>
      <c r="X65" s="65" t="str">
        <f>IF(X18&gt;0,1-AVERAGEIFS('Data(perSeason,perCrop)'!$E:$E,'Data(perSeason,perCrop)'!$S:$S,Indicators!$B65,'Data(perSeason,perCrop)'!$O:$O,X$7,'Data(perSeason,perCrop)'!$C:$C,Indicators!X$3,'Data(perSeason,perCrop)'!$R:$R,"IRRIGATED")/AVERAGEIFS('Data(perSeason,perCrop)'!$F:$F,'Data(perSeason,perCrop)'!$S:$S,Indicators!$B65,'Data(perSeason,perCrop)'!$O:$O,X$7,'Data(perSeason,perCrop)'!$C:$C,Indicators!X$3,'Data(perSeason,perCrop)'!$R:$R,"IRRIGATED"),"")</f>
        <v/>
      </c>
      <c r="Y65" s="65" t="str">
        <f>IF(Y18&gt;0,1-AVERAGEIFS('Data(perSeason,perCrop)'!$E:$E,'Data(perSeason,perCrop)'!$S:$S,Indicators!$B65,'Data(perSeason,perCrop)'!$O:$O,Y$7,'Data(perSeason,perCrop)'!$C:$C,Indicators!Y$3,'Data(perSeason,perCrop)'!$R:$R,"IRRIGATED")/AVERAGEIFS('Data(perSeason,perCrop)'!$F:$F,'Data(perSeason,perCrop)'!$S:$S,Indicators!$B65,'Data(perSeason,perCrop)'!$O:$O,Y$7,'Data(perSeason,perCrop)'!$C:$C,Indicators!Y$3,'Data(perSeason,perCrop)'!$R:$R,"IRRIGATED"),"")</f>
        <v/>
      </c>
      <c r="Z65" s="65" t="str">
        <f>IF(Z18&gt;0,1-AVERAGEIFS('Data(perSeason,perCrop)'!$E:$E,'Data(perSeason,perCrop)'!$S:$S,Indicators!$B65,'Data(perSeason,perCrop)'!$O:$O,Z$7,'Data(perSeason,perCrop)'!$C:$C,Indicators!Z$3,'Data(perSeason,perCrop)'!$R:$R,"IRRIGATED")/AVERAGEIFS('Data(perSeason,perCrop)'!$F:$F,'Data(perSeason,perCrop)'!$S:$S,Indicators!$B65,'Data(perSeason,perCrop)'!$O:$O,Z$7,'Data(perSeason,perCrop)'!$C:$C,Indicators!Z$3,'Data(perSeason,perCrop)'!$R:$R,"IRRIGATED"),"")</f>
        <v/>
      </c>
      <c r="AA65" s="65" t="str">
        <f>IF(AA18&gt;0,1-AVERAGEIFS('Data(perSeason,perCrop)'!$E:$E,'Data(perSeason,perCrop)'!$S:$S,Indicators!$B65,'Data(perSeason,perCrop)'!$O:$O,AA$7,'Data(perSeason,perCrop)'!$C:$C,Indicators!AA$3,'Data(perSeason,perCrop)'!$R:$R,"IRRIGATED")/AVERAGEIFS('Data(perSeason,perCrop)'!$F:$F,'Data(perSeason,perCrop)'!$S:$S,Indicators!$B65,'Data(perSeason,perCrop)'!$O:$O,AA$7,'Data(perSeason,perCrop)'!$C:$C,Indicators!AA$3,'Data(perSeason,perCrop)'!$R:$R,"IRRIGATED"),"")</f>
        <v/>
      </c>
      <c r="AB65" s="65" t="str">
        <f>IF(AB18&gt;0,1-AVERAGEIFS('Data(perSeason,perCrop)'!$E:$E,'Data(perSeason,perCrop)'!$S:$S,Indicators!$B65,'Data(perSeason,perCrop)'!$O:$O,AB$7,'Data(perSeason,perCrop)'!$C:$C,Indicators!AB$3,'Data(perSeason,perCrop)'!$R:$R,"IRRIGATED")/AVERAGEIFS('Data(perSeason,perCrop)'!$F:$F,'Data(perSeason,perCrop)'!$S:$S,Indicators!$B65,'Data(perSeason,perCrop)'!$O:$O,AB$7,'Data(perSeason,perCrop)'!$C:$C,Indicators!AB$3,'Data(perSeason,perCrop)'!$R:$R,"IRRIGATED"),"")</f>
        <v/>
      </c>
      <c r="AC65" s="65" t="str">
        <f>IF(AC18&gt;0,1-AVERAGEIFS('Data(perSeason,perCrop)'!$E:$E,'Data(perSeason,perCrop)'!$S:$S,Indicators!$B65,'Data(perSeason,perCrop)'!$O:$O,AC$7,'Data(perSeason,perCrop)'!$C:$C,Indicators!AC$3,'Data(perSeason,perCrop)'!$R:$R,"IRRIGATED")/AVERAGEIFS('Data(perSeason,perCrop)'!$F:$F,'Data(perSeason,perCrop)'!$S:$S,Indicators!$B65,'Data(perSeason,perCrop)'!$O:$O,AC$7,'Data(perSeason,perCrop)'!$C:$C,Indicators!AC$3,'Data(perSeason,perCrop)'!$R:$R,"IRRIGATED"),"")</f>
        <v/>
      </c>
      <c r="AD65" s="65" t="str">
        <f>IF(AD18&gt;0,1-AVERAGEIFS('Data(perSeason,perCrop)'!$E:$E,'Data(perSeason,perCrop)'!$S:$S,Indicators!$B65,'Data(perSeason,perCrop)'!$O:$O,AD$7,'Data(perSeason,perCrop)'!$C:$C,Indicators!AD$3,'Data(perSeason,perCrop)'!$R:$R,"IRRIGATED")/AVERAGEIFS('Data(perSeason,perCrop)'!$F:$F,'Data(perSeason,perCrop)'!$S:$S,Indicators!$B65,'Data(perSeason,perCrop)'!$O:$O,AD$7,'Data(perSeason,perCrop)'!$C:$C,Indicators!AD$3,'Data(perSeason,perCrop)'!$R:$R,"IRRIGATED"),"")</f>
        <v/>
      </c>
      <c r="AE65" s="65" t="str">
        <f>IF(AE18&gt;0,1-AVERAGEIFS('Data(perSeason,perCrop)'!$E:$E,'Data(perSeason,perCrop)'!$S:$S,Indicators!$B65,'Data(perSeason,perCrop)'!$O:$O,AE$7,'Data(perSeason,perCrop)'!$C:$C,Indicators!AE$3,'Data(perSeason,perCrop)'!$R:$R,"IRRIGATED")/AVERAGEIFS('Data(perSeason,perCrop)'!$F:$F,'Data(perSeason,perCrop)'!$S:$S,Indicators!$B65,'Data(perSeason,perCrop)'!$O:$O,AE$7,'Data(perSeason,perCrop)'!$C:$C,Indicators!AE$3,'Data(perSeason,perCrop)'!$R:$R,"IRRIGATED"),"")</f>
        <v/>
      </c>
      <c r="AF65" s="65">
        <f>IF(AF18&gt;0,1-AVERAGEIFS('Data(perSeason,perCrop)'!$E:$E,'Data(perSeason,perCrop)'!$S:$S,Indicators!$B65,'Data(perSeason,perCrop)'!$O:$O,AF$7,'Data(perSeason,perCrop)'!$C:$C,Indicators!AF$3,'Data(perSeason,perCrop)'!$R:$R,"IRRIGATED")/AVERAGEIFS('Data(perSeason,perCrop)'!$F:$F,'Data(perSeason,perCrop)'!$S:$S,Indicators!$B65,'Data(perSeason,perCrop)'!$O:$O,AF$7,'Data(perSeason,perCrop)'!$C:$C,Indicators!AF$3,'Data(perSeason,perCrop)'!$R:$R,"IRRIGATED"),"")</f>
        <v>0.13313609467455623</v>
      </c>
      <c r="AG65" s="65">
        <f>IF(AG18&gt;0,1-AVERAGEIFS('Data(perSeason,perCrop)'!$E:$E,'Data(perSeason,perCrop)'!$S:$S,Indicators!$B65,'Data(perSeason,perCrop)'!$O:$O,AG$7,'Data(perSeason,perCrop)'!$C:$C,Indicators!AG$3,'Data(perSeason,perCrop)'!$R:$R,"IRRIGATED")/AVERAGEIFS('Data(perSeason,perCrop)'!$F:$F,'Data(perSeason,perCrop)'!$S:$S,Indicators!$B65,'Data(perSeason,perCrop)'!$O:$O,AG$7,'Data(perSeason,perCrop)'!$C:$C,Indicators!AG$3,'Data(perSeason,perCrop)'!$R:$R,"IRRIGATED"),"")</f>
        <v>0.11313868613138689</v>
      </c>
      <c r="AH65" s="65" t="str">
        <f>IF(AH18&gt;0,1-AVERAGEIFS('Data(perSeason,perCrop)'!$E:$E,'Data(perSeason,perCrop)'!$S:$S,Indicators!$B65,'Data(perSeason,perCrop)'!$O:$O,AH$7,'Data(perSeason,perCrop)'!$C:$C,Indicators!AH$3,'Data(perSeason,perCrop)'!$R:$R,"IRRIGATED")/AVERAGEIFS('Data(perSeason,perCrop)'!$F:$F,'Data(perSeason,perCrop)'!$S:$S,Indicators!$B65,'Data(perSeason,perCrop)'!$O:$O,AH$7,'Data(perSeason,perCrop)'!$C:$C,Indicators!AH$3,'Data(perSeason,perCrop)'!$R:$R,"IRRIGATED"),"")</f>
        <v/>
      </c>
      <c r="AI65" s="65">
        <f>IF(AI18&gt;0,1-AVERAGEIFS('Data(perSeason,perCrop)'!$E:$E,'Data(perSeason,perCrop)'!$S:$S,Indicators!$B65,'Data(perSeason,perCrop)'!$O:$O,AI$7,'Data(perSeason,perCrop)'!$C:$C,Indicators!AI$3,'Data(perSeason,perCrop)'!$R:$R,"IRRIGATED")/AVERAGEIFS('Data(perSeason,perCrop)'!$F:$F,'Data(perSeason,perCrop)'!$S:$S,Indicators!$B65,'Data(perSeason,perCrop)'!$O:$O,AI$7,'Data(perSeason,perCrop)'!$C:$C,Indicators!AI$3,'Data(perSeason,perCrop)'!$R:$R,"IRRIGATED"),"")</f>
        <v>0.23611111111111116</v>
      </c>
      <c r="AJ65" s="65" t="str">
        <f>IF(AJ18&gt;0,1-AVERAGEIFS('Data(perSeason,perCrop)'!$E:$E,'Data(perSeason,perCrop)'!$S:$S,Indicators!$B65,'Data(perSeason,perCrop)'!$O:$O,AJ$7,'Data(perSeason,perCrop)'!$C:$C,Indicators!AJ$3,'Data(perSeason,perCrop)'!$R:$R,"IRRIGATED")/AVERAGEIFS('Data(perSeason,perCrop)'!$F:$F,'Data(perSeason,perCrop)'!$S:$S,Indicators!$B65,'Data(perSeason,perCrop)'!$O:$O,AJ$7,'Data(perSeason,perCrop)'!$C:$C,Indicators!AJ$3,'Data(perSeason,perCrop)'!$R:$R,"IRRIGATED"),"")</f>
        <v/>
      </c>
      <c r="AK65" s="65" t="str">
        <f>IF(AK18&gt;0,1-AVERAGEIFS('Data(perSeason,perCrop)'!$E:$E,'Data(perSeason,perCrop)'!$S:$S,Indicators!$B65,'Data(perSeason,perCrop)'!$O:$O,AK$7,'Data(perSeason,perCrop)'!$C:$C,Indicators!AK$3,'Data(perSeason,perCrop)'!$R:$R,"IRRIGATED")/AVERAGEIFS('Data(perSeason,perCrop)'!$F:$F,'Data(perSeason,perCrop)'!$S:$S,Indicators!$B65,'Data(perSeason,perCrop)'!$O:$O,AK$7,'Data(perSeason,perCrop)'!$C:$C,Indicators!AK$3,'Data(perSeason,perCrop)'!$R:$R,"IRRIGATED"),"")</f>
        <v/>
      </c>
      <c r="AL65" s="65">
        <f>IF(AL18&gt;0,1-AVERAGEIFS('Data(perSeason,perCrop)'!$E:$E,'Data(perSeason,perCrop)'!$S:$S,Indicators!$B65,'Data(perSeason,perCrop)'!$O:$O,AL$7,'Data(perSeason,perCrop)'!$C:$C,Indicators!AL$3,'Data(perSeason,perCrop)'!$R:$R,"IRRIGATED")/AVERAGEIFS('Data(perSeason,perCrop)'!$F:$F,'Data(perSeason,perCrop)'!$S:$S,Indicators!$B65,'Data(perSeason,perCrop)'!$O:$O,AL$7,'Data(perSeason,perCrop)'!$C:$C,Indicators!AL$3,'Data(perSeason,perCrop)'!$R:$R,"IRRIGATED"),"")</f>
        <v>0.20886075949367089</v>
      </c>
      <c r="AM65" s="65" t="str">
        <f>IF(AM18&gt;0,1-AVERAGEIFS('Data(perSeason,perCrop)'!$E:$E,'Data(perSeason,perCrop)'!$S:$S,Indicators!$B65,'Data(perSeason,perCrop)'!$O:$O,AM$7,'Data(perSeason,perCrop)'!$C:$C,Indicators!AM$3,'Data(perSeason,perCrop)'!$R:$R,"IRRIGATED")/AVERAGEIFS('Data(perSeason,perCrop)'!$F:$F,'Data(perSeason,perCrop)'!$S:$S,Indicators!$B65,'Data(perSeason,perCrop)'!$O:$O,AM$7,'Data(perSeason,perCrop)'!$C:$C,Indicators!AM$3,'Data(perSeason,perCrop)'!$R:$R,"IRRIGATED"),"")</f>
        <v/>
      </c>
      <c r="AN65" s="65" t="str">
        <f>IF(AN18&gt;0,1-AVERAGEIFS('Data(perSeason,perCrop)'!$E:$E,'Data(perSeason,perCrop)'!$S:$S,Indicators!$B65,'Data(perSeason,perCrop)'!$O:$O,AN$7,'Data(perSeason,perCrop)'!$C:$C,Indicators!AN$3,'Data(perSeason,perCrop)'!$R:$R,"IRRIGATED")/AVERAGEIFS('Data(perSeason,perCrop)'!$F:$F,'Data(perSeason,perCrop)'!$S:$S,Indicators!$B65,'Data(perSeason,perCrop)'!$O:$O,AN$7,'Data(perSeason,perCrop)'!$C:$C,Indicators!AN$3,'Data(perSeason,perCrop)'!$R:$R,"IRRIGATED"),"")</f>
        <v/>
      </c>
      <c r="AO65" s="65" t="str">
        <f>IF(AO18&gt;0,1-AVERAGEIFS('Data(perSeason,perCrop)'!$E:$E,'Data(perSeason,perCrop)'!$S:$S,Indicators!$B65,'Data(perSeason,perCrop)'!$O:$O,AO$7,'Data(perSeason,perCrop)'!$C:$C,Indicators!AO$3,'Data(perSeason,perCrop)'!$R:$R,"IRRIGATED")/AVERAGEIFS('Data(perSeason,perCrop)'!$F:$F,'Data(perSeason,perCrop)'!$S:$S,Indicators!$B65,'Data(perSeason,perCrop)'!$O:$O,AO$7,'Data(perSeason,perCrop)'!$C:$C,Indicators!AO$3,'Data(perSeason,perCrop)'!$R:$R,"IRRIGATED"),"")</f>
        <v/>
      </c>
      <c r="AP65" s="65" t="str">
        <f>IF(AP18&gt;0,1-AVERAGEIFS('Data(perSeason,perCrop)'!$E:$E,'Data(perSeason,perCrop)'!$S:$S,Indicators!$B65,'Data(perSeason,perCrop)'!$O:$O,AP$7,'Data(perSeason,perCrop)'!$C:$C,Indicators!AP$3,'Data(perSeason,perCrop)'!$R:$R,"IRRIGATED")/AVERAGEIFS('Data(perSeason,perCrop)'!$F:$F,'Data(perSeason,perCrop)'!$S:$S,Indicators!$B65,'Data(perSeason,perCrop)'!$O:$O,AP$7,'Data(perSeason,perCrop)'!$C:$C,Indicators!AP$3,'Data(perSeason,perCrop)'!$R:$R,"IRRIGATED"),"")</f>
        <v/>
      </c>
      <c r="AQ65" s="65" t="str">
        <f>IF(AQ18&gt;0,1-AVERAGEIFS('Data(perSeason,perCrop)'!$E:$E,'Data(perSeason,perCrop)'!$S:$S,Indicators!$B65,'Data(perSeason,perCrop)'!$O:$O,AQ$7,'Data(perSeason,perCrop)'!$C:$C,Indicators!AQ$3,'Data(perSeason,perCrop)'!$R:$R,"IRRIGATED")/AVERAGEIFS('Data(perSeason,perCrop)'!$F:$F,'Data(perSeason,perCrop)'!$S:$S,Indicators!$B65,'Data(perSeason,perCrop)'!$O:$O,AQ$7,'Data(perSeason,perCrop)'!$C:$C,Indicators!AQ$3,'Data(perSeason,perCrop)'!$R:$R,"IRRIGATED"),"")</f>
        <v/>
      </c>
      <c r="AR65" s="65" t="str">
        <f>IF(AR18&gt;0,1-AVERAGEIFS('Data(perSeason,perCrop)'!$E:$E,'Data(perSeason,perCrop)'!$S:$S,Indicators!$B65,'Data(perSeason,perCrop)'!$O:$O,AR$7,'Data(perSeason,perCrop)'!$C:$C,Indicators!AR$3,'Data(perSeason,perCrop)'!$R:$R,"IRRIGATED")/AVERAGEIFS('Data(perSeason,perCrop)'!$F:$F,'Data(perSeason,perCrop)'!$S:$S,Indicators!$B65,'Data(perSeason,perCrop)'!$O:$O,AR$7,'Data(perSeason,perCrop)'!$C:$C,Indicators!AR$3,'Data(perSeason,perCrop)'!$R:$R,"IRRIGATED"),"")</f>
        <v/>
      </c>
      <c r="AS65" s="65" t="str">
        <f>IF(AS18&gt;0,1-AVERAGEIFS('Data(perSeason,perCrop)'!$E:$E,'Data(perSeason,perCrop)'!$S:$S,Indicators!$B65,'Data(perSeason,perCrop)'!$O:$O,AS$7,'Data(perSeason,perCrop)'!$C:$C,Indicators!AS$3,'Data(perSeason,perCrop)'!$R:$R,"IRRIGATED")/AVERAGEIFS('Data(perSeason,perCrop)'!$F:$F,'Data(perSeason,perCrop)'!$S:$S,Indicators!$B65,'Data(perSeason,perCrop)'!$O:$O,AS$7,'Data(perSeason,perCrop)'!$C:$C,Indicators!AS$3,'Data(perSeason,perCrop)'!$R:$R,"IRRIGATED"),"")</f>
        <v/>
      </c>
      <c r="AT65" s="65" t="str">
        <f>IF(AT18&gt;0,1-AVERAGEIFS('Data(perSeason,perCrop)'!$E:$E,'Data(perSeason,perCrop)'!$S:$S,Indicators!$B65,'Data(perSeason,perCrop)'!$O:$O,AT$7,'Data(perSeason,perCrop)'!$C:$C,Indicators!AT$3,'Data(perSeason,perCrop)'!$R:$R,"IRRIGATED")/AVERAGEIFS('Data(perSeason,perCrop)'!$F:$F,'Data(perSeason,perCrop)'!$S:$S,Indicators!$B65,'Data(perSeason,perCrop)'!$O:$O,AT$7,'Data(perSeason,perCrop)'!$C:$C,Indicators!AT$3,'Data(perSeason,perCrop)'!$R:$R,"IRRIGATED"),"")</f>
        <v/>
      </c>
      <c r="AU65" s="65" t="str">
        <f>IF(AU18&gt;0,1-AVERAGEIFS('Data(perSeason,perCrop)'!$E:$E,'Data(perSeason,perCrop)'!$S:$S,Indicators!$B65,'Data(perSeason,perCrop)'!$O:$O,AU$7,'Data(perSeason,perCrop)'!$C:$C,Indicators!AU$3,'Data(perSeason,perCrop)'!$R:$R,"IRRIGATED")/AVERAGEIFS('Data(perSeason,perCrop)'!$F:$F,'Data(perSeason,perCrop)'!$S:$S,Indicators!$B65,'Data(perSeason,perCrop)'!$O:$O,AU$7,'Data(perSeason,perCrop)'!$C:$C,Indicators!AU$3,'Data(perSeason,perCrop)'!$R:$R,"IRRIGATED"),"")</f>
        <v/>
      </c>
      <c r="AV65" s="65" t="str">
        <f>IF(AV18&gt;0,1-AVERAGEIFS('Data(perSeason,perCrop)'!$E:$E,'Data(perSeason,perCrop)'!$S:$S,Indicators!$B65,'Data(perSeason,perCrop)'!$O:$O,AV$7,'Data(perSeason,perCrop)'!$C:$C,Indicators!AV$3,'Data(perSeason,perCrop)'!$R:$R,"IRRIGATED")/AVERAGEIFS('Data(perSeason,perCrop)'!$F:$F,'Data(perSeason,perCrop)'!$S:$S,Indicators!$B65,'Data(perSeason,perCrop)'!$O:$O,AV$7,'Data(perSeason,perCrop)'!$C:$C,Indicators!AV$3,'Data(perSeason,perCrop)'!$R:$R,"IRRIGATED"),"")</f>
        <v/>
      </c>
      <c r="AW65" s="65" t="str">
        <f>IF(AW18&gt;0,1-AVERAGEIFS('Data(perSeason,perCrop)'!$E:$E,'Data(perSeason,perCrop)'!$S:$S,Indicators!$B65,'Data(perSeason,perCrop)'!$O:$O,AW$7,'Data(perSeason,perCrop)'!$C:$C,Indicators!AW$3,'Data(perSeason,perCrop)'!$R:$R,"IRRIGATED")/AVERAGEIFS('Data(perSeason,perCrop)'!$F:$F,'Data(perSeason,perCrop)'!$S:$S,Indicators!$B65,'Data(perSeason,perCrop)'!$O:$O,AW$7,'Data(perSeason,perCrop)'!$C:$C,Indicators!AW$3,'Data(perSeason,perCrop)'!$R:$R,"IRRIGATED"),"")</f>
        <v/>
      </c>
      <c r="AX65" s="8" t="str">
        <f>IF(AX18&gt;0,1-AVERAGEIFS('Data(perSeason,perCrop)'!$E:$E,'Data(perSeason,perCrop)'!$S:$S,Indicators!$B65,'Data(perSeason,perCrop)'!$O:$O,AX$7,'Data(perSeason,perCrop)'!$C:$C,Indicators!AX$3,'Data(perSeason,perCrop)'!$R:$R,"IRRIGATED")/AVERAGEIFS('Data(perSeason,perCrop)'!$F:$F,'Data(perSeason,perCrop)'!$S:$S,Indicators!$B65,'Data(perSeason,perCrop)'!$O:$O,AX$7,'Data(perSeason,perCrop)'!$C:$C,Indicators!AX$3,'Data(perSeason,perCrop)'!$R:$R,"IRRIGATED"),"")</f>
        <v/>
      </c>
      <c r="AY65" s="8">
        <f>IF(AY18&gt;0,1-AVERAGEIFS('Data(perSeason,perCrop)'!$E:$E,'Data(perSeason,perCrop)'!$S:$S,Indicators!$B65,'Data(perSeason,perCrop)'!$O:$O,AY$7,'Data(perSeason,perCrop)'!$C:$C,Indicators!AY$3,'Data(perSeason,perCrop)'!$R:$R,"IRRIGATED")/AVERAGEIFS('Data(perSeason,perCrop)'!$F:$F,'Data(perSeason,perCrop)'!$S:$S,Indicators!$B65,'Data(perSeason,perCrop)'!$O:$O,AY$7,'Data(perSeason,perCrop)'!$C:$C,Indicators!AY$3,'Data(perSeason,perCrop)'!$R:$R,"IRRIGATED"),"")</f>
        <v>0.19580419580419584</v>
      </c>
      <c r="AZ65" s="8" t="str">
        <f>IF(AZ18&gt;0,1-AVERAGEIFS('Data(perSeason,perCrop)'!$E:$E,'Data(perSeason,perCrop)'!$S:$S,Indicators!$B65,'Data(perSeason,perCrop)'!$O:$O,AZ$7,'Data(perSeason,perCrop)'!$C:$C,Indicators!AZ$3,'Data(perSeason,perCrop)'!$R:$R,"IRRIGATED")/AVERAGEIFS('Data(perSeason,perCrop)'!$F:$F,'Data(perSeason,perCrop)'!$S:$S,Indicators!$B65,'Data(perSeason,perCrop)'!$O:$O,AZ$7,'Data(perSeason,perCrop)'!$C:$C,Indicators!AZ$3,'Data(perSeason,perCrop)'!$R:$R,"IRRIGATED"),"")</f>
        <v/>
      </c>
      <c r="BA65" s="8" t="str">
        <f>IF(BA18&gt;0,1-AVERAGEIFS('Data(perSeason,perCrop)'!$E:$E,'Data(perSeason,perCrop)'!$S:$S,Indicators!$B65,'Data(perSeason,perCrop)'!$O:$O,BA$7,'Data(perSeason,perCrop)'!$C:$C,Indicators!BA$3,'Data(perSeason,perCrop)'!$R:$R,"IRRIGATED")/AVERAGEIFS('Data(perSeason,perCrop)'!$F:$F,'Data(perSeason,perCrop)'!$S:$S,Indicators!$B65,'Data(perSeason,perCrop)'!$O:$O,BA$7,'Data(perSeason,perCrop)'!$C:$C,Indicators!BA$3,'Data(perSeason,perCrop)'!$R:$R,"IRRIGATED"),"")</f>
        <v/>
      </c>
      <c r="BB65" s="8" t="str">
        <f>IF(BB18&gt;0,1-AVERAGEIFS('Data(perSeason,perCrop)'!$E:$E,'Data(perSeason,perCrop)'!$S:$S,Indicators!$B65,'Data(perSeason,perCrop)'!$O:$O,BB$7,'Data(perSeason,perCrop)'!$C:$C,Indicators!BB$3,'Data(perSeason,perCrop)'!$R:$R,"IRRIGATED")/AVERAGEIFS('Data(perSeason,perCrop)'!$F:$F,'Data(perSeason,perCrop)'!$S:$S,Indicators!$B65,'Data(perSeason,perCrop)'!$O:$O,BB$7,'Data(perSeason,perCrop)'!$C:$C,Indicators!BB$3,'Data(perSeason,perCrop)'!$R:$R,"IRRIGATED"),"")</f>
        <v/>
      </c>
      <c r="BC65" s="8" t="str">
        <f>IF(BC18&gt;0,1-AVERAGEIFS('Data(perSeason,perCrop)'!$E:$E,'Data(perSeason,perCrop)'!$S:$S,Indicators!$B65,'Data(perSeason,perCrop)'!$O:$O,BC$7,'Data(perSeason,perCrop)'!$C:$C,Indicators!BC$3,'Data(perSeason,perCrop)'!$R:$R,"IRRIGATED")/AVERAGEIFS('Data(perSeason,perCrop)'!$F:$F,'Data(perSeason,perCrop)'!$S:$S,Indicators!$B65,'Data(perSeason,perCrop)'!$O:$O,BC$7,'Data(perSeason,perCrop)'!$C:$C,Indicators!BC$3,'Data(perSeason,perCrop)'!$R:$R,"IRRIGATED"),"")</f>
        <v/>
      </c>
      <c r="BD65" s="8" t="str">
        <f>IF(BD18&gt;0,1-AVERAGEIFS('Data(perSeason,perCrop)'!$E:$E,'Data(perSeason,perCrop)'!$S:$S,Indicators!$B65,'Data(perSeason,perCrop)'!$O:$O,BD$7,'Data(perSeason,perCrop)'!$C:$C,Indicators!BD$3,'Data(perSeason,perCrop)'!$R:$R,"IRRIGATED")/AVERAGEIFS('Data(perSeason,perCrop)'!$F:$F,'Data(perSeason,perCrop)'!$S:$S,Indicators!$B65,'Data(perSeason,perCrop)'!$O:$O,BD$7,'Data(perSeason,perCrop)'!$C:$C,Indicators!BD$3,'Data(perSeason,perCrop)'!$R:$R,"IRRIGATED"),"")</f>
        <v/>
      </c>
      <c r="BE65" s="8" t="str">
        <f>IF(BE18&gt;0,1-AVERAGEIFS('Data(perSeason,perCrop)'!$E:$E,'Data(perSeason,perCrop)'!$S:$S,Indicators!$B65,'Data(perSeason,perCrop)'!$O:$O,BE$7,'Data(perSeason,perCrop)'!$C:$C,Indicators!BE$3,'Data(perSeason,perCrop)'!$R:$R,"IRRIGATED")/AVERAGEIFS('Data(perSeason,perCrop)'!$F:$F,'Data(perSeason,perCrop)'!$S:$S,Indicators!$B65,'Data(perSeason,perCrop)'!$O:$O,BE$7,'Data(perSeason,perCrop)'!$C:$C,Indicators!BE$3,'Data(perSeason,perCrop)'!$R:$R,"IRRIGATED"),"")</f>
        <v/>
      </c>
      <c r="BF65" s="8" t="str">
        <f>IF(BF18&gt;0,1-AVERAGEIFS('Data(perSeason,perCrop)'!$E:$E,'Data(perSeason,perCrop)'!$S:$S,Indicators!$B65,'Data(perSeason,perCrop)'!$O:$O,BF$7,'Data(perSeason,perCrop)'!$C:$C,Indicators!BF$3,'Data(perSeason,perCrop)'!$R:$R,"IRRIGATED")/AVERAGEIFS('Data(perSeason,perCrop)'!$F:$F,'Data(perSeason,perCrop)'!$S:$S,Indicators!$B65,'Data(perSeason,perCrop)'!$O:$O,BF$7,'Data(perSeason,perCrop)'!$C:$C,Indicators!BF$3,'Data(perSeason,perCrop)'!$R:$R,"IRRIGATED"),"")</f>
        <v/>
      </c>
      <c r="BG65" s="8" t="str">
        <f>IF(BG18&gt;0,1-AVERAGEIFS('Data(perSeason,perCrop)'!$E:$E,'Data(perSeason,perCrop)'!$S:$S,Indicators!$B65,'Data(perSeason,perCrop)'!$O:$O,BG$7,'Data(perSeason,perCrop)'!$C:$C,Indicators!BG$3,'Data(perSeason,perCrop)'!$R:$R,"IRRIGATED")/AVERAGEIFS('Data(perSeason,perCrop)'!$F:$F,'Data(perSeason,perCrop)'!$S:$S,Indicators!$B65,'Data(perSeason,perCrop)'!$O:$O,BG$7,'Data(perSeason,perCrop)'!$C:$C,Indicators!BG$3,'Data(perSeason,perCrop)'!$R:$R,"IRRIGATED"),"")</f>
        <v/>
      </c>
      <c r="BH65" s="8" t="str">
        <f>IF(BH18&gt;0,1-AVERAGEIFS('Data(perSeason,perCrop)'!$E:$E,'Data(perSeason,perCrop)'!$S:$S,Indicators!$B65,'Data(perSeason,perCrop)'!$O:$O,BH$7,'Data(perSeason,perCrop)'!$C:$C,Indicators!BH$3,'Data(perSeason,perCrop)'!$R:$R,"IRRIGATED")/AVERAGEIFS('Data(perSeason,perCrop)'!$F:$F,'Data(perSeason,perCrop)'!$S:$S,Indicators!$B65,'Data(perSeason,perCrop)'!$O:$O,BH$7,'Data(perSeason,perCrop)'!$C:$C,Indicators!BH$3,'Data(perSeason,perCrop)'!$R:$R,"IRRIGATED"),"")</f>
        <v/>
      </c>
      <c r="BI65" s="8" t="str">
        <f>IF(BI18&gt;0,1-AVERAGEIFS('Data(perSeason,perCrop)'!$E:$E,'Data(perSeason,perCrop)'!$S:$S,Indicators!$B65,'Data(perSeason,perCrop)'!$O:$O,BI$7,'Data(perSeason,perCrop)'!$C:$C,Indicators!BI$3,'Data(perSeason,perCrop)'!$R:$R,"IRRIGATED")/AVERAGEIFS('Data(perSeason,perCrop)'!$F:$F,'Data(perSeason,perCrop)'!$S:$S,Indicators!$B65,'Data(perSeason,perCrop)'!$O:$O,BI$7,'Data(perSeason,perCrop)'!$C:$C,Indicators!BI$3,'Data(perSeason,perCrop)'!$R:$R,"IRRIGATED"),"")</f>
        <v/>
      </c>
      <c r="BJ65" s="8" t="str">
        <f>IF(BJ18&gt;0,1-AVERAGEIFS('Data(perSeason,perCrop)'!$E:$E,'Data(perSeason,perCrop)'!$S:$S,Indicators!$B65,'Data(perSeason,perCrop)'!$O:$O,BJ$7,'Data(perSeason,perCrop)'!$C:$C,Indicators!BJ$3,'Data(perSeason,perCrop)'!$R:$R,"IRRIGATED")/AVERAGEIFS('Data(perSeason,perCrop)'!$F:$F,'Data(perSeason,perCrop)'!$S:$S,Indicators!$B65,'Data(perSeason,perCrop)'!$O:$O,BJ$7,'Data(perSeason,perCrop)'!$C:$C,Indicators!BJ$3,'Data(perSeason,perCrop)'!$R:$R,"IRRIGATED"),"")</f>
        <v/>
      </c>
      <c r="BK65" s="8" t="str">
        <f>IF(BK18&gt;0,1-AVERAGEIFS('Data(perSeason,perCrop)'!$E:$E,'Data(perSeason,perCrop)'!$S:$S,Indicators!$B65,'Data(perSeason,perCrop)'!$O:$O,BK$7,'Data(perSeason,perCrop)'!$C:$C,Indicators!BK$3,'Data(perSeason,perCrop)'!$R:$R,"IRRIGATED")/AVERAGEIFS('Data(perSeason,perCrop)'!$F:$F,'Data(perSeason,perCrop)'!$S:$S,Indicators!$B65,'Data(perSeason,perCrop)'!$O:$O,BK$7,'Data(perSeason,perCrop)'!$C:$C,Indicators!BK$3,'Data(perSeason,perCrop)'!$R:$R,"IRRIGATED"),"")</f>
        <v/>
      </c>
      <c r="BL65" s="8">
        <f>IF(BL18&gt;0,1-AVERAGEIFS('Data(perSeason,perCrop)'!$E:$E,'Data(perSeason,perCrop)'!$S:$S,Indicators!$B65,'Data(perSeason,perCrop)'!$O:$O,BL$7,'Data(perSeason,perCrop)'!$C:$C,Indicators!BL$3,'Data(perSeason,perCrop)'!$R:$R,"IRRIGATED")/AVERAGEIFS('Data(perSeason,perCrop)'!$F:$F,'Data(perSeason,perCrop)'!$S:$S,Indicators!$B65,'Data(perSeason,perCrop)'!$O:$O,BL$7,'Data(perSeason,perCrop)'!$C:$C,Indicators!BL$3,'Data(perSeason,perCrop)'!$R:$R,"IRRIGATED"),"")</f>
        <v>0.2652439024390244</v>
      </c>
      <c r="BM65" s="8" t="str">
        <f>IF(BM18&gt;0,1-AVERAGEIFS('Data(perSeason,perCrop)'!$E:$E,'Data(perSeason,perCrop)'!$S:$S,Indicators!$B65,'Data(perSeason,perCrop)'!$O:$O,BM$7,'Data(perSeason,perCrop)'!$C:$C,Indicators!BM$3,'Data(perSeason,perCrop)'!$R:$R,"IRRIGATED")/AVERAGEIFS('Data(perSeason,perCrop)'!$F:$F,'Data(perSeason,perCrop)'!$S:$S,Indicators!$B65,'Data(perSeason,perCrop)'!$O:$O,BM$7,'Data(perSeason,perCrop)'!$C:$C,Indicators!BM$3,'Data(perSeason,perCrop)'!$R:$R,"IRRIGATED"),"")</f>
        <v/>
      </c>
      <c r="BN65" s="8">
        <f>IF(BN18&gt;0,1-AVERAGEIFS('Data(perSeason,perCrop)'!$E:$E,'Data(perSeason,perCrop)'!$S:$S,Indicators!$B65,'Data(perSeason,perCrop)'!$O:$O,BN$7,'Data(perSeason,perCrop)'!$C:$C,Indicators!BN$3,'Data(perSeason,perCrop)'!$R:$R,"IRRIGATED")/AVERAGEIFS('Data(perSeason,perCrop)'!$F:$F,'Data(perSeason,perCrop)'!$S:$S,Indicators!$B65,'Data(perSeason,perCrop)'!$O:$O,BN$7,'Data(perSeason,perCrop)'!$C:$C,Indicators!BN$3,'Data(perSeason,perCrop)'!$R:$R,"IRRIGATED"),"")</f>
        <v>0.27160493827160492</v>
      </c>
      <c r="BO65" s="8" t="str">
        <f>IF(BO18&gt;0,1-AVERAGEIFS('Data(perSeason,perCrop)'!$E:$E,'Data(perSeason,perCrop)'!$S:$S,Indicators!$B65,'Data(perSeason,perCrop)'!$O:$O,BO$7,'Data(perSeason,perCrop)'!$C:$C,Indicators!BO$3,'Data(perSeason,perCrop)'!$R:$R,"IRRIGATED")/AVERAGEIFS('Data(perSeason,perCrop)'!$F:$F,'Data(perSeason,perCrop)'!$S:$S,Indicators!$B65,'Data(perSeason,perCrop)'!$O:$O,BO$7,'Data(perSeason,perCrop)'!$C:$C,Indicators!BO$3,'Data(perSeason,perCrop)'!$R:$R,"IRRIGATED"),"")</f>
        <v/>
      </c>
      <c r="BP65" s="8" t="str">
        <f>IF(BP18&gt;0,1-AVERAGEIFS('Data(perSeason,perCrop)'!$E:$E,'Data(perSeason,perCrop)'!$S:$S,Indicators!$B65,'Data(perSeason,perCrop)'!$O:$O,BP$7,'Data(perSeason,perCrop)'!$C:$C,Indicators!BP$3,'Data(perSeason,perCrop)'!$R:$R,"IRRIGATED")/AVERAGEIFS('Data(perSeason,perCrop)'!$F:$F,'Data(perSeason,perCrop)'!$S:$S,Indicators!$B65,'Data(perSeason,perCrop)'!$O:$O,BP$7,'Data(perSeason,perCrop)'!$C:$C,Indicators!BP$3,'Data(perSeason,perCrop)'!$R:$R,"IRRIGATED"),"")</f>
        <v/>
      </c>
      <c r="BQ65" s="8">
        <f>IF(BQ18&gt;0,1-AVERAGEIFS('Data(perSeason,perCrop)'!$E:$E,'Data(perSeason,perCrop)'!$S:$S,Indicators!$B65,'Data(perSeason,perCrop)'!$O:$O,BQ$7,'Data(perSeason,perCrop)'!$C:$C,Indicators!BQ$3,'Data(perSeason,perCrop)'!$R:$R,"IRRIGATED")/AVERAGEIFS('Data(perSeason,perCrop)'!$F:$F,'Data(perSeason,perCrop)'!$S:$S,Indicators!$B65,'Data(perSeason,perCrop)'!$O:$O,BQ$7,'Data(perSeason,perCrop)'!$C:$C,Indicators!BQ$3,'Data(perSeason,perCrop)'!$R:$R,"IRRIGATED"),"")</f>
        <v>0.20294117647058818</v>
      </c>
      <c r="BR65" s="8" t="str">
        <f>IF(BR18&gt;0,1-AVERAGEIFS('Data(perSeason,perCrop)'!$E:$E,'Data(perSeason,perCrop)'!$S:$S,Indicators!$B65,'Data(perSeason,perCrop)'!$O:$O,BR$7,'Data(perSeason,perCrop)'!$C:$C,Indicators!BR$3,'Data(perSeason,perCrop)'!$R:$R,"IRRIGATED")/AVERAGEIFS('Data(perSeason,perCrop)'!$F:$F,'Data(perSeason,perCrop)'!$S:$S,Indicators!$B65,'Data(perSeason,perCrop)'!$O:$O,BR$7,'Data(perSeason,perCrop)'!$C:$C,Indicators!BR$3,'Data(perSeason,perCrop)'!$R:$R,"IRRIGATED"),"")</f>
        <v/>
      </c>
      <c r="BS65" s="8" t="str">
        <f>IF(BS18&gt;0,1-AVERAGEIFS('Data(perSeason,perCrop)'!$E:$E,'Data(perSeason,perCrop)'!$S:$S,Indicators!$B65,'Data(perSeason,perCrop)'!$O:$O,BS$7,'Data(perSeason,perCrop)'!$C:$C,Indicators!BS$3,'Data(perSeason,perCrop)'!$R:$R,"IRRIGATED")/AVERAGEIFS('Data(perSeason,perCrop)'!$F:$F,'Data(perSeason,perCrop)'!$S:$S,Indicators!$B65,'Data(perSeason,perCrop)'!$O:$O,BS$7,'Data(perSeason,perCrop)'!$C:$C,Indicators!BS$3,'Data(perSeason,perCrop)'!$R:$R,"IRRIGATED"),"")</f>
        <v/>
      </c>
      <c r="BT65" s="8" t="str">
        <f>IF(BT18&gt;0,1-AVERAGEIFS('Data(perSeason,perCrop)'!$E:$E,'Data(perSeason,perCrop)'!$S:$S,Indicators!$B65,'Data(perSeason,perCrop)'!$O:$O,BT$7,'Data(perSeason,perCrop)'!$C:$C,Indicators!BT$3,'Data(perSeason,perCrop)'!$R:$R,"IRRIGATED")/AVERAGEIFS('Data(perSeason,perCrop)'!$F:$F,'Data(perSeason,perCrop)'!$S:$S,Indicators!$B65,'Data(perSeason,perCrop)'!$O:$O,BT$7,'Data(perSeason,perCrop)'!$C:$C,Indicators!BT$3,'Data(perSeason,perCrop)'!$R:$R,"IRRIGATED"),"")</f>
        <v/>
      </c>
      <c r="BU65" s="8" t="str">
        <f>IF(BU18&gt;0,1-AVERAGEIFS('Data(perSeason,perCrop)'!$E:$E,'Data(perSeason,perCrop)'!$S:$S,Indicators!$B65,'Data(perSeason,perCrop)'!$O:$O,BU$7,'Data(perSeason,perCrop)'!$C:$C,Indicators!BU$3,'Data(perSeason,perCrop)'!$R:$R,"IRRIGATED")/AVERAGEIFS('Data(perSeason,perCrop)'!$F:$F,'Data(perSeason,perCrop)'!$S:$S,Indicators!$B65,'Data(perSeason,perCrop)'!$O:$O,BU$7,'Data(perSeason,perCrop)'!$C:$C,Indicators!BU$3,'Data(perSeason,perCrop)'!$R:$R,"IRRIGATED"),"")</f>
        <v/>
      </c>
      <c r="BV65" s="8" t="str">
        <f>IF(BV18&gt;0,1-AVERAGEIFS('Data(perSeason,perCrop)'!$E:$E,'Data(perSeason,perCrop)'!$S:$S,Indicators!$B65,'Data(perSeason,perCrop)'!$O:$O,BV$7,'Data(perSeason,perCrop)'!$C:$C,Indicators!BV$3,'Data(perSeason,perCrop)'!$R:$R,"IRRIGATED")/AVERAGEIFS('Data(perSeason,perCrop)'!$F:$F,'Data(perSeason,perCrop)'!$S:$S,Indicators!$B65,'Data(perSeason,perCrop)'!$O:$O,BV$7,'Data(perSeason,perCrop)'!$C:$C,Indicators!BV$3,'Data(perSeason,perCrop)'!$R:$R,"IRRIGATED"),"")</f>
        <v/>
      </c>
      <c r="BW65" s="8" t="str">
        <f>IF(BW18&gt;0,1-AVERAGEIFS('Data(perSeason,perCrop)'!$E:$E,'Data(perSeason,perCrop)'!$S:$S,Indicators!$B65,'Data(perSeason,perCrop)'!$O:$O,BW$7,'Data(perSeason,perCrop)'!$C:$C,Indicators!BW$3,'Data(perSeason,perCrop)'!$R:$R,"IRRIGATED")/AVERAGEIFS('Data(perSeason,perCrop)'!$F:$F,'Data(perSeason,perCrop)'!$S:$S,Indicators!$B65,'Data(perSeason,perCrop)'!$O:$O,BW$7,'Data(perSeason,perCrop)'!$C:$C,Indicators!BW$3,'Data(perSeason,perCrop)'!$R:$R,"IRRIGATED"),"")</f>
        <v/>
      </c>
      <c r="BX65" s="8" t="str">
        <f>IF(BX18&gt;0,1-AVERAGEIFS('Data(perSeason,perCrop)'!$E:$E,'Data(perSeason,perCrop)'!$S:$S,Indicators!$B65,'Data(perSeason,perCrop)'!$O:$O,BX$7,'Data(perSeason,perCrop)'!$C:$C,Indicators!BX$3,'Data(perSeason,perCrop)'!$R:$R,"IRRIGATED")/AVERAGEIFS('Data(perSeason,perCrop)'!$F:$F,'Data(perSeason,perCrop)'!$S:$S,Indicators!$B65,'Data(perSeason,perCrop)'!$O:$O,BX$7,'Data(perSeason,perCrop)'!$C:$C,Indicators!BX$3,'Data(perSeason,perCrop)'!$R:$R,"IRRIGATED"),"")</f>
        <v/>
      </c>
      <c r="BY65" s="8" t="str">
        <f>IF(BY18&gt;0,1-AVERAGEIFS('Data(perSeason,perCrop)'!$E:$E,'Data(perSeason,perCrop)'!$S:$S,Indicators!$B65,'Data(perSeason,perCrop)'!$O:$O,BY$7,'Data(perSeason,perCrop)'!$C:$C,Indicators!BY$3,'Data(perSeason,perCrop)'!$R:$R,"IRRIGATED")/AVERAGEIFS('Data(perSeason,perCrop)'!$F:$F,'Data(perSeason,perCrop)'!$S:$S,Indicators!$B65,'Data(perSeason,perCrop)'!$O:$O,BY$7,'Data(perSeason,perCrop)'!$C:$C,Indicators!BY$3,'Data(perSeason,perCrop)'!$R:$R,"IRRIGATED"),"")</f>
        <v/>
      </c>
      <c r="BZ65" s="8" t="str">
        <f>IF(BZ18&gt;0,1-AVERAGEIFS('Data(perSeason,perCrop)'!$E:$E,'Data(perSeason,perCrop)'!$S:$S,Indicators!$B65,'Data(perSeason,perCrop)'!$O:$O,BZ$7,'Data(perSeason,perCrop)'!$C:$C,Indicators!BZ$3,'Data(perSeason,perCrop)'!$R:$R,"IRRIGATED")/AVERAGEIFS('Data(perSeason,perCrop)'!$F:$F,'Data(perSeason,perCrop)'!$S:$S,Indicators!$B65,'Data(perSeason,perCrop)'!$O:$O,BZ$7,'Data(perSeason,perCrop)'!$C:$C,Indicators!BZ$3,'Data(perSeason,perCrop)'!$R:$R,"IRRIGATED"),"")</f>
        <v/>
      </c>
      <c r="CA65" s="8" t="str">
        <f>IF(CA18&gt;0,1-AVERAGEIFS('Data(perSeason,perCrop)'!$E:$E,'Data(perSeason,perCrop)'!$S:$S,Indicators!$B65,'Data(perSeason,perCrop)'!$O:$O,CA$7,'Data(perSeason,perCrop)'!$C:$C,Indicators!CA$3,'Data(perSeason,perCrop)'!$R:$R,"IRRIGATED")/AVERAGEIFS('Data(perSeason,perCrop)'!$F:$F,'Data(perSeason,perCrop)'!$S:$S,Indicators!$B65,'Data(perSeason,perCrop)'!$O:$O,CA$7,'Data(perSeason,perCrop)'!$C:$C,Indicators!CA$3,'Data(perSeason,perCrop)'!$R:$R,"IRRIGATED"),"")</f>
        <v/>
      </c>
      <c r="CB65" s="8" t="str">
        <f>IF(CB18&gt;0,1-AVERAGEIFS('Data(perSeason,perCrop)'!$E:$E,'Data(perSeason,perCrop)'!$S:$S,Indicators!$B65,'Data(perSeason,perCrop)'!$O:$O,CB$7,'Data(perSeason,perCrop)'!$C:$C,Indicators!CB$3,'Data(perSeason,perCrop)'!$R:$R,"IRRIGATED")/AVERAGEIFS('Data(perSeason,perCrop)'!$F:$F,'Data(perSeason,perCrop)'!$S:$S,Indicators!$B65,'Data(perSeason,perCrop)'!$O:$O,CB$7,'Data(perSeason,perCrop)'!$C:$C,Indicators!CB$3,'Data(perSeason,perCrop)'!$R:$R,"IRRIGATED"),"")</f>
        <v/>
      </c>
      <c r="CC65" s="8" t="str">
        <f>IF(CC18&gt;0,1-AVERAGEIFS('Data(perSeason,perCrop)'!$E:$E,'Data(perSeason,perCrop)'!$S:$S,Indicators!$B65,'Data(perSeason,perCrop)'!$O:$O,CC$7,'Data(perSeason,perCrop)'!$C:$C,Indicators!CC$3,'Data(perSeason,perCrop)'!$R:$R,"IRRIGATED")/AVERAGEIFS('Data(perSeason,perCrop)'!$F:$F,'Data(perSeason,perCrop)'!$S:$S,Indicators!$B65,'Data(perSeason,perCrop)'!$O:$O,CC$7,'Data(perSeason,perCrop)'!$C:$C,Indicators!CC$3,'Data(perSeason,perCrop)'!$R:$R,"IRRIGATED"),"")</f>
        <v/>
      </c>
      <c r="CD65" s="8" t="str">
        <f>IF(CD18&gt;0,1-AVERAGEIFS('Data(perSeason,perCrop)'!$E:$E,'Data(perSeason,perCrop)'!$S:$S,Indicators!$B65,'Data(perSeason,perCrop)'!$O:$O,CD$7,'Data(perSeason,perCrop)'!$C:$C,Indicators!CD$3,'Data(perSeason,perCrop)'!$R:$R,"IRRIGATED")/AVERAGEIFS('Data(perSeason,perCrop)'!$F:$F,'Data(perSeason,perCrop)'!$S:$S,Indicators!$B65,'Data(perSeason,perCrop)'!$O:$O,CD$7,'Data(perSeason,perCrop)'!$C:$C,Indicators!CD$3,'Data(perSeason,perCrop)'!$R:$R,"IRRIGATED"),"")</f>
        <v/>
      </c>
      <c r="CE65" s="8" t="str">
        <f>IF(CE18&gt;0,1-AVERAGEIFS('Data(perSeason,perCrop)'!$E:$E,'Data(perSeason,perCrop)'!$S:$S,Indicators!$B65,'Data(perSeason,perCrop)'!$O:$O,CE$7,'Data(perSeason,perCrop)'!$C:$C,Indicators!CE$3,'Data(perSeason,perCrop)'!$R:$R,"IRRIGATED")/AVERAGEIFS('Data(perSeason,perCrop)'!$F:$F,'Data(perSeason,perCrop)'!$S:$S,Indicators!$B65,'Data(perSeason,perCrop)'!$O:$O,CE$7,'Data(perSeason,perCrop)'!$C:$C,Indicators!CE$3,'Data(perSeason,perCrop)'!$R:$R,"IRRIGATED"),"")</f>
        <v/>
      </c>
      <c r="CF65" s="8" t="str">
        <f>IF(CF18&gt;0,1-AVERAGEIFS('Data(perSeason,perCrop)'!$E:$E,'Data(perSeason,perCrop)'!$S:$S,Indicators!$B65,'Data(perSeason,perCrop)'!$O:$O,CF$7,'Data(perSeason,perCrop)'!$C:$C,Indicators!CF$3,'Data(perSeason,perCrop)'!$R:$R,"IRRIGATED")/AVERAGEIFS('Data(perSeason,perCrop)'!$F:$F,'Data(perSeason,perCrop)'!$S:$S,Indicators!$B65,'Data(perSeason,perCrop)'!$O:$O,CF$7,'Data(perSeason,perCrop)'!$C:$C,Indicators!CF$3,'Data(perSeason,perCrop)'!$R:$R,"IRRIGATED"),"")</f>
        <v/>
      </c>
      <c r="CG65" s="8" t="str">
        <f>IF(CG18&gt;0,1-AVERAGEIFS('Data(perSeason,perCrop)'!$E:$E,'Data(perSeason,perCrop)'!$S:$S,Indicators!$B65,'Data(perSeason,perCrop)'!$O:$O,CG$7,'Data(perSeason,perCrop)'!$C:$C,Indicators!CG$3,'Data(perSeason,perCrop)'!$R:$R,"IRRIGATED")/AVERAGEIFS('Data(perSeason,perCrop)'!$F:$F,'Data(perSeason,perCrop)'!$S:$S,Indicators!$B65,'Data(perSeason,perCrop)'!$O:$O,CG$7,'Data(perSeason,perCrop)'!$C:$C,Indicators!CG$3,'Data(perSeason,perCrop)'!$R:$R,"IRRIGATED"),"")</f>
        <v/>
      </c>
      <c r="CH65" s="8" t="str">
        <f>IF(CH18&gt;0,1-AVERAGEIFS('Data(perSeason,perCrop)'!$E:$E,'Data(perSeason,perCrop)'!$S:$S,Indicators!$B65,'Data(perSeason,perCrop)'!$O:$O,CH$7,'Data(perSeason,perCrop)'!$C:$C,Indicators!CH$3,'Data(perSeason,perCrop)'!$R:$R,"IRRIGATED")/AVERAGEIFS('Data(perSeason,perCrop)'!$F:$F,'Data(perSeason,perCrop)'!$S:$S,Indicators!$B65,'Data(perSeason,perCrop)'!$O:$O,CH$7,'Data(perSeason,perCrop)'!$C:$C,Indicators!CH$3,'Data(perSeason,perCrop)'!$R:$R,"IRRIGATED"),"")</f>
        <v/>
      </c>
      <c r="CI65" s="8" t="str">
        <f>IF(CI18&gt;0,1-AVERAGEIFS('Data(perSeason,perCrop)'!$E:$E,'Data(perSeason,perCrop)'!$S:$S,Indicators!$B65,'Data(perSeason,perCrop)'!$O:$O,CI$7,'Data(perSeason,perCrop)'!$C:$C,Indicators!CI$3,'Data(perSeason,perCrop)'!$R:$R,"IRRIGATED")/AVERAGEIFS('Data(perSeason,perCrop)'!$F:$F,'Data(perSeason,perCrop)'!$S:$S,Indicators!$B65,'Data(perSeason,perCrop)'!$O:$O,CI$7,'Data(perSeason,perCrop)'!$C:$C,Indicators!CI$3,'Data(perSeason,perCrop)'!$R:$R,"IRRIGATED"),"")</f>
        <v/>
      </c>
      <c r="CJ65" s="8" t="str">
        <f>IF(CJ18&gt;0,1-AVERAGEIFS('Data(perSeason,perCrop)'!$E:$E,'Data(perSeason,perCrop)'!$S:$S,Indicators!$B65,'Data(perSeason,perCrop)'!$O:$O,CJ$7,'Data(perSeason,perCrop)'!$C:$C,Indicators!CJ$3,'Data(perSeason,perCrop)'!$R:$R,"IRRIGATED")/AVERAGEIFS('Data(perSeason,perCrop)'!$F:$F,'Data(perSeason,perCrop)'!$S:$S,Indicators!$B65,'Data(perSeason,perCrop)'!$O:$O,CJ$7,'Data(perSeason,perCrop)'!$C:$C,Indicators!CJ$3,'Data(perSeason,perCrop)'!$R:$R,"IRRIGATED"),"")</f>
        <v/>
      </c>
      <c r="CK65" s="8" t="str">
        <f>IF(CK18&gt;0,1-AVERAGEIFS('Data(perSeason,perCrop)'!$E:$E,'Data(perSeason,perCrop)'!$S:$S,Indicators!$B65,'Data(perSeason,perCrop)'!$O:$O,CK$7,'Data(perSeason,perCrop)'!$C:$C,Indicators!CK$3,'Data(perSeason,perCrop)'!$R:$R,"IRRIGATED")/AVERAGEIFS('Data(perSeason,perCrop)'!$F:$F,'Data(perSeason,perCrop)'!$S:$S,Indicators!$B65,'Data(perSeason,perCrop)'!$O:$O,CK$7,'Data(perSeason,perCrop)'!$C:$C,Indicators!CK$3,'Data(perSeason,perCrop)'!$R:$R,"IRRIGATED"),"")</f>
        <v/>
      </c>
      <c r="CL65" s="8" t="str">
        <f>IF(CL18&gt;0,1-AVERAGEIFS('Data(perSeason,perCrop)'!$E:$E,'Data(perSeason,perCrop)'!$S:$S,Indicators!$B65,'Data(perSeason,perCrop)'!$O:$O,CL$7,'Data(perSeason,perCrop)'!$C:$C,Indicators!CL$3,'Data(perSeason,perCrop)'!$R:$R,"IRRIGATED")/AVERAGEIFS('Data(perSeason,perCrop)'!$F:$F,'Data(perSeason,perCrop)'!$S:$S,Indicators!$B65,'Data(perSeason,perCrop)'!$O:$O,CL$7,'Data(perSeason,perCrop)'!$C:$C,Indicators!CL$3,'Data(perSeason,perCrop)'!$R:$R,"IRRIGATED"),"")</f>
        <v/>
      </c>
      <c r="CM65" s="8" t="str">
        <f>IF(CM18&gt;0,1-AVERAGEIFS('Data(perSeason,perCrop)'!$E:$E,'Data(perSeason,perCrop)'!$S:$S,Indicators!$B65,'Data(perSeason,perCrop)'!$O:$O,CM$7,'Data(perSeason,perCrop)'!$C:$C,Indicators!CM$3,'Data(perSeason,perCrop)'!$R:$R,"IRRIGATED")/AVERAGEIFS('Data(perSeason,perCrop)'!$F:$F,'Data(perSeason,perCrop)'!$S:$S,Indicators!$B65,'Data(perSeason,perCrop)'!$O:$O,CM$7,'Data(perSeason,perCrop)'!$C:$C,Indicators!CM$3,'Data(perSeason,perCrop)'!$R:$R,"IRRIGATED"),"")</f>
        <v/>
      </c>
      <c r="CN65" s="8" t="str">
        <f>IF(CN18&gt;0,1-AVERAGEIFS('Data(perSeason,perCrop)'!$E:$E,'Data(perSeason,perCrop)'!$S:$S,Indicators!$B65,'Data(perSeason,perCrop)'!$O:$O,CN$7,'Data(perSeason,perCrop)'!$C:$C,Indicators!CN$3,'Data(perSeason,perCrop)'!$R:$R,"IRRIGATED")/AVERAGEIFS('Data(perSeason,perCrop)'!$F:$F,'Data(perSeason,perCrop)'!$S:$S,Indicators!$B65,'Data(perSeason,perCrop)'!$O:$O,CN$7,'Data(perSeason,perCrop)'!$C:$C,Indicators!CN$3,'Data(perSeason,perCrop)'!$R:$R,"IRRIGATED"),"")</f>
        <v/>
      </c>
      <c r="CO65" s="8" t="str">
        <f>IF(CO18&gt;0,1-AVERAGEIFS('Data(perSeason,perCrop)'!$E:$E,'Data(perSeason,perCrop)'!$S:$S,Indicators!$B65,'Data(perSeason,perCrop)'!$O:$O,CO$7,'Data(perSeason,perCrop)'!$C:$C,Indicators!CO$3,'Data(perSeason,perCrop)'!$R:$R,"IRRIGATED")/AVERAGEIFS('Data(perSeason,perCrop)'!$F:$F,'Data(perSeason,perCrop)'!$S:$S,Indicators!$B65,'Data(perSeason,perCrop)'!$O:$O,CO$7,'Data(perSeason,perCrop)'!$C:$C,Indicators!CO$3,'Data(perSeason,perCrop)'!$R:$R,"IRRIGATED"),"")</f>
        <v/>
      </c>
      <c r="CP65" s="8">
        <f>IF(CP18&gt;0,1-AVERAGEIFS('Data(perSeason,perCrop)'!$E:$E,'Data(perSeason,perCrop)'!$S:$S,Indicators!$B65,'Data(perSeason,perCrop)'!$O:$O,CP$7,'Data(perSeason,perCrop)'!$C:$C,Indicators!CP$3,'Data(perSeason,perCrop)'!$R:$R,"IRRIGATED")/AVERAGEIFS('Data(perSeason,perCrop)'!$F:$F,'Data(perSeason,perCrop)'!$S:$S,Indicators!$B65,'Data(perSeason,perCrop)'!$O:$O,CP$7,'Data(perSeason,perCrop)'!$C:$C,Indicators!CP$3,'Data(perSeason,perCrop)'!$R:$R,"IRRIGATED"),"")</f>
        <v>0.16695957820738139</v>
      </c>
      <c r="CQ65" s="8">
        <f>IF(CQ18&gt;0,1-AVERAGEIFS('Data(perSeason,perCrop)'!$E:$E,'Data(perSeason,perCrop)'!$S:$S,Indicators!$B65,'Data(perSeason,perCrop)'!$O:$O,CQ$7,'Data(perSeason,perCrop)'!$C:$C,Indicators!CQ$3,'Data(perSeason,perCrop)'!$R:$R,"IRRIGATED")/AVERAGEIFS('Data(perSeason,perCrop)'!$F:$F,'Data(perSeason,perCrop)'!$S:$S,Indicators!$B65,'Data(perSeason,perCrop)'!$O:$O,CQ$7,'Data(perSeason,perCrop)'!$C:$C,Indicators!CQ$3,'Data(perSeason,perCrop)'!$R:$R,"IRRIGATED"),"")</f>
        <v>0.23495702005730656</v>
      </c>
      <c r="CR65" s="8" t="str">
        <f>IF(CR18&gt;0,1-AVERAGEIFS('Data(perSeason,perCrop)'!$E:$E,'Data(perSeason,perCrop)'!$S:$S,Indicators!$B65,'Data(perSeason,perCrop)'!$O:$O,CR$7,'Data(perSeason,perCrop)'!$C:$C,Indicators!CR$3,'Data(perSeason,perCrop)'!$R:$R,"IRRIGATED")/AVERAGEIFS('Data(perSeason,perCrop)'!$F:$F,'Data(perSeason,perCrop)'!$S:$S,Indicators!$B65,'Data(perSeason,perCrop)'!$O:$O,CR$7,'Data(perSeason,perCrop)'!$C:$C,Indicators!CR$3,'Data(perSeason,perCrop)'!$R:$R,"IRRIGATED"),"")</f>
        <v/>
      </c>
      <c r="CS65" s="8">
        <f>IF(CS18&gt;0,1-AVERAGEIFS('Data(perSeason,perCrop)'!$E:$E,'Data(perSeason,perCrop)'!$S:$S,Indicators!$B65,'Data(perSeason,perCrop)'!$O:$O,CS$7,'Data(perSeason,perCrop)'!$C:$C,Indicators!CS$3,'Data(perSeason,perCrop)'!$R:$R,"IRRIGATED")/AVERAGEIFS('Data(perSeason,perCrop)'!$F:$F,'Data(perSeason,perCrop)'!$S:$S,Indicators!$B65,'Data(perSeason,perCrop)'!$O:$O,CS$7,'Data(perSeason,perCrop)'!$C:$C,Indicators!CS$3,'Data(perSeason,perCrop)'!$R:$R,"IRRIGATED"),"")</f>
        <v>0.29175946547884191</v>
      </c>
      <c r="CT65" s="8" t="str">
        <f>IF(CT18&gt;0,1-AVERAGEIFS('Data(perSeason,perCrop)'!$E:$E,'Data(perSeason,perCrop)'!$S:$S,Indicators!$B65,'Data(perSeason,perCrop)'!$O:$O,CT$7,'Data(perSeason,perCrop)'!$C:$C,Indicators!CT$3,'Data(perSeason,perCrop)'!$R:$R,"IRRIGATED")/AVERAGEIFS('Data(perSeason,perCrop)'!$F:$F,'Data(perSeason,perCrop)'!$S:$S,Indicators!$B65,'Data(perSeason,perCrop)'!$O:$O,CT$7,'Data(perSeason,perCrop)'!$C:$C,Indicators!CT$3,'Data(perSeason,perCrop)'!$R:$R,"IRRIGATED"),"")</f>
        <v/>
      </c>
      <c r="CU65" s="8" t="str">
        <f>IF(CU18&gt;0,1-AVERAGEIFS('Data(perSeason,perCrop)'!$E:$E,'Data(perSeason,perCrop)'!$S:$S,Indicators!$B65,'Data(perSeason,perCrop)'!$O:$O,CU$7,'Data(perSeason,perCrop)'!$C:$C,Indicators!CU$3,'Data(perSeason,perCrop)'!$R:$R,"IRRIGATED")/AVERAGEIFS('Data(perSeason,perCrop)'!$F:$F,'Data(perSeason,perCrop)'!$S:$S,Indicators!$B65,'Data(perSeason,perCrop)'!$O:$O,CU$7,'Data(perSeason,perCrop)'!$C:$C,Indicators!CU$3,'Data(perSeason,perCrop)'!$R:$R,"IRRIGATED"),"")</f>
        <v/>
      </c>
      <c r="CV65" s="8">
        <f>IF(CV18&gt;0,1-AVERAGEIFS('Data(perSeason,perCrop)'!$E:$E,'Data(perSeason,perCrop)'!$S:$S,Indicators!$B65,'Data(perSeason,perCrop)'!$O:$O,CV$7,'Data(perSeason,perCrop)'!$C:$C,Indicators!CV$3,'Data(perSeason,perCrop)'!$R:$R,"IRRIGATED")/AVERAGEIFS('Data(perSeason,perCrop)'!$F:$F,'Data(perSeason,perCrop)'!$S:$S,Indicators!$B65,'Data(perSeason,perCrop)'!$O:$O,CV$7,'Data(perSeason,perCrop)'!$C:$C,Indicators!CV$3,'Data(perSeason,perCrop)'!$R:$R,"IRRIGATED"),"")</f>
        <v>0.1871559633027523</v>
      </c>
      <c r="CW65" s="8" t="str">
        <f>IF(CW18&gt;0,1-AVERAGEIFS('Data(perSeason,perCrop)'!$E:$E,'Data(perSeason,perCrop)'!$S:$S,Indicators!$B65,'Data(perSeason,perCrop)'!$O:$O,CW$7,'Data(perSeason,perCrop)'!$C:$C,Indicators!CW$3,'Data(perSeason,perCrop)'!$R:$R,"IRRIGATED")/AVERAGEIFS('Data(perSeason,perCrop)'!$F:$F,'Data(perSeason,perCrop)'!$S:$S,Indicators!$B65,'Data(perSeason,perCrop)'!$O:$O,CW$7,'Data(perSeason,perCrop)'!$C:$C,Indicators!CW$3,'Data(perSeason,perCrop)'!$R:$R,"IRRIGATED"),"")</f>
        <v/>
      </c>
      <c r="CX65" s="8" t="str">
        <f>IF(CX18&gt;0,1-AVERAGEIFS('Data(perSeason,perCrop)'!$E:$E,'Data(perSeason,perCrop)'!$S:$S,Indicators!$B65,'Data(perSeason,perCrop)'!$O:$O,CX$7,'Data(perSeason,perCrop)'!$C:$C,Indicators!CX$3,'Data(perSeason,perCrop)'!$R:$R,"IRRIGATED")/AVERAGEIFS('Data(perSeason,perCrop)'!$F:$F,'Data(perSeason,perCrop)'!$S:$S,Indicators!$B65,'Data(perSeason,perCrop)'!$O:$O,CX$7,'Data(perSeason,perCrop)'!$C:$C,Indicators!CX$3,'Data(perSeason,perCrop)'!$R:$R,"IRRIGATED"),"")</f>
        <v/>
      </c>
      <c r="CY65" s="8" t="str">
        <f>IF(CY18&gt;0,1-AVERAGEIFS('Data(perSeason,perCrop)'!$E:$E,'Data(perSeason,perCrop)'!$S:$S,Indicators!$B65,'Data(perSeason,perCrop)'!$O:$O,CY$7,'Data(perSeason,perCrop)'!$C:$C,Indicators!CY$3,'Data(perSeason,perCrop)'!$R:$R,"IRRIGATED")/AVERAGEIFS('Data(perSeason,perCrop)'!$F:$F,'Data(perSeason,perCrop)'!$S:$S,Indicators!$B65,'Data(perSeason,perCrop)'!$O:$O,CY$7,'Data(perSeason,perCrop)'!$C:$C,Indicators!CY$3,'Data(perSeason,perCrop)'!$R:$R,"IRRIGATED"),"")</f>
        <v/>
      </c>
      <c r="CZ65" s="8" t="str">
        <f>IF(CZ18&gt;0,1-AVERAGEIFS('Data(perSeason,perCrop)'!$E:$E,'Data(perSeason,perCrop)'!$S:$S,Indicators!$B65,'Data(perSeason,perCrop)'!$O:$O,CZ$7,'Data(perSeason,perCrop)'!$C:$C,Indicators!CZ$3,'Data(perSeason,perCrop)'!$R:$R,"IRRIGATED")/AVERAGEIFS('Data(perSeason,perCrop)'!$F:$F,'Data(perSeason,perCrop)'!$S:$S,Indicators!$B65,'Data(perSeason,perCrop)'!$O:$O,CZ$7,'Data(perSeason,perCrop)'!$C:$C,Indicators!CZ$3,'Data(perSeason,perCrop)'!$R:$R,"IRRIGATED"),"")</f>
        <v/>
      </c>
      <c r="DA65" s="8" t="str">
        <f>IF(DA18&gt;0,1-AVERAGEIFS('Data(perSeason,perCrop)'!$E:$E,'Data(perSeason,perCrop)'!$S:$S,Indicators!$B65,'Data(perSeason,perCrop)'!$O:$O,DA$7,'Data(perSeason,perCrop)'!$C:$C,Indicators!DA$3,'Data(perSeason,perCrop)'!$R:$R,"IRRIGATED")/AVERAGEIFS('Data(perSeason,perCrop)'!$F:$F,'Data(perSeason,perCrop)'!$S:$S,Indicators!$B65,'Data(perSeason,perCrop)'!$O:$O,DA$7,'Data(perSeason,perCrop)'!$C:$C,Indicators!DA$3,'Data(perSeason,perCrop)'!$R:$R,"IRRIGATED"),"")</f>
        <v/>
      </c>
      <c r="DB65" s="8" t="str">
        <f>IF(DB18&gt;0,1-AVERAGEIFS('Data(perSeason,perCrop)'!$E:$E,'Data(perSeason,perCrop)'!$S:$S,Indicators!$B65,'Data(perSeason,perCrop)'!$O:$O,DB$7,'Data(perSeason,perCrop)'!$C:$C,Indicators!DB$3,'Data(perSeason,perCrop)'!$R:$R,"IRRIGATED")/AVERAGEIFS('Data(perSeason,perCrop)'!$F:$F,'Data(perSeason,perCrop)'!$S:$S,Indicators!$B65,'Data(perSeason,perCrop)'!$O:$O,DB$7,'Data(perSeason,perCrop)'!$C:$C,Indicators!DB$3,'Data(perSeason,perCrop)'!$R:$R,"IRRIGATED"),"")</f>
        <v/>
      </c>
      <c r="DC65" s="8" t="str">
        <f>IF(DC18&gt;0,1-AVERAGEIFS('Data(perSeason,perCrop)'!$E:$E,'Data(perSeason,perCrop)'!$S:$S,Indicators!$B65,'Data(perSeason,perCrop)'!$O:$O,DC$7,'Data(perSeason,perCrop)'!$C:$C,Indicators!DC$3,'Data(perSeason,perCrop)'!$R:$R,"IRRIGATED")/AVERAGEIFS('Data(perSeason,perCrop)'!$F:$F,'Data(perSeason,perCrop)'!$S:$S,Indicators!$B65,'Data(perSeason,perCrop)'!$O:$O,DC$7,'Data(perSeason,perCrop)'!$C:$C,Indicators!DC$3,'Data(perSeason,perCrop)'!$R:$R,"IRRIGATED"),"")</f>
        <v/>
      </c>
      <c r="DD65" s="8" t="str">
        <f>IF(DD18&gt;0,1-AVERAGEIFS('Data(perSeason,perCrop)'!$E:$E,'Data(perSeason,perCrop)'!$S:$S,Indicators!$B65,'Data(perSeason,perCrop)'!$O:$O,DD$7,'Data(perSeason,perCrop)'!$C:$C,Indicators!DD$3,'Data(perSeason,perCrop)'!$R:$R,"IRRIGATED")/AVERAGEIFS('Data(perSeason,perCrop)'!$F:$F,'Data(perSeason,perCrop)'!$S:$S,Indicators!$B65,'Data(perSeason,perCrop)'!$O:$O,DD$7,'Data(perSeason,perCrop)'!$C:$C,Indicators!DD$3,'Data(perSeason,perCrop)'!$R:$R,"IRRIGATED"),"")</f>
        <v/>
      </c>
      <c r="DE65" s="8" t="str">
        <f>IF(DE18&gt;0,1-AVERAGEIFS('Data(perSeason,perCrop)'!$E:$E,'Data(perSeason,perCrop)'!$S:$S,Indicators!$B65,'Data(perSeason,perCrop)'!$O:$O,DE$7,'Data(perSeason,perCrop)'!$C:$C,Indicators!DE$3,'Data(perSeason,perCrop)'!$R:$R,"IRRIGATED")/AVERAGEIFS('Data(perSeason,perCrop)'!$F:$F,'Data(perSeason,perCrop)'!$S:$S,Indicators!$B65,'Data(perSeason,perCrop)'!$O:$O,DE$7,'Data(perSeason,perCrop)'!$C:$C,Indicators!DE$3,'Data(perSeason,perCrop)'!$R:$R,"IRRIGATED"),"")</f>
        <v/>
      </c>
      <c r="DF65" s="8" t="str">
        <f>IF(DF18&gt;0,1-AVERAGEIFS('Data(perSeason,perCrop)'!$E:$E,'Data(perSeason,perCrop)'!$S:$S,Indicators!$B65,'Data(perSeason,perCrop)'!$O:$O,DF$7,'Data(perSeason,perCrop)'!$C:$C,Indicators!DF$3,'Data(perSeason,perCrop)'!$R:$R,"IRRIGATED")/AVERAGEIFS('Data(perSeason,perCrop)'!$F:$F,'Data(perSeason,perCrop)'!$S:$S,Indicators!$B65,'Data(perSeason,perCrop)'!$O:$O,DF$7,'Data(perSeason,perCrop)'!$C:$C,Indicators!DF$3,'Data(perSeason,perCrop)'!$R:$R,"IRRIGATED"),"")</f>
        <v/>
      </c>
      <c r="DG65" s="8" t="str">
        <f>IF(DG18&gt;0,1-AVERAGEIFS('Data(perSeason,perCrop)'!$E:$E,'Data(perSeason,perCrop)'!$S:$S,Indicators!$B65,'Data(perSeason,perCrop)'!$O:$O,DG$7,'Data(perSeason,perCrop)'!$C:$C,Indicators!DG$3,'Data(perSeason,perCrop)'!$R:$R,"IRRIGATED")/AVERAGEIFS('Data(perSeason,perCrop)'!$F:$F,'Data(perSeason,perCrop)'!$S:$S,Indicators!$B65,'Data(perSeason,perCrop)'!$O:$O,DG$7,'Data(perSeason,perCrop)'!$C:$C,Indicators!DG$3,'Data(perSeason,perCrop)'!$R:$R,"IRRIGATED"),"")</f>
        <v/>
      </c>
    </row>
    <row r="66" spans="1:111" x14ac:dyDescent="0.25">
      <c r="B66">
        <v>2022</v>
      </c>
      <c r="C66" s="80">
        <f>IF(COUNTIFS('Data(perSeason,perCrop)'!$S:$S,Indicators!$B66)&gt;0,SUMPRODUCT(S19:AW19,S66:AW66)/SUM(S19:AW19),"")</f>
        <v>0.15256732724850897</v>
      </c>
      <c r="D66" s="80">
        <f>IF(COUNTIFS('Data(perSeason,perCrop)'!$S:$S,Indicators!$B66)&gt;0,SUMPRODUCT(AX19:CB19,AX66:CB66)/SUM(AX19:CB19),"")</f>
        <v>0.2085917885755032</v>
      </c>
      <c r="E66" s="80">
        <f>IF(COUNTIFS('Data(perSeason,perCrop)'!$S:$S,Indicators!$B66)&gt;0,SUMPRODUCT(CC19:DG19,CC66:DG66)/SUM(CC19:DG19),"")</f>
        <v>0.207009897449732</v>
      </c>
      <c r="F66" s="80">
        <f>IF(COUNTIFS('Data(perSeason,perCrop)'!$S:$S,Indicators!$B66)&gt;0,'Indicators(perCrop)'!Z$38,"")</f>
        <v>0.2056769486977986</v>
      </c>
      <c r="G66" s="8"/>
      <c r="H66" s="8"/>
      <c r="J66" s="2" t="s">
        <v>98</v>
      </c>
      <c r="K66" s="8" t="str">
        <f>IF(K19&gt;0,1-AVERAGEIFS('Data(perSeason,perCrop)'!$E:$E,'Data(perSeason,perCrop)'!$S:$S,Indicators!$B66,'Data(perSeason,perCrop)'!$O:$O,0,'Data(perSeason,perCrop)'!$C:$C,Indicators!K$3,'Data(perSeason,perCrop)'!$R:$R,"IRRIGATED")/AVERAGEIFS('Data(perSeason,perCrop)'!$F:$F,'Data(perSeason,perCrop)'!$S:$S,Indicators!$B66,'Data(perSeason,perCrop)'!$O:$O,0,'Data(perSeason,perCrop)'!$C:$C,Indicators!K$3,'Data(perSeason,perCrop)'!$R:$R,"IRRIGATED"),"")</f>
        <v/>
      </c>
      <c r="L66" s="8" t="str">
        <f>IF(L19&gt;0,1-AVERAGEIFS('Data(perSeason,perCrop)'!$E:$E,'Data(perSeason,perCrop)'!$S:$S,Indicators!$B66,'Data(perSeason,perCrop)'!$O:$O,0,'Data(perSeason,perCrop)'!$C:$C,Indicators!L$3,'Data(perSeason,perCrop)'!$R:$R,"IRRIGATED")/AVERAGEIFS('Data(perSeason,perCrop)'!$F:$F,'Data(perSeason,perCrop)'!$S:$S,Indicators!$B66,'Data(perSeason,perCrop)'!$O:$O,0,'Data(perSeason,perCrop)'!$C:$C,Indicators!L$3,'Data(perSeason,perCrop)'!$R:$R,"IRRIGATED"),"")</f>
        <v/>
      </c>
      <c r="M66" s="8" t="str">
        <f>IF(M19&gt;0,1-AVERAGEIFS('Data(perSeason,perCrop)'!$E:$E,'Data(perSeason,perCrop)'!$S:$S,Indicators!$B66,'Data(perSeason,perCrop)'!$O:$O,0,'Data(perSeason,perCrop)'!$C:$C,Indicators!M$3,'Data(perSeason,perCrop)'!$R:$R,"IRRIGATED")/AVERAGEIFS('Data(perSeason,perCrop)'!$F:$F,'Data(perSeason,perCrop)'!$S:$S,Indicators!$B66,'Data(perSeason,perCrop)'!$O:$O,0,'Data(perSeason,perCrop)'!$C:$C,Indicators!M$3,'Data(perSeason,perCrop)'!$R:$R,"IRRIGATED"),"")</f>
        <v/>
      </c>
      <c r="N66" s="8">
        <f>IF(N19&gt;0,1-AVERAGEIFS('Data(perSeason,perCrop)'!$E:$E,'Data(perSeason,perCrop)'!$S:$S,Indicators!$B66,'Data(perSeason,perCrop)'!$O:$O,0,'Data(perSeason,perCrop)'!$C:$C,Indicators!N$3,'Data(perSeason,perCrop)'!$R:$R,"IRRIGATED")/AVERAGEIFS('Data(perSeason,perCrop)'!$F:$F,'Data(perSeason,perCrop)'!$S:$S,Indicators!$B66,'Data(perSeason,perCrop)'!$O:$O,0,'Data(perSeason,perCrop)'!$C:$C,Indicators!N$3,'Data(perSeason,perCrop)'!$R:$R,"IRRIGATED"),"")</f>
        <v>0.12867956265769553</v>
      </c>
      <c r="O66" s="8">
        <f>IF(O19&gt;0,1-AVERAGEIFS('Data(perSeason,perCrop)'!$E:$E,'Data(perSeason,perCrop)'!$S:$S,Indicators!$B66,'Data(perSeason,perCrop)'!$O:$O,0,'Data(perSeason,perCrop)'!$C:$C,Indicators!O$3,'Data(perSeason,perCrop)'!$R:$R,"IRRIGATED")/AVERAGEIFS('Data(perSeason,perCrop)'!$F:$F,'Data(perSeason,perCrop)'!$S:$S,Indicators!$B66,'Data(perSeason,perCrop)'!$O:$O,0,'Data(perSeason,perCrop)'!$C:$C,Indicators!O$3,'Data(perSeason,perCrop)'!$R:$R,"IRRIGATED"),"")</f>
        <v>0.12670565302144254</v>
      </c>
      <c r="P66" s="8" t="str">
        <f>IF(P19&gt;0,1-AVERAGEIFS('Data(perSeason,perCrop)'!$E:$E,'Data(perSeason,perCrop)'!$S:$S,Indicators!$B66,'Data(perSeason,perCrop)'!$O:$O,0,'Data(perSeason,perCrop)'!$C:$C,Indicators!P$3,'Data(perSeason,perCrop)'!$R:$R,"IRRIGATED")/AVERAGEIFS('Data(perSeason,perCrop)'!$F:$F,'Data(perSeason,perCrop)'!$S:$S,Indicators!$B66,'Data(perSeason,perCrop)'!$O:$O,0,'Data(perSeason,perCrop)'!$C:$C,Indicators!P$3,'Data(perSeason,perCrop)'!$R:$R,"IRRIGATED"),"")</f>
        <v/>
      </c>
      <c r="Q66" s="8">
        <f>IF(Q19&gt;0,1-AVERAGEIFS('Data(perSeason,perCrop)'!$E:$E,'Data(perSeason,perCrop)'!$S:$S,Indicators!$B66,'Data(perSeason,perCrop)'!$O:$O,0,'Data(perSeason,perCrop)'!$C:$C,Indicators!Q$3,'Data(perSeason,perCrop)'!$R:$R,"IRRIGATED")/AVERAGEIFS('Data(perSeason,perCrop)'!$F:$F,'Data(perSeason,perCrop)'!$S:$S,Indicators!$B66,'Data(perSeason,perCrop)'!$O:$O,0,'Data(perSeason,perCrop)'!$C:$C,Indicators!Q$3,'Data(perSeason,perCrop)'!$R:$R,"IRRIGATED"),"")</f>
        <v>0.16094210009813548</v>
      </c>
      <c r="R66" s="8" t="str">
        <f>IF(R19&gt;0,1-AVERAGEIFS('Data(perSeason,perCrop)'!$E:$E,'Data(perSeason,perCrop)'!$S:$S,Indicators!$B66,'Data(perSeason,perCrop)'!$O:$O,0,'Data(perSeason,perCrop)'!$C:$C,Indicators!R$3,'Data(perSeason,perCrop)'!$R:$R,"IRRIGATED")/AVERAGEIFS('Data(perSeason,perCrop)'!$F:$F,'Data(perSeason,perCrop)'!$S:$S,Indicators!$B66,'Data(perSeason,perCrop)'!$O:$O,0,'Data(perSeason,perCrop)'!$C:$C,Indicators!R$3,'Data(perSeason,perCrop)'!$R:$R,"IRRIGATED"),"")</f>
        <v/>
      </c>
      <c r="S66" s="65" t="str">
        <f>IF(S19&gt;0,1-AVERAGEIFS('Data(perSeason,perCrop)'!$E:$E,'Data(perSeason,perCrop)'!$S:$S,Indicators!$B66,'Data(perSeason,perCrop)'!$O:$O,S$7,'Data(perSeason,perCrop)'!$C:$C,Indicators!S$3,'Data(perSeason,perCrop)'!$R:$R,"IRRIGATED")/AVERAGEIFS('Data(perSeason,perCrop)'!$F:$F,'Data(perSeason,perCrop)'!$S:$S,Indicators!$B66,'Data(perSeason,perCrop)'!$O:$O,S$7,'Data(perSeason,perCrop)'!$C:$C,Indicators!S$3,'Data(perSeason,perCrop)'!$R:$R,"IRRIGATED"),"")</f>
        <v/>
      </c>
      <c r="T66" s="65">
        <f>IF(T19&gt;0,1-AVERAGEIFS('Data(perSeason,perCrop)'!$E:$E,'Data(perSeason,perCrop)'!$S:$S,Indicators!$B66,'Data(perSeason,perCrop)'!$O:$O,T$7,'Data(perSeason,perCrop)'!$C:$C,Indicators!T$3,'Data(perSeason,perCrop)'!$R:$R,"IRRIGATED")/AVERAGEIFS('Data(perSeason,perCrop)'!$F:$F,'Data(perSeason,perCrop)'!$S:$S,Indicators!$B66,'Data(perSeason,perCrop)'!$O:$O,T$7,'Data(perSeason,perCrop)'!$C:$C,Indicators!T$3,'Data(perSeason,perCrop)'!$R:$R,"IRRIGATED"),"")</f>
        <v>0.15878378378378377</v>
      </c>
      <c r="U66" s="65" t="str">
        <f>IF(U19&gt;0,1-AVERAGEIFS('Data(perSeason,perCrop)'!$E:$E,'Data(perSeason,perCrop)'!$S:$S,Indicators!$B66,'Data(perSeason,perCrop)'!$O:$O,U$7,'Data(perSeason,perCrop)'!$C:$C,Indicators!U$3,'Data(perSeason,perCrop)'!$R:$R,"IRRIGATED")/AVERAGEIFS('Data(perSeason,perCrop)'!$F:$F,'Data(perSeason,perCrop)'!$S:$S,Indicators!$B66,'Data(perSeason,perCrop)'!$O:$O,U$7,'Data(perSeason,perCrop)'!$C:$C,Indicators!U$3,'Data(perSeason,perCrop)'!$R:$R,"IRRIGATED"),"")</f>
        <v/>
      </c>
      <c r="V66" s="65" t="str">
        <f>IF(V19&gt;0,1-AVERAGEIFS('Data(perSeason,perCrop)'!$E:$E,'Data(perSeason,perCrop)'!$S:$S,Indicators!$B66,'Data(perSeason,perCrop)'!$O:$O,V$7,'Data(perSeason,perCrop)'!$C:$C,Indicators!V$3,'Data(perSeason,perCrop)'!$R:$R,"IRRIGATED")/AVERAGEIFS('Data(perSeason,perCrop)'!$F:$F,'Data(perSeason,perCrop)'!$S:$S,Indicators!$B66,'Data(perSeason,perCrop)'!$O:$O,V$7,'Data(perSeason,perCrop)'!$C:$C,Indicators!V$3,'Data(perSeason,perCrop)'!$R:$R,"IRRIGATED"),"")</f>
        <v/>
      </c>
      <c r="W66" s="65" t="str">
        <f>IF(W19&gt;0,1-AVERAGEIFS('Data(perSeason,perCrop)'!$E:$E,'Data(perSeason,perCrop)'!$S:$S,Indicators!$B66,'Data(perSeason,perCrop)'!$O:$O,W$7,'Data(perSeason,perCrop)'!$C:$C,Indicators!W$3,'Data(perSeason,perCrop)'!$R:$R,"IRRIGATED")/AVERAGEIFS('Data(perSeason,perCrop)'!$F:$F,'Data(perSeason,perCrop)'!$S:$S,Indicators!$B66,'Data(perSeason,perCrop)'!$O:$O,W$7,'Data(perSeason,perCrop)'!$C:$C,Indicators!W$3,'Data(perSeason,perCrop)'!$R:$R,"IRRIGATED"),"")</f>
        <v/>
      </c>
      <c r="X66" s="65" t="str">
        <f>IF(X19&gt;0,1-AVERAGEIFS('Data(perSeason,perCrop)'!$E:$E,'Data(perSeason,perCrop)'!$S:$S,Indicators!$B66,'Data(perSeason,perCrop)'!$O:$O,X$7,'Data(perSeason,perCrop)'!$C:$C,Indicators!X$3,'Data(perSeason,perCrop)'!$R:$R,"IRRIGATED")/AVERAGEIFS('Data(perSeason,perCrop)'!$F:$F,'Data(perSeason,perCrop)'!$S:$S,Indicators!$B66,'Data(perSeason,perCrop)'!$O:$O,X$7,'Data(perSeason,perCrop)'!$C:$C,Indicators!X$3,'Data(perSeason,perCrop)'!$R:$R,"IRRIGATED"),"")</f>
        <v/>
      </c>
      <c r="Y66" s="65" t="str">
        <f>IF(Y19&gt;0,1-AVERAGEIFS('Data(perSeason,perCrop)'!$E:$E,'Data(perSeason,perCrop)'!$S:$S,Indicators!$B66,'Data(perSeason,perCrop)'!$O:$O,Y$7,'Data(perSeason,perCrop)'!$C:$C,Indicators!Y$3,'Data(perSeason,perCrop)'!$R:$R,"IRRIGATED")/AVERAGEIFS('Data(perSeason,perCrop)'!$F:$F,'Data(perSeason,perCrop)'!$S:$S,Indicators!$B66,'Data(perSeason,perCrop)'!$O:$O,Y$7,'Data(perSeason,perCrop)'!$C:$C,Indicators!Y$3,'Data(perSeason,perCrop)'!$R:$R,"IRRIGATED"),"")</f>
        <v/>
      </c>
      <c r="Z66" s="65" t="str">
        <f>IF(Z19&gt;0,1-AVERAGEIFS('Data(perSeason,perCrop)'!$E:$E,'Data(perSeason,perCrop)'!$S:$S,Indicators!$B66,'Data(perSeason,perCrop)'!$O:$O,Z$7,'Data(perSeason,perCrop)'!$C:$C,Indicators!Z$3,'Data(perSeason,perCrop)'!$R:$R,"IRRIGATED")/AVERAGEIFS('Data(perSeason,perCrop)'!$F:$F,'Data(perSeason,perCrop)'!$S:$S,Indicators!$B66,'Data(perSeason,perCrop)'!$O:$O,Z$7,'Data(perSeason,perCrop)'!$C:$C,Indicators!Z$3,'Data(perSeason,perCrop)'!$R:$R,"IRRIGATED"),"")</f>
        <v/>
      </c>
      <c r="AA66" s="65" t="str">
        <f>IF(AA19&gt;0,1-AVERAGEIFS('Data(perSeason,perCrop)'!$E:$E,'Data(perSeason,perCrop)'!$S:$S,Indicators!$B66,'Data(perSeason,perCrop)'!$O:$O,AA$7,'Data(perSeason,perCrop)'!$C:$C,Indicators!AA$3,'Data(perSeason,perCrop)'!$R:$R,"IRRIGATED")/AVERAGEIFS('Data(perSeason,perCrop)'!$F:$F,'Data(perSeason,perCrop)'!$S:$S,Indicators!$B66,'Data(perSeason,perCrop)'!$O:$O,AA$7,'Data(perSeason,perCrop)'!$C:$C,Indicators!AA$3,'Data(perSeason,perCrop)'!$R:$R,"IRRIGATED"),"")</f>
        <v/>
      </c>
      <c r="AB66" s="65" t="str">
        <f>IF(AB19&gt;0,1-AVERAGEIFS('Data(perSeason,perCrop)'!$E:$E,'Data(perSeason,perCrop)'!$S:$S,Indicators!$B66,'Data(perSeason,perCrop)'!$O:$O,AB$7,'Data(perSeason,perCrop)'!$C:$C,Indicators!AB$3,'Data(perSeason,perCrop)'!$R:$R,"IRRIGATED")/AVERAGEIFS('Data(perSeason,perCrop)'!$F:$F,'Data(perSeason,perCrop)'!$S:$S,Indicators!$B66,'Data(perSeason,perCrop)'!$O:$O,AB$7,'Data(perSeason,perCrop)'!$C:$C,Indicators!AB$3,'Data(perSeason,perCrop)'!$R:$R,"IRRIGATED"),"")</f>
        <v/>
      </c>
      <c r="AC66" s="65" t="str">
        <f>IF(AC19&gt;0,1-AVERAGEIFS('Data(perSeason,perCrop)'!$E:$E,'Data(perSeason,perCrop)'!$S:$S,Indicators!$B66,'Data(perSeason,perCrop)'!$O:$O,AC$7,'Data(perSeason,perCrop)'!$C:$C,Indicators!AC$3,'Data(perSeason,perCrop)'!$R:$R,"IRRIGATED")/AVERAGEIFS('Data(perSeason,perCrop)'!$F:$F,'Data(perSeason,perCrop)'!$S:$S,Indicators!$B66,'Data(perSeason,perCrop)'!$O:$O,AC$7,'Data(perSeason,perCrop)'!$C:$C,Indicators!AC$3,'Data(perSeason,perCrop)'!$R:$R,"IRRIGATED"),"")</f>
        <v/>
      </c>
      <c r="AD66" s="65" t="str">
        <f>IF(AD19&gt;0,1-AVERAGEIFS('Data(perSeason,perCrop)'!$E:$E,'Data(perSeason,perCrop)'!$S:$S,Indicators!$B66,'Data(perSeason,perCrop)'!$O:$O,AD$7,'Data(perSeason,perCrop)'!$C:$C,Indicators!AD$3,'Data(perSeason,perCrop)'!$R:$R,"IRRIGATED")/AVERAGEIFS('Data(perSeason,perCrop)'!$F:$F,'Data(perSeason,perCrop)'!$S:$S,Indicators!$B66,'Data(perSeason,perCrop)'!$O:$O,AD$7,'Data(perSeason,perCrop)'!$C:$C,Indicators!AD$3,'Data(perSeason,perCrop)'!$R:$R,"IRRIGATED"),"")</f>
        <v/>
      </c>
      <c r="AE66" s="65" t="str">
        <f>IF(AE19&gt;0,1-AVERAGEIFS('Data(perSeason,perCrop)'!$E:$E,'Data(perSeason,perCrop)'!$S:$S,Indicators!$B66,'Data(perSeason,perCrop)'!$O:$O,AE$7,'Data(perSeason,perCrop)'!$C:$C,Indicators!AE$3,'Data(perSeason,perCrop)'!$R:$R,"IRRIGATED")/AVERAGEIFS('Data(perSeason,perCrop)'!$F:$F,'Data(perSeason,perCrop)'!$S:$S,Indicators!$B66,'Data(perSeason,perCrop)'!$O:$O,AE$7,'Data(perSeason,perCrop)'!$C:$C,Indicators!AE$3,'Data(perSeason,perCrop)'!$R:$R,"IRRIGATED"),"")</f>
        <v/>
      </c>
      <c r="AF66" s="65">
        <f>IF(AF19&gt;0,1-AVERAGEIFS('Data(perSeason,perCrop)'!$E:$E,'Data(perSeason,perCrop)'!$S:$S,Indicators!$B66,'Data(perSeason,perCrop)'!$O:$O,AF$7,'Data(perSeason,perCrop)'!$C:$C,Indicators!AF$3,'Data(perSeason,perCrop)'!$R:$R,"IRRIGATED")/AVERAGEIFS('Data(perSeason,perCrop)'!$F:$F,'Data(perSeason,perCrop)'!$S:$S,Indicators!$B66,'Data(perSeason,perCrop)'!$O:$O,AF$7,'Data(perSeason,perCrop)'!$C:$C,Indicators!AF$3,'Data(perSeason,perCrop)'!$R:$R,"IRRIGATED"),"")</f>
        <v>7.9234972677595605E-2</v>
      </c>
      <c r="AG66" s="65">
        <f>IF(AG19&gt;0,1-AVERAGEIFS('Data(perSeason,perCrop)'!$E:$E,'Data(perSeason,perCrop)'!$S:$S,Indicators!$B66,'Data(perSeason,perCrop)'!$O:$O,AG$7,'Data(perSeason,perCrop)'!$C:$C,Indicators!AG$3,'Data(perSeason,perCrop)'!$R:$R,"IRRIGATED")/AVERAGEIFS('Data(perSeason,perCrop)'!$F:$F,'Data(perSeason,perCrop)'!$S:$S,Indicators!$B66,'Data(perSeason,perCrop)'!$O:$O,AG$7,'Data(perSeason,perCrop)'!$C:$C,Indicators!AG$3,'Data(perSeason,perCrop)'!$R:$R,"IRRIGATED"),"")</f>
        <v>7.8947368421052655E-2</v>
      </c>
      <c r="AH66" s="65" t="str">
        <f>IF(AH19&gt;0,1-AVERAGEIFS('Data(perSeason,perCrop)'!$E:$E,'Data(perSeason,perCrop)'!$S:$S,Indicators!$B66,'Data(perSeason,perCrop)'!$O:$O,AH$7,'Data(perSeason,perCrop)'!$C:$C,Indicators!AH$3,'Data(perSeason,perCrop)'!$R:$R,"IRRIGATED")/AVERAGEIFS('Data(perSeason,perCrop)'!$F:$F,'Data(perSeason,perCrop)'!$S:$S,Indicators!$B66,'Data(perSeason,perCrop)'!$O:$O,AH$7,'Data(perSeason,perCrop)'!$C:$C,Indicators!AH$3,'Data(perSeason,perCrop)'!$R:$R,"IRRIGATED"),"")</f>
        <v/>
      </c>
      <c r="AI66" s="65">
        <f>IF(AI19&gt;0,1-AVERAGEIFS('Data(perSeason,perCrop)'!$E:$E,'Data(perSeason,perCrop)'!$S:$S,Indicators!$B66,'Data(perSeason,perCrop)'!$O:$O,AI$7,'Data(perSeason,perCrop)'!$C:$C,Indicators!AI$3,'Data(perSeason,perCrop)'!$R:$R,"IRRIGATED")/AVERAGEIFS('Data(perSeason,perCrop)'!$F:$F,'Data(perSeason,perCrop)'!$S:$S,Indicators!$B66,'Data(perSeason,perCrop)'!$O:$O,AI$7,'Data(perSeason,perCrop)'!$C:$C,Indicators!AI$3,'Data(perSeason,perCrop)'!$R:$R,"IRRIGATED"),"")</f>
        <v>0.12828947368421051</v>
      </c>
      <c r="AJ66" s="65" t="str">
        <f>IF(AJ19&gt;0,1-AVERAGEIFS('Data(perSeason,perCrop)'!$E:$E,'Data(perSeason,perCrop)'!$S:$S,Indicators!$B66,'Data(perSeason,perCrop)'!$O:$O,AJ$7,'Data(perSeason,perCrop)'!$C:$C,Indicators!AJ$3,'Data(perSeason,perCrop)'!$R:$R,"IRRIGATED")/AVERAGEIFS('Data(perSeason,perCrop)'!$F:$F,'Data(perSeason,perCrop)'!$S:$S,Indicators!$B66,'Data(perSeason,perCrop)'!$O:$O,AJ$7,'Data(perSeason,perCrop)'!$C:$C,Indicators!AJ$3,'Data(perSeason,perCrop)'!$R:$R,"IRRIGATED"),"")</f>
        <v/>
      </c>
      <c r="AK66" s="65" t="str">
        <f>IF(AK19&gt;0,1-AVERAGEIFS('Data(perSeason,perCrop)'!$E:$E,'Data(perSeason,perCrop)'!$S:$S,Indicators!$B66,'Data(perSeason,perCrop)'!$O:$O,AK$7,'Data(perSeason,perCrop)'!$C:$C,Indicators!AK$3,'Data(perSeason,perCrop)'!$R:$R,"IRRIGATED")/AVERAGEIFS('Data(perSeason,perCrop)'!$F:$F,'Data(perSeason,perCrop)'!$S:$S,Indicators!$B66,'Data(perSeason,perCrop)'!$O:$O,AK$7,'Data(perSeason,perCrop)'!$C:$C,Indicators!AK$3,'Data(perSeason,perCrop)'!$R:$R,"IRRIGATED"),"")</f>
        <v/>
      </c>
      <c r="AL66" s="65">
        <f>IF(AL19&gt;0,1-AVERAGEIFS('Data(perSeason,perCrop)'!$E:$E,'Data(perSeason,perCrop)'!$S:$S,Indicators!$B66,'Data(perSeason,perCrop)'!$O:$O,AL$7,'Data(perSeason,perCrop)'!$C:$C,Indicators!AL$3,'Data(perSeason,perCrop)'!$R:$R,"IRRIGATED")/AVERAGEIFS('Data(perSeason,perCrop)'!$F:$F,'Data(perSeason,perCrop)'!$S:$S,Indicators!$B66,'Data(perSeason,perCrop)'!$O:$O,AL$7,'Data(perSeason,perCrop)'!$C:$C,Indicators!AL$3,'Data(perSeason,perCrop)'!$R:$R,"IRRIGATED"),"")</f>
        <v>0.1595092024539877</v>
      </c>
      <c r="AM66" s="65" t="str">
        <f>IF(AM19&gt;0,1-AVERAGEIFS('Data(perSeason,perCrop)'!$E:$E,'Data(perSeason,perCrop)'!$S:$S,Indicators!$B66,'Data(perSeason,perCrop)'!$O:$O,AM$7,'Data(perSeason,perCrop)'!$C:$C,Indicators!AM$3,'Data(perSeason,perCrop)'!$R:$R,"IRRIGATED")/AVERAGEIFS('Data(perSeason,perCrop)'!$F:$F,'Data(perSeason,perCrop)'!$S:$S,Indicators!$B66,'Data(perSeason,perCrop)'!$O:$O,AM$7,'Data(perSeason,perCrop)'!$C:$C,Indicators!AM$3,'Data(perSeason,perCrop)'!$R:$R,"IRRIGATED"),"")</f>
        <v/>
      </c>
      <c r="AN66" s="65" t="str">
        <f>IF(AN19&gt;0,1-AVERAGEIFS('Data(perSeason,perCrop)'!$E:$E,'Data(perSeason,perCrop)'!$S:$S,Indicators!$B66,'Data(perSeason,perCrop)'!$O:$O,AN$7,'Data(perSeason,perCrop)'!$C:$C,Indicators!AN$3,'Data(perSeason,perCrop)'!$R:$R,"IRRIGATED")/AVERAGEIFS('Data(perSeason,perCrop)'!$F:$F,'Data(perSeason,perCrop)'!$S:$S,Indicators!$B66,'Data(perSeason,perCrop)'!$O:$O,AN$7,'Data(perSeason,perCrop)'!$C:$C,Indicators!AN$3,'Data(perSeason,perCrop)'!$R:$R,"IRRIGATED"),"")</f>
        <v/>
      </c>
      <c r="AO66" s="65" t="str">
        <f>IF(AO19&gt;0,1-AVERAGEIFS('Data(perSeason,perCrop)'!$E:$E,'Data(perSeason,perCrop)'!$S:$S,Indicators!$B66,'Data(perSeason,perCrop)'!$O:$O,AO$7,'Data(perSeason,perCrop)'!$C:$C,Indicators!AO$3,'Data(perSeason,perCrop)'!$R:$R,"IRRIGATED")/AVERAGEIFS('Data(perSeason,perCrop)'!$F:$F,'Data(perSeason,perCrop)'!$S:$S,Indicators!$B66,'Data(perSeason,perCrop)'!$O:$O,AO$7,'Data(perSeason,perCrop)'!$C:$C,Indicators!AO$3,'Data(perSeason,perCrop)'!$R:$R,"IRRIGATED"),"")</f>
        <v/>
      </c>
      <c r="AP66" s="65" t="str">
        <f>IF(AP19&gt;0,1-AVERAGEIFS('Data(perSeason,perCrop)'!$E:$E,'Data(perSeason,perCrop)'!$S:$S,Indicators!$B66,'Data(perSeason,perCrop)'!$O:$O,AP$7,'Data(perSeason,perCrop)'!$C:$C,Indicators!AP$3,'Data(perSeason,perCrop)'!$R:$R,"IRRIGATED")/AVERAGEIFS('Data(perSeason,perCrop)'!$F:$F,'Data(perSeason,perCrop)'!$S:$S,Indicators!$B66,'Data(perSeason,perCrop)'!$O:$O,AP$7,'Data(perSeason,perCrop)'!$C:$C,Indicators!AP$3,'Data(perSeason,perCrop)'!$R:$R,"IRRIGATED"),"")</f>
        <v/>
      </c>
      <c r="AQ66" s="65" t="str">
        <f>IF(AQ19&gt;0,1-AVERAGEIFS('Data(perSeason,perCrop)'!$E:$E,'Data(perSeason,perCrop)'!$S:$S,Indicators!$B66,'Data(perSeason,perCrop)'!$O:$O,AQ$7,'Data(perSeason,perCrop)'!$C:$C,Indicators!AQ$3,'Data(perSeason,perCrop)'!$R:$R,"IRRIGATED")/AVERAGEIFS('Data(perSeason,perCrop)'!$F:$F,'Data(perSeason,perCrop)'!$S:$S,Indicators!$B66,'Data(perSeason,perCrop)'!$O:$O,AQ$7,'Data(perSeason,perCrop)'!$C:$C,Indicators!AQ$3,'Data(perSeason,perCrop)'!$R:$R,"IRRIGATED"),"")</f>
        <v/>
      </c>
      <c r="AR66" s="65" t="str">
        <f>IF(AR19&gt;0,1-AVERAGEIFS('Data(perSeason,perCrop)'!$E:$E,'Data(perSeason,perCrop)'!$S:$S,Indicators!$B66,'Data(perSeason,perCrop)'!$O:$O,AR$7,'Data(perSeason,perCrop)'!$C:$C,Indicators!AR$3,'Data(perSeason,perCrop)'!$R:$R,"IRRIGATED")/AVERAGEIFS('Data(perSeason,perCrop)'!$F:$F,'Data(perSeason,perCrop)'!$S:$S,Indicators!$B66,'Data(perSeason,perCrop)'!$O:$O,AR$7,'Data(perSeason,perCrop)'!$C:$C,Indicators!AR$3,'Data(perSeason,perCrop)'!$R:$R,"IRRIGATED"),"")</f>
        <v/>
      </c>
      <c r="AS66" s="65" t="str">
        <f>IF(AS19&gt;0,1-AVERAGEIFS('Data(perSeason,perCrop)'!$E:$E,'Data(perSeason,perCrop)'!$S:$S,Indicators!$B66,'Data(perSeason,perCrop)'!$O:$O,AS$7,'Data(perSeason,perCrop)'!$C:$C,Indicators!AS$3,'Data(perSeason,perCrop)'!$R:$R,"IRRIGATED")/AVERAGEIFS('Data(perSeason,perCrop)'!$F:$F,'Data(perSeason,perCrop)'!$S:$S,Indicators!$B66,'Data(perSeason,perCrop)'!$O:$O,AS$7,'Data(perSeason,perCrop)'!$C:$C,Indicators!AS$3,'Data(perSeason,perCrop)'!$R:$R,"IRRIGATED"),"")</f>
        <v/>
      </c>
      <c r="AT66" s="65" t="str">
        <f>IF(AT19&gt;0,1-AVERAGEIFS('Data(perSeason,perCrop)'!$E:$E,'Data(perSeason,perCrop)'!$S:$S,Indicators!$B66,'Data(perSeason,perCrop)'!$O:$O,AT$7,'Data(perSeason,perCrop)'!$C:$C,Indicators!AT$3,'Data(perSeason,perCrop)'!$R:$R,"IRRIGATED")/AVERAGEIFS('Data(perSeason,perCrop)'!$F:$F,'Data(perSeason,perCrop)'!$S:$S,Indicators!$B66,'Data(perSeason,perCrop)'!$O:$O,AT$7,'Data(perSeason,perCrop)'!$C:$C,Indicators!AT$3,'Data(perSeason,perCrop)'!$R:$R,"IRRIGATED"),"")</f>
        <v/>
      </c>
      <c r="AU66" s="65" t="str">
        <f>IF(AU19&gt;0,1-AVERAGEIFS('Data(perSeason,perCrop)'!$E:$E,'Data(perSeason,perCrop)'!$S:$S,Indicators!$B66,'Data(perSeason,perCrop)'!$O:$O,AU$7,'Data(perSeason,perCrop)'!$C:$C,Indicators!AU$3,'Data(perSeason,perCrop)'!$R:$R,"IRRIGATED")/AVERAGEIFS('Data(perSeason,perCrop)'!$F:$F,'Data(perSeason,perCrop)'!$S:$S,Indicators!$B66,'Data(perSeason,perCrop)'!$O:$O,AU$7,'Data(perSeason,perCrop)'!$C:$C,Indicators!AU$3,'Data(perSeason,perCrop)'!$R:$R,"IRRIGATED"),"")</f>
        <v/>
      </c>
      <c r="AV66" s="65" t="str">
        <f>IF(AV19&gt;0,1-AVERAGEIFS('Data(perSeason,perCrop)'!$E:$E,'Data(perSeason,perCrop)'!$S:$S,Indicators!$B66,'Data(perSeason,perCrop)'!$O:$O,AV$7,'Data(perSeason,perCrop)'!$C:$C,Indicators!AV$3,'Data(perSeason,perCrop)'!$R:$R,"IRRIGATED")/AVERAGEIFS('Data(perSeason,perCrop)'!$F:$F,'Data(perSeason,perCrop)'!$S:$S,Indicators!$B66,'Data(perSeason,perCrop)'!$O:$O,AV$7,'Data(perSeason,perCrop)'!$C:$C,Indicators!AV$3,'Data(perSeason,perCrop)'!$R:$R,"IRRIGATED"),"")</f>
        <v/>
      </c>
      <c r="AW66" s="65" t="str">
        <f>IF(AW19&gt;0,1-AVERAGEIFS('Data(perSeason,perCrop)'!$E:$E,'Data(perSeason,perCrop)'!$S:$S,Indicators!$B66,'Data(perSeason,perCrop)'!$O:$O,AW$7,'Data(perSeason,perCrop)'!$C:$C,Indicators!AW$3,'Data(perSeason,perCrop)'!$R:$R,"IRRIGATED")/AVERAGEIFS('Data(perSeason,perCrop)'!$F:$F,'Data(perSeason,perCrop)'!$S:$S,Indicators!$B66,'Data(perSeason,perCrop)'!$O:$O,AW$7,'Data(perSeason,perCrop)'!$C:$C,Indicators!AW$3,'Data(perSeason,perCrop)'!$R:$R,"IRRIGATED"),"")</f>
        <v/>
      </c>
      <c r="AX66" s="8" t="str">
        <f>IF(AX19&gt;0,1-AVERAGEIFS('Data(perSeason,perCrop)'!$E:$E,'Data(perSeason,perCrop)'!$S:$S,Indicators!$B66,'Data(perSeason,perCrop)'!$O:$O,AX$7,'Data(perSeason,perCrop)'!$C:$C,Indicators!AX$3,'Data(perSeason,perCrop)'!$R:$R,"IRRIGATED")/AVERAGEIFS('Data(perSeason,perCrop)'!$F:$F,'Data(perSeason,perCrop)'!$S:$S,Indicators!$B66,'Data(perSeason,perCrop)'!$O:$O,AX$7,'Data(perSeason,perCrop)'!$C:$C,Indicators!AX$3,'Data(perSeason,perCrop)'!$R:$R,"IRRIGATED"),"")</f>
        <v/>
      </c>
      <c r="AY66" s="8">
        <f>IF(AY19&gt;0,1-AVERAGEIFS('Data(perSeason,perCrop)'!$E:$E,'Data(perSeason,perCrop)'!$S:$S,Indicators!$B66,'Data(perSeason,perCrop)'!$O:$O,AY$7,'Data(perSeason,perCrop)'!$C:$C,Indicators!AY$3,'Data(perSeason,perCrop)'!$R:$R,"IRRIGATED")/AVERAGEIFS('Data(perSeason,perCrop)'!$F:$F,'Data(perSeason,perCrop)'!$S:$S,Indicators!$B66,'Data(perSeason,perCrop)'!$O:$O,AY$7,'Data(perSeason,perCrop)'!$C:$C,Indicators!AY$3,'Data(perSeason,perCrop)'!$R:$R,"IRRIGATED"),"")</f>
        <v>0.20714285714285718</v>
      </c>
      <c r="AZ66" s="8" t="str">
        <f>IF(AZ19&gt;0,1-AVERAGEIFS('Data(perSeason,perCrop)'!$E:$E,'Data(perSeason,perCrop)'!$S:$S,Indicators!$B66,'Data(perSeason,perCrop)'!$O:$O,AZ$7,'Data(perSeason,perCrop)'!$C:$C,Indicators!AZ$3,'Data(perSeason,perCrop)'!$R:$R,"IRRIGATED")/AVERAGEIFS('Data(perSeason,perCrop)'!$F:$F,'Data(perSeason,perCrop)'!$S:$S,Indicators!$B66,'Data(perSeason,perCrop)'!$O:$O,AZ$7,'Data(perSeason,perCrop)'!$C:$C,Indicators!AZ$3,'Data(perSeason,perCrop)'!$R:$R,"IRRIGATED"),"")</f>
        <v/>
      </c>
      <c r="BA66" s="8" t="str">
        <f>IF(BA19&gt;0,1-AVERAGEIFS('Data(perSeason,perCrop)'!$E:$E,'Data(perSeason,perCrop)'!$S:$S,Indicators!$B66,'Data(perSeason,perCrop)'!$O:$O,BA$7,'Data(perSeason,perCrop)'!$C:$C,Indicators!BA$3,'Data(perSeason,perCrop)'!$R:$R,"IRRIGATED")/AVERAGEIFS('Data(perSeason,perCrop)'!$F:$F,'Data(perSeason,perCrop)'!$S:$S,Indicators!$B66,'Data(perSeason,perCrop)'!$O:$O,BA$7,'Data(perSeason,perCrop)'!$C:$C,Indicators!BA$3,'Data(perSeason,perCrop)'!$R:$R,"IRRIGATED"),"")</f>
        <v/>
      </c>
      <c r="BB66" s="8" t="str">
        <f>IF(BB19&gt;0,1-AVERAGEIFS('Data(perSeason,perCrop)'!$E:$E,'Data(perSeason,perCrop)'!$S:$S,Indicators!$B66,'Data(perSeason,perCrop)'!$O:$O,BB$7,'Data(perSeason,perCrop)'!$C:$C,Indicators!BB$3,'Data(perSeason,perCrop)'!$R:$R,"IRRIGATED")/AVERAGEIFS('Data(perSeason,perCrop)'!$F:$F,'Data(perSeason,perCrop)'!$S:$S,Indicators!$B66,'Data(perSeason,perCrop)'!$O:$O,BB$7,'Data(perSeason,perCrop)'!$C:$C,Indicators!BB$3,'Data(perSeason,perCrop)'!$R:$R,"IRRIGATED"),"")</f>
        <v/>
      </c>
      <c r="BC66" s="8" t="str">
        <f>IF(BC19&gt;0,1-AVERAGEIFS('Data(perSeason,perCrop)'!$E:$E,'Data(perSeason,perCrop)'!$S:$S,Indicators!$B66,'Data(perSeason,perCrop)'!$O:$O,BC$7,'Data(perSeason,perCrop)'!$C:$C,Indicators!BC$3,'Data(perSeason,perCrop)'!$R:$R,"IRRIGATED")/AVERAGEIFS('Data(perSeason,perCrop)'!$F:$F,'Data(perSeason,perCrop)'!$S:$S,Indicators!$B66,'Data(perSeason,perCrop)'!$O:$O,BC$7,'Data(perSeason,perCrop)'!$C:$C,Indicators!BC$3,'Data(perSeason,perCrop)'!$R:$R,"IRRIGATED"),"")</f>
        <v/>
      </c>
      <c r="BD66" s="8" t="str">
        <f>IF(BD19&gt;0,1-AVERAGEIFS('Data(perSeason,perCrop)'!$E:$E,'Data(perSeason,perCrop)'!$S:$S,Indicators!$B66,'Data(perSeason,perCrop)'!$O:$O,BD$7,'Data(perSeason,perCrop)'!$C:$C,Indicators!BD$3,'Data(perSeason,perCrop)'!$R:$R,"IRRIGATED")/AVERAGEIFS('Data(perSeason,perCrop)'!$F:$F,'Data(perSeason,perCrop)'!$S:$S,Indicators!$B66,'Data(perSeason,perCrop)'!$O:$O,BD$7,'Data(perSeason,perCrop)'!$C:$C,Indicators!BD$3,'Data(perSeason,perCrop)'!$R:$R,"IRRIGATED"),"")</f>
        <v/>
      </c>
      <c r="BE66" s="8" t="str">
        <f>IF(BE19&gt;0,1-AVERAGEIFS('Data(perSeason,perCrop)'!$E:$E,'Data(perSeason,perCrop)'!$S:$S,Indicators!$B66,'Data(perSeason,perCrop)'!$O:$O,BE$7,'Data(perSeason,perCrop)'!$C:$C,Indicators!BE$3,'Data(perSeason,perCrop)'!$R:$R,"IRRIGATED")/AVERAGEIFS('Data(perSeason,perCrop)'!$F:$F,'Data(perSeason,perCrop)'!$S:$S,Indicators!$B66,'Data(perSeason,perCrop)'!$O:$O,BE$7,'Data(perSeason,perCrop)'!$C:$C,Indicators!BE$3,'Data(perSeason,perCrop)'!$R:$R,"IRRIGATED"),"")</f>
        <v/>
      </c>
      <c r="BF66" s="8" t="str">
        <f>IF(BF19&gt;0,1-AVERAGEIFS('Data(perSeason,perCrop)'!$E:$E,'Data(perSeason,perCrop)'!$S:$S,Indicators!$B66,'Data(perSeason,perCrop)'!$O:$O,BF$7,'Data(perSeason,perCrop)'!$C:$C,Indicators!BF$3,'Data(perSeason,perCrop)'!$R:$R,"IRRIGATED")/AVERAGEIFS('Data(perSeason,perCrop)'!$F:$F,'Data(perSeason,perCrop)'!$S:$S,Indicators!$B66,'Data(perSeason,perCrop)'!$O:$O,BF$7,'Data(perSeason,perCrop)'!$C:$C,Indicators!BF$3,'Data(perSeason,perCrop)'!$R:$R,"IRRIGATED"),"")</f>
        <v/>
      </c>
      <c r="BG66" s="8" t="str">
        <f>IF(BG19&gt;0,1-AVERAGEIFS('Data(perSeason,perCrop)'!$E:$E,'Data(perSeason,perCrop)'!$S:$S,Indicators!$B66,'Data(perSeason,perCrop)'!$O:$O,BG$7,'Data(perSeason,perCrop)'!$C:$C,Indicators!BG$3,'Data(perSeason,perCrop)'!$R:$R,"IRRIGATED")/AVERAGEIFS('Data(perSeason,perCrop)'!$F:$F,'Data(perSeason,perCrop)'!$S:$S,Indicators!$B66,'Data(perSeason,perCrop)'!$O:$O,BG$7,'Data(perSeason,perCrop)'!$C:$C,Indicators!BG$3,'Data(perSeason,perCrop)'!$R:$R,"IRRIGATED"),"")</f>
        <v/>
      </c>
      <c r="BH66" s="8" t="str">
        <f>IF(BH19&gt;0,1-AVERAGEIFS('Data(perSeason,perCrop)'!$E:$E,'Data(perSeason,perCrop)'!$S:$S,Indicators!$B66,'Data(perSeason,perCrop)'!$O:$O,BH$7,'Data(perSeason,perCrop)'!$C:$C,Indicators!BH$3,'Data(perSeason,perCrop)'!$R:$R,"IRRIGATED")/AVERAGEIFS('Data(perSeason,perCrop)'!$F:$F,'Data(perSeason,perCrop)'!$S:$S,Indicators!$B66,'Data(perSeason,perCrop)'!$O:$O,BH$7,'Data(perSeason,perCrop)'!$C:$C,Indicators!BH$3,'Data(perSeason,perCrop)'!$R:$R,"IRRIGATED"),"")</f>
        <v/>
      </c>
      <c r="BI66" s="8" t="str">
        <f>IF(BI19&gt;0,1-AVERAGEIFS('Data(perSeason,perCrop)'!$E:$E,'Data(perSeason,perCrop)'!$S:$S,Indicators!$B66,'Data(perSeason,perCrop)'!$O:$O,BI$7,'Data(perSeason,perCrop)'!$C:$C,Indicators!BI$3,'Data(perSeason,perCrop)'!$R:$R,"IRRIGATED")/AVERAGEIFS('Data(perSeason,perCrop)'!$F:$F,'Data(perSeason,perCrop)'!$S:$S,Indicators!$B66,'Data(perSeason,perCrop)'!$O:$O,BI$7,'Data(perSeason,perCrop)'!$C:$C,Indicators!BI$3,'Data(perSeason,perCrop)'!$R:$R,"IRRIGATED"),"")</f>
        <v/>
      </c>
      <c r="BJ66" s="8" t="str">
        <f>IF(BJ19&gt;0,1-AVERAGEIFS('Data(perSeason,perCrop)'!$E:$E,'Data(perSeason,perCrop)'!$S:$S,Indicators!$B66,'Data(perSeason,perCrop)'!$O:$O,BJ$7,'Data(perSeason,perCrop)'!$C:$C,Indicators!BJ$3,'Data(perSeason,perCrop)'!$R:$R,"IRRIGATED")/AVERAGEIFS('Data(perSeason,perCrop)'!$F:$F,'Data(perSeason,perCrop)'!$S:$S,Indicators!$B66,'Data(perSeason,perCrop)'!$O:$O,BJ$7,'Data(perSeason,perCrop)'!$C:$C,Indicators!BJ$3,'Data(perSeason,perCrop)'!$R:$R,"IRRIGATED"),"")</f>
        <v/>
      </c>
      <c r="BK66" s="8" t="str">
        <f>IF(BK19&gt;0,1-AVERAGEIFS('Data(perSeason,perCrop)'!$E:$E,'Data(perSeason,perCrop)'!$S:$S,Indicators!$B66,'Data(perSeason,perCrop)'!$O:$O,BK$7,'Data(perSeason,perCrop)'!$C:$C,Indicators!BK$3,'Data(perSeason,perCrop)'!$R:$R,"IRRIGATED")/AVERAGEIFS('Data(perSeason,perCrop)'!$F:$F,'Data(perSeason,perCrop)'!$S:$S,Indicators!$B66,'Data(perSeason,perCrop)'!$O:$O,BK$7,'Data(perSeason,perCrop)'!$C:$C,Indicators!BK$3,'Data(perSeason,perCrop)'!$R:$R,"IRRIGATED"),"")</f>
        <v/>
      </c>
      <c r="BL66" s="8">
        <f>IF(BL19&gt;0,1-AVERAGEIFS('Data(perSeason,perCrop)'!$E:$E,'Data(perSeason,perCrop)'!$S:$S,Indicators!$B66,'Data(perSeason,perCrop)'!$O:$O,BL$7,'Data(perSeason,perCrop)'!$C:$C,Indicators!BL$3,'Data(perSeason,perCrop)'!$R:$R,"IRRIGATED")/AVERAGEIFS('Data(perSeason,perCrop)'!$F:$F,'Data(perSeason,perCrop)'!$S:$S,Indicators!$B66,'Data(perSeason,perCrop)'!$O:$O,BL$7,'Data(perSeason,perCrop)'!$C:$C,Indicators!BL$3,'Data(perSeason,perCrop)'!$R:$R,"IRRIGATED"),"")</f>
        <v>0.28409090909090906</v>
      </c>
      <c r="BM66" s="8" t="str">
        <f>IF(BM19&gt;0,1-AVERAGEIFS('Data(perSeason,perCrop)'!$E:$E,'Data(perSeason,perCrop)'!$S:$S,Indicators!$B66,'Data(perSeason,perCrop)'!$O:$O,BM$7,'Data(perSeason,perCrop)'!$C:$C,Indicators!BM$3,'Data(perSeason,perCrop)'!$R:$R,"IRRIGATED")/AVERAGEIFS('Data(perSeason,perCrop)'!$F:$F,'Data(perSeason,perCrop)'!$S:$S,Indicators!$B66,'Data(perSeason,perCrop)'!$O:$O,BM$7,'Data(perSeason,perCrop)'!$C:$C,Indicators!BM$3,'Data(perSeason,perCrop)'!$R:$R,"IRRIGATED"),"")</f>
        <v/>
      </c>
      <c r="BN66" s="8">
        <f>IF(BN19&gt;0,1-AVERAGEIFS('Data(perSeason,perCrop)'!$E:$E,'Data(perSeason,perCrop)'!$S:$S,Indicators!$B66,'Data(perSeason,perCrop)'!$O:$O,BN$7,'Data(perSeason,perCrop)'!$C:$C,Indicators!BN$3,'Data(perSeason,perCrop)'!$R:$R,"IRRIGATED")/AVERAGEIFS('Data(perSeason,perCrop)'!$F:$F,'Data(perSeason,perCrop)'!$S:$S,Indicators!$B66,'Data(perSeason,perCrop)'!$O:$O,BN$7,'Data(perSeason,perCrop)'!$C:$C,Indicators!BN$3,'Data(perSeason,perCrop)'!$R:$R,"IRRIGATED"),"")</f>
        <v>0.19594594594594594</v>
      </c>
      <c r="BO66" s="8" t="str">
        <f>IF(BO19&gt;0,1-AVERAGEIFS('Data(perSeason,perCrop)'!$E:$E,'Data(perSeason,perCrop)'!$S:$S,Indicators!$B66,'Data(perSeason,perCrop)'!$O:$O,BO$7,'Data(perSeason,perCrop)'!$C:$C,Indicators!BO$3,'Data(perSeason,perCrop)'!$R:$R,"IRRIGATED")/AVERAGEIFS('Data(perSeason,perCrop)'!$F:$F,'Data(perSeason,perCrop)'!$S:$S,Indicators!$B66,'Data(perSeason,perCrop)'!$O:$O,BO$7,'Data(perSeason,perCrop)'!$C:$C,Indicators!BO$3,'Data(perSeason,perCrop)'!$R:$R,"IRRIGATED"),"")</f>
        <v/>
      </c>
      <c r="BP66" s="8" t="str">
        <f>IF(BP19&gt;0,1-AVERAGEIFS('Data(perSeason,perCrop)'!$E:$E,'Data(perSeason,perCrop)'!$S:$S,Indicators!$B66,'Data(perSeason,perCrop)'!$O:$O,BP$7,'Data(perSeason,perCrop)'!$C:$C,Indicators!BP$3,'Data(perSeason,perCrop)'!$R:$R,"IRRIGATED")/AVERAGEIFS('Data(perSeason,perCrop)'!$F:$F,'Data(perSeason,perCrop)'!$S:$S,Indicators!$B66,'Data(perSeason,perCrop)'!$O:$O,BP$7,'Data(perSeason,perCrop)'!$C:$C,Indicators!BP$3,'Data(perSeason,perCrop)'!$R:$R,"IRRIGATED"),"")</f>
        <v/>
      </c>
      <c r="BQ66" s="8">
        <f>IF(BQ19&gt;0,1-AVERAGEIFS('Data(perSeason,perCrop)'!$E:$E,'Data(perSeason,perCrop)'!$S:$S,Indicators!$B66,'Data(perSeason,perCrop)'!$O:$O,BQ$7,'Data(perSeason,perCrop)'!$C:$C,Indicators!BQ$3,'Data(perSeason,perCrop)'!$R:$R,"IRRIGATED")/AVERAGEIFS('Data(perSeason,perCrop)'!$F:$F,'Data(perSeason,perCrop)'!$S:$S,Indicators!$B66,'Data(perSeason,perCrop)'!$O:$O,BQ$7,'Data(perSeason,perCrop)'!$C:$C,Indicators!BQ$3,'Data(perSeason,perCrop)'!$R:$R,"IRRIGATED"),"")</f>
        <v>0.21703296703296704</v>
      </c>
      <c r="BR66" s="8" t="str">
        <f>IF(BR19&gt;0,1-AVERAGEIFS('Data(perSeason,perCrop)'!$E:$E,'Data(perSeason,perCrop)'!$S:$S,Indicators!$B66,'Data(perSeason,perCrop)'!$O:$O,BR$7,'Data(perSeason,perCrop)'!$C:$C,Indicators!BR$3,'Data(perSeason,perCrop)'!$R:$R,"IRRIGATED")/AVERAGEIFS('Data(perSeason,perCrop)'!$F:$F,'Data(perSeason,perCrop)'!$S:$S,Indicators!$B66,'Data(perSeason,perCrop)'!$O:$O,BR$7,'Data(perSeason,perCrop)'!$C:$C,Indicators!BR$3,'Data(perSeason,perCrop)'!$R:$R,"IRRIGATED"),"")</f>
        <v/>
      </c>
      <c r="BS66" s="8" t="str">
        <f>IF(BS19&gt;0,1-AVERAGEIFS('Data(perSeason,perCrop)'!$E:$E,'Data(perSeason,perCrop)'!$S:$S,Indicators!$B66,'Data(perSeason,perCrop)'!$O:$O,BS$7,'Data(perSeason,perCrop)'!$C:$C,Indicators!BS$3,'Data(perSeason,perCrop)'!$R:$R,"IRRIGATED")/AVERAGEIFS('Data(perSeason,perCrop)'!$F:$F,'Data(perSeason,perCrop)'!$S:$S,Indicators!$B66,'Data(perSeason,perCrop)'!$O:$O,BS$7,'Data(perSeason,perCrop)'!$C:$C,Indicators!BS$3,'Data(perSeason,perCrop)'!$R:$R,"IRRIGATED"),"")</f>
        <v/>
      </c>
      <c r="BT66" s="8" t="str">
        <f>IF(BT19&gt;0,1-AVERAGEIFS('Data(perSeason,perCrop)'!$E:$E,'Data(perSeason,perCrop)'!$S:$S,Indicators!$B66,'Data(perSeason,perCrop)'!$O:$O,BT$7,'Data(perSeason,perCrop)'!$C:$C,Indicators!BT$3,'Data(perSeason,perCrop)'!$R:$R,"IRRIGATED")/AVERAGEIFS('Data(perSeason,perCrop)'!$F:$F,'Data(perSeason,perCrop)'!$S:$S,Indicators!$B66,'Data(perSeason,perCrop)'!$O:$O,BT$7,'Data(perSeason,perCrop)'!$C:$C,Indicators!BT$3,'Data(perSeason,perCrop)'!$R:$R,"IRRIGATED"),"")</f>
        <v/>
      </c>
      <c r="BU66" s="8" t="str">
        <f>IF(BU19&gt;0,1-AVERAGEIFS('Data(perSeason,perCrop)'!$E:$E,'Data(perSeason,perCrop)'!$S:$S,Indicators!$B66,'Data(perSeason,perCrop)'!$O:$O,BU$7,'Data(perSeason,perCrop)'!$C:$C,Indicators!BU$3,'Data(perSeason,perCrop)'!$R:$R,"IRRIGATED")/AVERAGEIFS('Data(perSeason,perCrop)'!$F:$F,'Data(perSeason,perCrop)'!$S:$S,Indicators!$B66,'Data(perSeason,perCrop)'!$O:$O,BU$7,'Data(perSeason,perCrop)'!$C:$C,Indicators!BU$3,'Data(perSeason,perCrop)'!$R:$R,"IRRIGATED"),"")</f>
        <v/>
      </c>
      <c r="BV66" s="8" t="str">
        <f>IF(BV19&gt;0,1-AVERAGEIFS('Data(perSeason,perCrop)'!$E:$E,'Data(perSeason,perCrop)'!$S:$S,Indicators!$B66,'Data(perSeason,perCrop)'!$O:$O,BV$7,'Data(perSeason,perCrop)'!$C:$C,Indicators!BV$3,'Data(perSeason,perCrop)'!$R:$R,"IRRIGATED")/AVERAGEIFS('Data(perSeason,perCrop)'!$F:$F,'Data(perSeason,perCrop)'!$S:$S,Indicators!$B66,'Data(perSeason,perCrop)'!$O:$O,BV$7,'Data(perSeason,perCrop)'!$C:$C,Indicators!BV$3,'Data(perSeason,perCrop)'!$R:$R,"IRRIGATED"),"")</f>
        <v/>
      </c>
      <c r="BW66" s="8" t="str">
        <f>IF(BW19&gt;0,1-AVERAGEIFS('Data(perSeason,perCrop)'!$E:$E,'Data(perSeason,perCrop)'!$S:$S,Indicators!$B66,'Data(perSeason,perCrop)'!$O:$O,BW$7,'Data(perSeason,perCrop)'!$C:$C,Indicators!BW$3,'Data(perSeason,perCrop)'!$R:$R,"IRRIGATED")/AVERAGEIFS('Data(perSeason,perCrop)'!$F:$F,'Data(perSeason,perCrop)'!$S:$S,Indicators!$B66,'Data(perSeason,perCrop)'!$O:$O,BW$7,'Data(perSeason,perCrop)'!$C:$C,Indicators!BW$3,'Data(perSeason,perCrop)'!$R:$R,"IRRIGATED"),"")</f>
        <v/>
      </c>
      <c r="BX66" s="8" t="str">
        <f>IF(BX19&gt;0,1-AVERAGEIFS('Data(perSeason,perCrop)'!$E:$E,'Data(perSeason,perCrop)'!$S:$S,Indicators!$B66,'Data(perSeason,perCrop)'!$O:$O,BX$7,'Data(perSeason,perCrop)'!$C:$C,Indicators!BX$3,'Data(perSeason,perCrop)'!$R:$R,"IRRIGATED")/AVERAGEIFS('Data(perSeason,perCrop)'!$F:$F,'Data(perSeason,perCrop)'!$S:$S,Indicators!$B66,'Data(perSeason,perCrop)'!$O:$O,BX$7,'Data(perSeason,perCrop)'!$C:$C,Indicators!BX$3,'Data(perSeason,perCrop)'!$R:$R,"IRRIGATED"),"")</f>
        <v/>
      </c>
      <c r="BY66" s="8" t="str">
        <f>IF(BY19&gt;0,1-AVERAGEIFS('Data(perSeason,perCrop)'!$E:$E,'Data(perSeason,perCrop)'!$S:$S,Indicators!$B66,'Data(perSeason,perCrop)'!$O:$O,BY$7,'Data(perSeason,perCrop)'!$C:$C,Indicators!BY$3,'Data(perSeason,perCrop)'!$R:$R,"IRRIGATED")/AVERAGEIFS('Data(perSeason,perCrop)'!$F:$F,'Data(perSeason,perCrop)'!$S:$S,Indicators!$B66,'Data(perSeason,perCrop)'!$O:$O,BY$7,'Data(perSeason,perCrop)'!$C:$C,Indicators!BY$3,'Data(perSeason,perCrop)'!$R:$R,"IRRIGATED"),"")</f>
        <v/>
      </c>
      <c r="BZ66" s="8" t="str">
        <f>IF(BZ19&gt;0,1-AVERAGEIFS('Data(perSeason,perCrop)'!$E:$E,'Data(perSeason,perCrop)'!$S:$S,Indicators!$B66,'Data(perSeason,perCrop)'!$O:$O,BZ$7,'Data(perSeason,perCrop)'!$C:$C,Indicators!BZ$3,'Data(perSeason,perCrop)'!$R:$R,"IRRIGATED")/AVERAGEIFS('Data(perSeason,perCrop)'!$F:$F,'Data(perSeason,perCrop)'!$S:$S,Indicators!$B66,'Data(perSeason,perCrop)'!$O:$O,BZ$7,'Data(perSeason,perCrop)'!$C:$C,Indicators!BZ$3,'Data(perSeason,perCrop)'!$R:$R,"IRRIGATED"),"")</f>
        <v/>
      </c>
      <c r="CA66" s="8" t="str">
        <f>IF(CA19&gt;0,1-AVERAGEIFS('Data(perSeason,perCrop)'!$E:$E,'Data(perSeason,perCrop)'!$S:$S,Indicators!$B66,'Data(perSeason,perCrop)'!$O:$O,CA$7,'Data(perSeason,perCrop)'!$C:$C,Indicators!CA$3,'Data(perSeason,perCrop)'!$R:$R,"IRRIGATED")/AVERAGEIFS('Data(perSeason,perCrop)'!$F:$F,'Data(perSeason,perCrop)'!$S:$S,Indicators!$B66,'Data(perSeason,perCrop)'!$O:$O,CA$7,'Data(perSeason,perCrop)'!$C:$C,Indicators!CA$3,'Data(perSeason,perCrop)'!$R:$R,"IRRIGATED"),"")</f>
        <v/>
      </c>
      <c r="CB66" s="8" t="str">
        <f>IF(CB19&gt;0,1-AVERAGEIFS('Data(perSeason,perCrop)'!$E:$E,'Data(perSeason,perCrop)'!$S:$S,Indicators!$B66,'Data(perSeason,perCrop)'!$O:$O,CB$7,'Data(perSeason,perCrop)'!$C:$C,Indicators!CB$3,'Data(perSeason,perCrop)'!$R:$R,"IRRIGATED")/AVERAGEIFS('Data(perSeason,perCrop)'!$F:$F,'Data(perSeason,perCrop)'!$S:$S,Indicators!$B66,'Data(perSeason,perCrop)'!$O:$O,CB$7,'Data(perSeason,perCrop)'!$C:$C,Indicators!CB$3,'Data(perSeason,perCrop)'!$R:$R,"IRRIGATED"),"")</f>
        <v/>
      </c>
      <c r="CC66" s="8" t="str">
        <f>IF(CC19&gt;0,1-AVERAGEIFS('Data(perSeason,perCrop)'!$E:$E,'Data(perSeason,perCrop)'!$S:$S,Indicators!$B66,'Data(perSeason,perCrop)'!$O:$O,CC$7,'Data(perSeason,perCrop)'!$C:$C,Indicators!CC$3,'Data(perSeason,perCrop)'!$R:$R,"IRRIGATED")/AVERAGEIFS('Data(perSeason,perCrop)'!$F:$F,'Data(perSeason,perCrop)'!$S:$S,Indicators!$B66,'Data(perSeason,perCrop)'!$O:$O,CC$7,'Data(perSeason,perCrop)'!$C:$C,Indicators!CC$3,'Data(perSeason,perCrop)'!$R:$R,"IRRIGATED"),"")</f>
        <v/>
      </c>
      <c r="CD66" s="8" t="str">
        <f>IF(CD19&gt;0,1-AVERAGEIFS('Data(perSeason,perCrop)'!$E:$E,'Data(perSeason,perCrop)'!$S:$S,Indicators!$B66,'Data(perSeason,perCrop)'!$O:$O,CD$7,'Data(perSeason,perCrop)'!$C:$C,Indicators!CD$3,'Data(perSeason,perCrop)'!$R:$R,"IRRIGATED")/AVERAGEIFS('Data(perSeason,perCrop)'!$F:$F,'Data(perSeason,perCrop)'!$S:$S,Indicators!$B66,'Data(perSeason,perCrop)'!$O:$O,CD$7,'Data(perSeason,perCrop)'!$C:$C,Indicators!CD$3,'Data(perSeason,perCrop)'!$R:$R,"IRRIGATED"),"")</f>
        <v/>
      </c>
      <c r="CE66" s="8" t="str">
        <f>IF(CE19&gt;0,1-AVERAGEIFS('Data(perSeason,perCrop)'!$E:$E,'Data(perSeason,perCrop)'!$S:$S,Indicators!$B66,'Data(perSeason,perCrop)'!$O:$O,CE$7,'Data(perSeason,perCrop)'!$C:$C,Indicators!CE$3,'Data(perSeason,perCrop)'!$R:$R,"IRRIGATED")/AVERAGEIFS('Data(perSeason,perCrop)'!$F:$F,'Data(perSeason,perCrop)'!$S:$S,Indicators!$B66,'Data(perSeason,perCrop)'!$O:$O,CE$7,'Data(perSeason,perCrop)'!$C:$C,Indicators!CE$3,'Data(perSeason,perCrop)'!$R:$R,"IRRIGATED"),"")</f>
        <v/>
      </c>
      <c r="CF66" s="8" t="str">
        <f>IF(CF19&gt;0,1-AVERAGEIFS('Data(perSeason,perCrop)'!$E:$E,'Data(perSeason,perCrop)'!$S:$S,Indicators!$B66,'Data(perSeason,perCrop)'!$O:$O,CF$7,'Data(perSeason,perCrop)'!$C:$C,Indicators!CF$3,'Data(perSeason,perCrop)'!$R:$R,"IRRIGATED")/AVERAGEIFS('Data(perSeason,perCrop)'!$F:$F,'Data(perSeason,perCrop)'!$S:$S,Indicators!$B66,'Data(perSeason,perCrop)'!$O:$O,CF$7,'Data(perSeason,perCrop)'!$C:$C,Indicators!CF$3,'Data(perSeason,perCrop)'!$R:$R,"IRRIGATED"),"")</f>
        <v/>
      </c>
      <c r="CG66" s="8" t="str">
        <f>IF(CG19&gt;0,1-AVERAGEIFS('Data(perSeason,perCrop)'!$E:$E,'Data(perSeason,perCrop)'!$S:$S,Indicators!$B66,'Data(perSeason,perCrop)'!$O:$O,CG$7,'Data(perSeason,perCrop)'!$C:$C,Indicators!CG$3,'Data(perSeason,perCrop)'!$R:$R,"IRRIGATED")/AVERAGEIFS('Data(perSeason,perCrop)'!$F:$F,'Data(perSeason,perCrop)'!$S:$S,Indicators!$B66,'Data(perSeason,perCrop)'!$O:$O,CG$7,'Data(perSeason,perCrop)'!$C:$C,Indicators!CG$3,'Data(perSeason,perCrop)'!$R:$R,"IRRIGATED"),"")</f>
        <v/>
      </c>
      <c r="CH66" s="8" t="str">
        <f>IF(CH19&gt;0,1-AVERAGEIFS('Data(perSeason,perCrop)'!$E:$E,'Data(perSeason,perCrop)'!$S:$S,Indicators!$B66,'Data(perSeason,perCrop)'!$O:$O,CH$7,'Data(perSeason,perCrop)'!$C:$C,Indicators!CH$3,'Data(perSeason,perCrop)'!$R:$R,"IRRIGATED")/AVERAGEIFS('Data(perSeason,perCrop)'!$F:$F,'Data(perSeason,perCrop)'!$S:$S,Indicators!$B66,'Data(perSeason,perCrop)'!$O:$O,CH$7,'Data(perSeason,perCrop)'!$C:$C,Indicators!CH$3,'Data(perSeason,perCrop)'!$R:$R,"IRRIGATED"),"")</f>
        <v/>
      </c>
      <c r="CI66" s="8" t="str">
        <f>IF(CI19&gt;0,1-AVERAGEIFS('Data(perSeason,perCrop)'!$E:$E,'Data(perSeason,perCrop)'!$S:$S,Indicators!$B66,'Data(perSeason,perCrop)'!$O:$O,CI$7,'Data(perSeason,perCrop)'!$C:$C,Indicators!CI$3,'Data(perSeason,perCrop)'!$R:$R,"IRRIGATED")/AVERAGEIFS('Data(perSeason,perCrop)'!$F:$F,'Data(perSeason,perCrop)'!$S:$S,Indicators!$B66,'Data(perSeason,perCrop)'!$O:$O,CI$7,'Data(perSeason,perCrop)'!$C:$C,Indicators!CI$3,'Data(perSeason,perCrop)'!$R:$R,"IRRIGATED"),"")</f>
        <v/>
      </c>
      <c r="CJ66" s="8" t="str">
        <f>IF(CJ19&gt;0,1-AVERAGEIFS('Data(perSeason,perCrop)'!$E:$E,'Data(perSeason,perCrop)'!$S:$S,Indicators!$B66,'Data(perSeason,perCrop)'!$O:$O,CJ$7,'Data(perSeason,perCrop)'!$C:$C,Indicators!CJ$3,'Data(perSeason,perCrop)'!$R:$R,"IRRIGATED")/AVERAGEIFS('Data(perSeason,perCrop)'!$F:$F,'Data(perSeason,perCrop)'!$S:$S,Indicators!$B66,'Data(perSeason,perCrop)'!$O:$O,CJ$7,'Data(perSeason,perCrop)'!$C:$C,Indicators!CJ$3,'Data(perSeason,perCrop)'!$R:$R,"IRRIGATED"),"")</f>
        <v/>
      </c>
      <c r="CK66" s="8" t="str">
        <f>IF(CK19&gt;0,1-AVERAGEIFS('Data(perSeason,perCrop)'!$E:$E,'Data(perSeason,perCrop)'!$S:$S,Indicators!$B66,'Data(perSeason,perCrop)'!$O:$O,CK$7,'Data(perSeason,perCrop)'!$C:$C,Indicators!CK$3,'Data(perSeason,perCrop)'!$R:$R,"IRRIGATED")/AVERAGEIFS('Data(perSeason,perCrop)'!$F:$F,'Data(perSeason,perCrop)'!$S:$S,Indicators!$B66,'Data(perSeason,perCrop)'!$O:$O,CK$7,'Data(perSeason,perCrop)'!$C:$C,Indicators!CK$3,'Data(perSeason,perCrop)'!$R:$R,"IRRIGATED"),"")</f>
        <v/>
      </c>
      <c r="CL66" s="8" t="str">
        <f>IF(CL19&gt;0,1-AVERAGEIFS('Data(perSeason,perCrop)'!$E:$E,'Data(perSeason,perCrop)'!$S:$S,Indicators!$B66,'Data(perSeason,perCrop)'!$O:$O,CL$7,'Data(perSeason,perCrop)'!$C:$C,Indicators!CL$3,'Data(perSeason,perCrop)'!$R:$R,"IRRIGATED")/AVERAGEIFS('Data(perSeason,perCrop)'!$F:$F,'Data(perSeason,perCrop)'!$S:$S,Indicators!$B66,'Data(perSeason,perCrop)'!$O:$O,CL$7,'Data(perSeason,perCrop)'!$C:$C,Indicators!CL$3,'Data(perSeason,perCrop)'!$R:$R,"IRRIGATED"),"")</f>
        <v/>
      </c>
      <c r="CM66" s="8" t="str">
        <f>IF(CM19&gt;0,1-AVERAGEIFS('Data(perSeason,perCrop)'!$E:$E,'Data(perSeason,perCrop)'!$S:$S,Indicators!$B66,'Data(perSeason,perCrop)'!$O:$O,CM$7,'Data(perSeason,perCrop)'!$C:$C,Indicators!CM$3,'Data(perSeason,perCrop)'!$R:$R,"IRRIGATED")/AVERAGEIFS('Data(perSeason,perCrop)'!$F:$F,'Data(perSeason,perCrop)'!$S:$S,Indicators!$B66,'Data(perSeason,perCrop)'!$O:$O,CM$7,'Data(perSeason,perCrop)'!$C:$C,Indicators!CM$3,'Data(perSeason,perCrop)'!$R:$R,"IRRIGATED"),"")</f>
        <v/>
      </c>
      <c r="CN66" s="8" t="str">
        <f>IF(CN19&gt;0,1-AVERAGEIFS('Data(perSeason,perCrop)'!$E:$E,'Data(perSeason,perCrop)'!$S:$S,Indicators!$B66,'Data(perSeason,perCrop)'!$O:$O,CN$7,'Data(perSeason,perCrop)'!$C:$C,Indicators!CN$3,'Data(perSeason,perCrop)'!$R:$R,"IRRIGATED")/AVERAGEIFS('Data(perSeason,perCrop)'!$F:$F,'Data(perSeason,perCrop)'!$S:$S,Indicators!$B66,'Data(perSeason,perCrop)'!$O:$O,CN$7,'Data(perSeason,perCrop)'!$C:$C,Indicators!CN$3,'Data(perSeason,perCrop)'!$R:$R,"IRRIGATED"),"")</f>
        <v/>
      </c>
      <c r="CO66" s="8" t="str">
        <f>IF(CO19&gt;0,1-AVERAGEIFS('Data(perSeason,perCrop)'!$E:$E,'Data(perSeason,perCrop)'!$S:$S,Indicators!$B66,'Data(perSeason,perCrop)'!$O:$O,CO$7,'Data(perSeason,perCrop)'!$C:$C,Indicators!CO$3,'Data(perSeason,perCrop)'!$R:$R,"IRRIGATED")/AVERAGEIFS('Data(perSeason,perCrop)'!$F:$F,'Data(perSeason,perCrop)'!$S:$S,Indicators!$B66,'Data(perSeason,perCrop)'!$O:$O,CO$7,'Data(perSeason,perCrop)'!$C:$C,Indicators!CO$3,'Data(perSeason,perCrop)'!$R:$R,"IRRIGATED"),"")</f>
        <v/>
      </c>
      <c r="CP66" s="8">
        <f>IF(CP19&gt;0,1-AVERAGEIFS('Data(perSeason,perCrop)'!$E:$E,'Data(perSeason,perCrop)'!$S:$S,Indicators!$B66,'Data(perSeason,perCrop)'!$O:$O,CP$7,'Data(perSeason,perCrop)'!$C:$C,Indicators!CP$3,'Data(perSeason,perCrop)'!$R:$R,"IRRIGATED")/AVERAGEIFS('Data(perSeason,perCrop)'!$F:$F,'Data(perSeason,perCrop)'!$S:$S,Indicators!$B66,'Data(perSeason,perCrop)'!$O:$O,CP$7,'Data(perSeason,perCrop)'!$C:$C,Indicators!CP$3,'Data(perSeason,perCrop)'!$R:$R,"IRRIGATED"),"")</f>
        <v>0.19210053859964094</v>
      </c>
      <c r="CQ66" s="8">
        <f>IF(CQ19&gt;0,1-AVERAGEIFS('Data(perSeason,perCrop)'!$E:$E,'Data(perSeason,perCrop)'!$S:$S,Indicators!$B66,'Data(perSeason,perCrop)'!$O:$O,CQ$7,'Data(perSeason,perCrop)'!$C:$C,Indicators!CQ$3,'Data(perSeason,perCrop)'!$R:$R,"IRRIGATED")/AVERAGEIFS('Data(perSeason,perCrop)'!$F:$F,'Data(perSeason,perCrop)'!$S:$S,Indicators!$B66,'Data(perSeason,perCrop)'!$O:$O,CQ$7,'Data(perSeason,perCrop)'!$C:$C,Indicators!CQ$3,'Data(perSeason,perCrop)'!$R:$R,"IRRIGATED"),"")</f>
        <v>0.16470588235294115</v>
      </c>
      <c r="CR66" s="8" t="str">
        <f>IF(CR19&gt;0,1-AVERAGEIFS('Data(perSeason,perCrop)'!$E:$E,'Data(perSeason,perCrop)'!$S:$S,Indicators!$B66,'Data(perSeason,perCrop)'!$O:$O,CR$7,'Data(perSeason,perCrop)'!$C:$C,Indicators!CR$3,'Data(perSeason,perCrop)'!$R:$R,"IRRIGATED")/AVERAGEIFS('Data(perSeason,perCrop)'!$F:$F,'Data(perSeason,perCrop)'!$S:$S,Indicators!$B66,'Data(perSeason,perCrop)'!$O:$O,CR$7,'Data(perSeason,perCrop)'!$C:$C,Indicators!CR$3,'Data(perSeason,perCrop)'!$R:$R,"IRRIGATED"),"")</f>
        <v/>
      </c>
      <c r="CS66" s="8">
        <f>IF(CS19&gt;0,1-AVERAGEIFS('Data(perSeason,perCrop)'!$E:$E,'Data(perSeason,perCrop)'!$S:$S,Indicators!$B66,'Data(perSeason,perCrop)'!$O:$O,CS$7,'Data(perSeason,perCrop)'!$C:$C,Indicators!CS$3,'Data(perSeason,perCrop)'!$R:$R,"IRRIGATED")/AVERAGEIFS('Data(perSeason,perCrop)'!$F:$F,'Data(perSeason,perCrop)'!$S:$S,Indicators!$B66,'Data(perSeason,perCrop)'!$O:$O,CS$7,'Data(perSeason,perCrop)'!$C:$C,Indicators!CS$3,'Data(perSeason,perCrop)'!$R:$R,"IRRIGATED"),"")</f>
        <v>0.23741007194244601</v>
      </c>
      <c r="CT66" s="8" t="str">
        <f>IF(CT19&gt;0,1-AVERAGEIFS('Data(perSeason,perCrop)'!$E:$E,'Data(perSeason,perCrop)'!$S:$S,Indicators!$B66,'Data(perSeason,perCrop)'!$O:$O,CT$7,'Data(perSeason,perCrop)'!$C:$C,Indicators!CT$3,'Data(perSeason,perCrop)'!$R:$R,"IRRIGATED")/AVERAGEIFS('Data(perSeason,perCrop)'!$F:$F,'Data(perSeason,perCrop)'!$S:$S,Indicators!$B66,'Data(perSeason,perCrop)'!$O:$O,CT$7,'Data(perSeason,perCrop)'!$C:$C,Indicators!CT$3,'Data(perSeason,perCrop)'!$R:$R,"IRRIGATED"),"")</f>
        <v/>
      </c>
      <c r="CU66" s="8" t="str">
        <f>IF(CU19&gt;0,1-AVERAGEIFS('Data(perSeason,perCrop)'!$E:$E,'Data(perSeason,perCrop)'!$S:$S,Indicators!$B66,'Data(perSeason,perCrop)'!$O:$O,CU$7,'Data(perSeason,perCrop)'!$C:$C,Indicators!CU$3,'Data(perSeason,perCrop)'!$R:$R,"IRRIGATED")/AVERAGEIFS('Data(perSeason,perCrop)'!$F:$F,'Data(perSeason,perCrop)'!$S:$S,Indicators!$B66,'Data(perSeason,perCrop)'!$O:$O,CU$7,'Data(perSeason,perCrop)'!$C:$C,Indicators!CU$3,'Data(perSeason,perCrop)'!$R:$R,"IRRIGATED"),"")</f>
        <v/>
      </c>
      <c r="CV66" s="8">
        <f>IF(CV19&gt;0,1-AVERAGEIFS('Data(perSeason,perCrop)'!$E:$E,'Data(perSeason,perCrop)'!$S:$S,Indicators!$B66,'Data(perSeason,perCrop)'!$O:$O,CV$7,'Data(perSeason,perCrop)'!$C:$C,Indicators!CV$3,'Data(perSeason,perCrop)'!$R:$R,"IRRIGATED")/AVERAGEIFS('Data(perSeason,perCrop)'!$F:$F,'Data(perSeason,perCrop)'!$S:$S,Indicators!$B66,'Data(perSeason,perCrop)'!$O:$O,CV$7,'Data(perSeason,perCrop)'!$C:$C,Indicators!CV$3,'Data(perSeason,perCrop)'!$R:$R,"IRRIGATED"),"")</f>
        <v>0.23984526112185689</v>
      </c>
      <c r="CW66" s="8" t="str">
        <f>IF(CW19&gt;0,1-AVERAGEIFS('Data(perSeason,perCrop)'!$E:$E,'Data(perSeason,perCrop)'!$S:$S,Indicators!$B66,'Data(perSeason,perCrop)'!$O:$O,CW$7,'Data(perSeason,perCrop)'!$C:$C,Indicators!CW$3,'Data(perSeason,perCrop)'!$R:$R,"IRRIGATED")/AVERAGEIFS('Data(perSeason,perCrop)'!$F:$F,'Data(perSeason,perCrop)'!$S:$S,Indicators!$B66,'Data(perSeason,perCrop)'!$O:$O,CW$7,'Data(perSeason,perCrop)'!$C:$C,Indicators!CW$3,'Data(perSeason,perCrop)'!$R:$R,"IRRIGATED"),"")</f>
        <v/>
      </c>
      <c r="CX66" s="8" t="str">
        <f>IF(CX19&gt;0,1-AVERAGEIFS('Data(perSeason,perCrop)'!$E:$E,'Data(perSeason,perCrop)'!$S:$S,Indicators!$B66,'Data(perSeason,perCrop)'!$O:$O,CX$7,'Data(perSeason,perCrop)'!$C:$C,Indicators!CX$3,'Data(perSeason,perCrop)'!$R:$R,"IRRIGATED")/AVERAGEIFS('Data(perSeason,perCrop)'!$F:$F,'Data(perSeason,perCrop)'!$S:$S,Indicators!$B66,'Data(perSeason,perCrop)'!$O:$O,CX$7,'Data(perSeason,perCrop)'!$C:$C,Indicators!CX$3,'Data(perSeason,perCrop)'!$R:$R,"IRRIGATED"),"")</f>
        <v/>
      </c>
      <c r="CY66" s="8" t="str">
        <f>IF(CY19&gt;0,1-AVERAGEIFS('Data(perSeason,perCrop)'!$E:$E,'Data(perSeason,perCrop)'!$S:$S,Indicators!$B66,'Data(perSeason,perCrop)'!$O:$O,CY$7,'Data(perSeason,perCrop)'!$C:$C,Indicators!CY$3,'Data(perSeason,perCrop)'!$R:$R,"IRRIGATED")/AVERAGEIFS('Data(perSeason,perCrop)'!$F:$F,'Data(perSeason,perCrop)'!$S:$S,Indicators!$B66,'Data(perSeason,perCrop)'!$O:$O,CY$7,'Data(perSeason,perCrop)'!$C:$C,Indicators!CY$3,'Data(perSeason,perCrop)'!$R:$R,"IRRIGATED"),"")</f>
        <v/>
      </c>
      <c r="CZ66" s="8" t="str">
        <f>IF(CZ19&gt;0,1-AVERAGEIFS('Data(perSeason,perCrop)'!$E:$E,'Data(perSeason,perCrop)'!$S:$S,Indicators!$B66,'Data(perSeason,perCrop)'!$O:$O,CZ$7,'Data(perSeason,perCrop)'!$C:$C,Indicators!CZ$3,'Data(perSeason,perCrop)'!$R:$R,"IRRIGATED")/AVERAGEIFS('Data(perSeason,perCrop)'!$F:$F,'Data(perSeason,perCrop)'!$S:$S,Indicators!$B66,'Data(perSeason,perCrop)'!$O:$O,CZ$7,'Data(perSeason,perCrop)'!$C:$C,Indicators!CZ$3,'Data(perSeason,perCrop)'!$R:$R,"IRRIGATED"),"")</f>
        <v/>
      </c>
      <c r="DA66" s="8" t="str">
        <f>IF(DA19&gt;0,1-AVERAGEIFS('Data(perSeason,perCrop)'!$E:$E,'Data(perSeason,perCrop)'!$S:$S,Indicators!$B66,'Data(perSeason,perCrop)'!$O:$O,DA$7,'Data(perSeason,perCrop)'!$C:$C,Indicators!DA$3,'Data(perSeason,perCrop)'!$R:$R,"IRRIGATED")/AVERAGEIFS('Data(perSeason,perCrop)'!$F:$F,'Data(perSeason,perCrop)'!$S:$S,Indicators!$B66,'Data(perSeason,perCrop)'!$O:$O,DA$7,'Data(perSeason,perCrop)'!$C:$C,Indicators!DA$3,'Data(perSeason,perCrop)'!$R:$R,"IRRIGATED"),"")</f>
        <v/>
      </c>
      <c r="DB66" s="8" t="str">
        <f>IF(DB19&gt;0,1-AVERAGEIFS('Data(perSeason,perCrop)'!$E:$E,'Data(perSeason,perCrop)'!$S:$S,Indicators!$B66,'Data(perSeason,perCrop)'!$O:$O,DB$7,'Data(perSeason,perCrop)'!$C:$C,Indicators!DB$3,'Data(perSeason,perCrop)'!$R:$R,"IRRIGATED")/AVERAGEIFS('Data(perSeason,perCrop)'!$F:$F,'Data(perSeason,perCrop)'!$S:$S,Indicators!$B66,'Data(perSeason,perCrop)'!$O:$O,DB$7,'Data(perSeason,perCrop)'!$C:$C,Indicators!DB$3,'Data(perSeason,perCrop)'!$R:$R,"IRRIGATED"),"")</f>
        <v/>
      </c>
      <c r="DC66" s="8" t="str">
        <f>IF(DC19&gt;0,1-AVERAGEIFS('Data(perSeason,perCrop)'!$E:$E,'Data(perSeason,perCrop)'!$S:$S,Indicators!$B66,'Data(perSeason,perCrop)'!$O:$O,DC$7,'Data(perSeason,perCrop)'!$C:$C,Indicators!DC$3,'Data(perSeason,perCrop)'!$R:$R,"IRRIGATED")/AVERAGEIFS('Data(perSeason,perCrop)'!$F:$F,'Data(perSeason,perCrop)'!$S:$S,Indicators!$B66,'Data(perSeason,perCrop)'!$O:$O,DC$7,'Data(perSeason,perCrop)'!$C:$C,Indicators!DC$3,'Data(perSeason,perCrop)'!$R:$R,"IRRIGATED"),"")</f>
        <v/>
      </c>
      <c r="DD66" s="8" t="str">
        <f>IF(DD19&gt;0,1-AVERAGEIFS('Data(perSeason,perCrop)'!$E:$E,'Data(perSeason,perCrop)'!$S:$S,Indicators!$B66,'Data(perSeason,perCrop)'!$O:$O,DD$7,'Data(perSeason,perCrop)'!$C:$C,Indicators!DD$3,'Data(perSeason,perCrop)'!$R:$R,"IRRIGATED")/AVERAGEIFS('Data(perSeason,perCrop)'!$F:$F,'Data(perSeason,perCrop)'!$S:$S,Indicators!$B66,'Data(perSeason,perCrop)'!$O:$O,DD$7,'Data(perSeason,perCrop)'!$C:$C,Indicators!DD$3,'Data(perSeason,perCrop)'!$R:$R,"IRRIGATED"),"")</f>
        <v/>
      </c>
      <c r="DE66" s="8" t="str">
        <f>IF(DE19&gt;0,1-AVERAGEIFS('Data(perSeason,perCrop)'!$E:$E,'Data(perSeason,perCrop)'!$S:$S,Indicators!$B66,'Data(perSeason,perCrop)'!$O:$O,DE$7,'Data(perSeason,perCrop)'!$C:$C,Indicators!DE$3,'Data(perSeason,perCrop)'!$R:$R,"IRRIGATED")/AVERAGEIFS('Data(perSeason,perCrop)'!$F:$F,'Data(perSeason,perCrop)'!$S:$S,Indicators!$B66,'Data(perSeason,perCrop)'!$O:$O,DE$7,'Data(perSeason,perCrop)'!$C:$C,Indicators!DE$3,'Data(perSeason,perCrop)'!$R:$R,"IRRIGATED"),"")</f>
        <v/>
      </c>
      <c r="DF66" s="8" t="str">
        <f>IF(DF19&gt;0,1-AVERAGEIFS('Data(perSeason,perCrop)'!$E:$E,'Data(perSeason,perCrop)'!$S:$S,Indicators!$B66,'Data(perSeason,perCrop)'!$O:$O,DF$7,'Data(perSeason,perCrop)'!$C:$C,Indicators!DF$3,'Data(perSeason,perCrop)'!$R:$R,"IRRIGATED")/AVERAGEIFS('Data(perSeason,perCrop)'!$F:$F,'Data(perSeason,perCrop)'!$S:$S,Indicators!$B66,'Data(perSeason,perCrop)'!$O:$O,DF$7,'Data(perSeason,perCrop)'!$C:$C,Indicators!DF$3,'Data(perSeason,perCrop)'!$R:$R,"IRRIGATED"),"")</f>
        <v/>
      </c>
      <c r="DG66" s="8" t="str">
        <f>IF(DG19&gt;0,1-AVERAGEIFS('Data(perSeason,perCrop)'!$E:$E,'Data(perSeason,perCrop)'!$S:$S,Indicators!$B66,'Data(perSeason,perCrop)'!$O:$O,DG$7,'Data(perSeason,perCrop)'!$C:$C,Indicators!DG$3,'Data(perSeason,perCrop)'!$R:$R,"IRRIGATED")/AVERAGEIFS('Data(perSeason,perCrop)'!$F:$F,'Data(perSeason,perCrop)'!$S:$S,Indicators!$B66,'Data(perSeason,perCrop)'!$O:$O,DG$7,'Data(perSeason,perCrop)'!$C:$C,Indicators!DG$3,'Data(perSeason,perCrop)'!$R:$R,"IRRIGATED"),"")</f>
        <v/>
      </c>
    </row>
    <row r="67" spans="1:111" x14ac:dyDescent="0.25">
      <c r="B67" s="5" t="s">
        <v>66</v>
      </c>
      <c r="C67" s="81">
        <f t="shared" ref="C67:F67" si="39">AVERAGE(C62:C66)</f>
        <v>0.19231769626290413</v>
      </c>
      <c r="D67" s="81">
        <f t="shared" si="39"/>
        <v>0.19819088074271637</v>
      </c>
      <c r="E67" s="81">
        <f t="shared" si="39"/>
        <v>0.17797806600404442</v>
      </c>
      <c r="F67" s="81">
        <f t="shared" si="39"/>
        <v>0.24726080901493902</v>
      </c>
      <c r="G67" s="11"/>
      <c r="H67" s="11"/>
      <c r="I67" s="5"/>
    </row>
    <row r="68" spans="1:111" ht="18.75" x14ac:dyDescent="0.3">
      <c r="A68" s="12" t="s">
        <v>2</v>
      </c>
      <c r="B68">
        <v>2018</v>
      </c>
      <c r="C68" s="8">
        <f>IF(COUNTIFS('Data(perSeason,perCrop)'!$S:$S,Indicators!$B68)&gt;0,AVERAGEIFS('Data(perSeason,perCrop)'!$H:$H,'Data(perSeason,perCrop)'!$S:$S,Indicators!$B68,'Data(perSeason,perCrop)'!$O:$O,Indicators!C$7,'Data(perSeason,perCrop)'!$R:$R,"IRRIGATED"),"")</f>
        <v>0.126172476181793</v>
      </c>
      <c r="D68" s="8">
        <f>IF(COUNTIFS('Data(perSeason,perCrop)'!$S:$S,Indicators!$B68)&gt;0,AVERAGEIFS('Data(perSeason,perCrop)'!$H:$H,'Data(perSeason,perCrop)'!$S:$S,Indicators!$B68,'Data(perSeason,perCrop)'!$O:$O,Indicators!D$7,'Data(perSeason,perCrop)'!$R:$R,"IRRIGATED"),"")</f>
        <v>4.0802421096639903E-2</v>
      </c>
      <c r="E68" s="8">
        <f>IF(COUNTIFS('Data(perSeason,perCrop)'!$S:$S,Indicators!$B68)&gt;0,AVERAGEIFS('Data(perSeason,perCrop)'!$H:$H,'Data(perSeason,perCrop)'!$S:$S,Indicators!$B68,'Data(perSeason,perCrop)'!$O:$O,Indicators!E$7,'Data(perSeason,perCrop)'!$R:$R,"IRRIGATED"),"")</f>
        <v>9.8095934790621203E-2</v>
      </c>
      <c r="F68" s="8">
        <f>IF(COUNTIFS('Data(perSeason,perCrop)'!$S:$S,Indicators!$B68)&gt;0,AVERAGEIFS('Data(perSeason,perCrop)'!$H:$H,'Data(perSeason,perCrop)'!$S:$S,Indicators!$B68,'Data(perSeason,perCrop)'!$O:$O,Indicators!F$7,'Data(perSeason,perCrop)'!$R:$R,"IRRIGATED"),"")</f>
        <v>8.9735727844073895E-2</v>
      </c>
      <c r="G68" s="8"/>
      <c r="H68" s="8"/>
      <c r="J68" s="2" t="s">
        <v>27</v>
      </c>
      <c r="K68" s="7">
        <f>AVERAGEIFS('Data(perSeason,perCrop)'!$E:$E,'Data(perSeason,perCrop)'!$S:$S,Indicators!$B68,'Data(perSeason,perCrop)'!$O:$O,Indicators!K$7,'Data(perSeason,perCrop)'!$C:$C,Indicators!K$3,'Data(perSeason,perCrop)'!$R:$R,"IRRIGATED")</f>
        <v>633</v>
      </c>
      <c r="L68" s="7" t="e">
        <f>AVERAGEIFS('Data(perSeason,perCrop)'!$E:$E,'Data(perSeason,perCrop)'!$S:$S,Indicators!$B68,'Data(perSeason,perCrop)'!$O:$O,Indicators!L$7,'Data(perSeason,perCrop)'!$C:$C,Indicators!L$3,'Data(perSeason,perCrop)'!$R:$R,"IRRIGATED")</f>
        <v>#DIV/0!</v>
      </c>
      <c r="M68" s="7" t="e">
        <f>AVERAGEIFS('Data(perSeason,perCrop)'!$E:$E,'Data(perSeason,perCrop)'!$S:$S,Indicators!$B68,'Data(perSeason,perCrop)'!$O:$O,Indicators!M$7,'Data(perSeason,perCrop)'!$C:$C,Indicators!M$3,'Data(perSeason,perCrop)'!$R:$R,"IRRIGATED")</f>
        <v>#DIV/0!</v>
      </c>
      <c r="N68" s="7">
        <f>AVERAGEIFS('Data(perSeason,perCrop)'!$E:$E,'Data(perSeason,perCrop)'!$S:$S,Indicators!$B68,'Data(perSeason,perCrop)'!$O:$O,Indicators!N$7,'Data(perSeason,perCrop)'!$C:$C,Indicators!N$3,'Data(perSeason,perCrop)'!$R:$R,"IRRIGATED")</f>
        <v>1041</v>
      </c>
      <c r="O68" s="7">
        <f>AVERAGEIFS('Data(perSeason,perCrop)'!$E:$E,'Data(perSeason,perCrop)'!$S:$S,Indicators!$B68,'Data(perSeason,perCrop)'!$O:$O,Indicators!O$7,'Data(perSeason,perCrop)'!$C:$C,Indicators!O$3,'Data(perSeason,perCrop)'!$R:$R,"IRRIGATED")</f>
        <v>496</v>
      </c>
      <c r="P68" s="7" t="e">
        <f>AVERAGEIFS('Data(perSeason,perCrop)'!$E:$E,'Data(perSeason,perCrop)'!$S:$S,Indicators!$B68,'Data(perSeason,perCrop)'!$O:$O,Indicators!P$7,'Data(perSeason,perCrop)'!$C:$C,Indicators!P$3,'Data(perSeason,perCrop)'!$R:$R,"IRRIGATED")</f>
        <v>#DIV/0!</v>
      </c>
      <c r="Q68" s="7">
        <f>AVERAGEIFS('Data(perSeason,perCrop)'!$E:$E,'Data(perSeason,perCrop)'!$S:$S,Indicators!$B68,'Data(perSeason,perCrop)'!$O:$O,Indicators!Q$7,'Data(perSeason,perCrop)'!$C:$C,Indicators!Q$3,'Data(perSeason,perCrop)'!$R:$R,"IRRIGATED")</f>
        <v>954</v>
      </c>
      <c r="R68" s="7" t="e">
        <f>AVERAGEIFS('Data(perSeason,perCrop)'!$E:$E,'Data(perSeason,perCrop)'!$S:$S,Indicators!$B68,'Data(perSeason,perCrop)'!$O:$O,Indicators!R$7,'Data(perSeason,perCrop)'!$C:$C,Indicators!R$3,'Data(perSeason,perCrop)'!$R:$R,"IRRIGATED")</f>
        <v>#DIV/0!</v>
      </c>
      <c r="S68" s="62" t="e">
        <f>AVERAGEIFS('Data(perSeason,perCrop)'!$E:$E,'Data(perSeason,perCrop)'!$S:$S,Indicators!$B68,'Data(perSeason,perCrop)'!$O:$O,Indicators!S$7,'Data(perSeason,perCrop)'!$C:$C,Indicators!S$3,'Data(perSeason,perCrop)'!$R:$R,"IRRIGATED")</f>
        <v>#DIV/0!</v>
      </c>
      <c r="T68" s="62">
        <f>AVERAGEIFS('Data(perSeason,perCrop)'!$E:$E,'Data(perSeason,perCrop)'!$S:$S,Indicators!$B68,'Data(perSeason,perCrop)'!$O:$O,Indicators!T$7,'Data(perSeason,perCrop)'!$C:$C,Indicators!T$3,'Data(perSeason,perCrop)'!$R:$R,"IRRIGATED")</f>
        <v>289</v>
      </c>
      <c r="U68" s="62" t="e">
        <f>AVERAGEIFS('Data(perSeason,perCrop)'!$E:$E,'Data(perSeason,perCrop)'!$S:$S,Indicators!$B68,'Data(perSeason,perCrop)'!$O:$O,Indicators!U$7,'Data(perSeason,perCrop)'!$C:$C,Indicators!U$3,'Data(perSeason,perCrop)'!$R:$R,"IRRIGATED")</f>
        <v>#DIV/0!</v>
      </c>
      <c r="V68" s="62" t="e">
        <f>AVERAGEIFS('Data(perSeason,perCrop)'!$E:$E,'Data(perSeason,perCrop)'!$S:$S,Indicators!$B68,'Data(perSeason,perCrop)'!$O:$O,Indicators!V$7,'Data(perSeason,perCrop)'!$C:$C,Indicators!V$3,'Data(perSeason,perCrop)'!$R:$R,"IRRIGATED")</f>
        <v>#DIV/0!</v>
      </c>
      <c r="W68" s="62" t="e">
        <f>AVERAGEIFS('Data(perSeason,perCrop)'!$E:$E,'Data(perSeason,perCrop)'!$S:$S,Indicators!$B68,'Data(perSeason,perCrop)'!$O:$O,Indicators!W$7,'Data(perSeason,perCrop)'!$C:$C,Indicators!W$3,'Data(perSeason,perCrop)'!$R:$R,"IRRIGATED")</f>
        <v>#DIV/0!</v>
      </c>
      <c r="X68" s="62" t="e">
        <f>AVERAGEIFS('Data(perSeason,perCrop)'!$E:$E,'Data(perSeason,perCrop)'!$S:$S,Indicators!$B68,'Data(perSeason,perCrop)'!$O:$O,Indicators!X$7,'Data(perSeason,perCrop)'!$C:$C,Indicators!X$3,'Data(perSeason,perCrop)'!$R:$R,"IRRIGATED")</f>
        <v>#DIV/0!</v>
      </c>
      <c r="Y68" s="62" t="e">
        <f>AVERAGEIFS('Data(perSeason,perCrop)'!$E:$E,'Data(perSeason,perCrop)'!$S:$S,Indicators!$B68,'Data(perSeason,perCrop)'!$O:$O,Indicators!Y$7,'Data(perSeason,perCrop)'!$C:$C,Indicators!Y$3,'Data(perSeason,perCrop)'!$R:$R,"IRRIGATED")</f>
        <v>#DIV/0!</v>
      </c>
      <c r="Z68" s="62" t="e">
        <f>AVERAGEIFS('Data(perSeason,perCrop)'!$E:$E,'Data(perSeason,perCrop)'!$S:$S,Indicators!$B68,'Data(perSeason,perCrop)'!$O:$O,Indicators!Z$7,'Data(perSeason,perCrop)'!$C:$C,Indicators!Z$3,'Data(perSeason,perCrop)'!$R:$R,"IRRIGATED")</f>
        <v>#DIV/0!</v>
      </c>
      <c r="AA68" s="62" t="e">
        <f>AVERAGEIFS('Data(perSeason,perCrop)'!$E:$E,'Data(perSeason,perCrop)'!$S:$S,Indicators!$B68,'Data(perSeason,perCrop)'!$O:$O,Indicators!AA$7,'Data(perSeason,perCrop)'!$C:$C,Indicators!AA$3,'Data(perSeason,perCrop)'!$R:$R,"IRRIGATED")</f>
        <v>#DIV/0!</v>
      </c>
      <c r="AB68" s="62" t="e">
        <f>AVERAGEIFS('Data(perSeason,perCrop)'!$E:$E,'Data(perSeason,perCrop)'!$S:$S,Indicators!$B68,'Data(perSeason,perCrop)'!$O:$O,Indicators!AB$7,'Data(perSeason,perCrop)'!$C:$C,Indicators!AB$3,'Data(perSeason,perCrop)'!$R:$R,"IRRIGATED")</f>
        <v>#DIV/0!</v>
      </c>
      <c r="AC68" s="62" t="e">
        <f>AVERAGEIFS('Data(perSeason,perCrop)'!$E:$E,'Data(perSeason,perCrop)'!$S:$S,Indicators!$B68,'Data(perSeason,perCrop)'!$O:$O,Indicators!AC$7,'Data(perSeason,perCrop)'!$C:$C,Indicators!AC$3,'Data(perSeason,perCrop)'!$R:$R,"IRRIGATED")</f>
        <v>#DIV/0!</v>
      </c>
      <c r="AD68" s="62" t="e">
        <f>AVERAGEIFS('Data(perSeason,perCrop)'!$E:$E,'Data(perSeason,perCrop)'!$S:$S,Indicators!$B68,'Data(perSeason,perCrop)'!$O:$O,Indicators!AD$7,'Data(perSeason,perCrop)'!$C:$C,Indicators!AD$3,'Data(perSeason,perCrop)'!$R:$R,"IRRIGATED")</f>
        <v>#DIV/0!</v>
      </c>
      <c r="AE68" s="62" t="e">
        <f>AVERAGEIFS('Data(perSeason,perCrop)'!$E:$E,'Data(perSeason,perCrop)'!$S:$S,Indicators!$B68,'Data(perSeason,perCrop)'!$O:$O,Indicators!AE$7,'Data(perSeason,perCrop)'!$C:$C,Indicators!AE$3,'Data(perSeason,perCrop)'!$R:$R,"IRRIGATED")</f>
        <v>#DIV/0!</v>
      </c>
      <c r="AF68" s="62">
        <f>AVERAGEIFS('Data(perSeason,perCrop)'!$E:$E,'Data(perSeason,perCrop)'!$S:$S,Indicators!$B68,'Data(perSeason,perCrop)'!$O:$O,Indicators!AF$7,'Data(perSeason,perCrop)'!$C:$C,Indicators!AF$3,'Data(perSeason,perCrop)'!$R:$R,"IRRIGATED")</f>
        <v>342</v>
      </c>
      <c r="AG68" s="62">
        <f>AVERAGEIFS('Data(perSeason,perCrop)'!$E:$E,'Data(perSeason,perCrop)'!$S:$S,Indicators!$B68,'Data(perSeason,perCrop)'!$O:$O,Indicators!AG$7,'Data(perSeason,perCrop)'!$C:$C,Indicators!AG$3,'Data(perSeason,perCrop)'!$R:$R,"IRRIGATED")</f>
        <v>288</v>
      </c>
      <c r="AH68" s="62" t="e">
        <f>AVERAGEIFS('Data(perSeason,perCrop)'!$E:$E,'Data(perSeason,perCrop)'!$S:$S,Indicators!$B68,'Data(perSeason,perCrop)'!$O:$O,Indicators!AH$7,'Data(perSeason,perCrop)'!$C:$C,Indicators!AH$3,'Data(perSeason,perCrop)'!$R:$R,"IRRIGATED")</f>
        <v>#DIV/0!</v>
      </c>
      <c r="AI68" s="62">
        <f>AVERAGEIFS('Data(perSeason,perCrop)'!$E:$E,'Data(perSeason,perCrop)'!$S:$S,Indicators!$B68,'Data(perSeason,perCrop)'!$O:$O,Indicators!AI$7,'Data(perSeason,perCrop)'!$C:$C,Indicators!AI$3,'Data(perSeason,perCrop)'!$R:$R,"IRRIGATED")</f>
        <v>287</v>
      </c>
      <c r="AJ68" s="62" t="e">
        <f>AVERAGEIFS('Data(perSeason,perCrop)'!$E:$E,'Data(perSeason,perCrop)'!$S:$S,Indicators!$B68,'Data(perSeason,perCrop)'!$O:$O,Indicators!AJ$7,'Data(perSeason,perCrop)'!$C:$C,Indicators!AJ$3,'Data(perSeason,perCrop)'!$R:$R,"IRRIGATED")</f>
        <v>#DIV/0!</v>
      </c>
      <c r="AK68" s="62" t="e">
        <f>AVERAGEIFS('Data(perSeason,perCrop)'!$E:$E,'Data(perSeason,perCrop)'!$S:$S,Indicators!$B68,'Data(perSeason,perCrop)'!$O:$O,Indicators!AK$7,'Data(perSeason,perCrop)'!$C:$C,Indicators!AK$3,'Data(perSeason,perCrop)'!$R:$R,"IRRIGATED")</f>
        <v>#DIV/0!</v>
      </c>
      <c r="AL68" s="62">
        <f>AVERAGEIFS('Data(perSeason,perCrop)'!$E:$E,'Data(perSeason,perCrop)'!$S:$S,Indicators!$B68,'Data(perSeason,perCrop)'!$O:$O,Indicators!AL$7,'Data(perSeason,perCrop)'!$C:$C,Indicators!AL$3,'Data(perSeason,perCrop)'!$R:$R,"IRRIGATED")</f>
        <v>302</v>
      </c>
      <c r="AM68" s="62" t="e">
        <f>AVERAGEIFS('Data(perSeason,perCrop)'!$E:$E,'Data(perSeason,perCrop)'!$S:$S,Indicators!$B68,'Data(perSeason,perCrop)'!$O:$O,Indicators!AM$7,'Data(perSeason,perCrop)'!$C:$C,Indicators!AM$3,'Data(perSeason,perCrop)'!$R:$R,"IRRIGATED")</f>
        <v>#DIV/0!</v>
      </c>
      <c r="AN68" s="62" t="e">
        <f>AVERAGEIFS('Data(perSeason,perCrop)'!$E:$E,'Data(perSeason,perCrop)'!$S:$S,Indicators!$B68,'Data(perSeason,perCrop)'!$O:$O,Indicators!AN$7,'Data(perSeason,perCrop)'!$C:$C,Indicators!AN$3,'Data(perSeason,perCrop)'!$R:$R,"IRRIGATED")</f>
        <v>#DIV/0!</v>
      </c>
      <c r="AO68" s="62" t="e">
        <f>AVERAGEIFS('Data(perSeason,perCrop)'!$E:$E,'Data(perSeason,perCrop)'!$S:$S,Indicators!$B68,'Data(perSeason,perCrop)'!$O:$O,Indicators!AO$7,'Data(perSeason,perCrop)'!$C:$C,Indicators!AO$3,'Data(perSeason,perCrop)'!$R:$R,"IRRIGATED")</f>
        <v>#DIV/0!</v>
      </c>
      <c r="AP68" s="62" t="e">
        <f>AVERAGEIFS('Data(perSeason,perCrop)'!$E:$E,'Data(perSeason,perCrop)'!$S:$S,Indicators!$B68,'Data(perSeason,perCrop)'!$O:$O,Indicators!AP$7,'Data(perSeason,perCrop)'!$C:$C,Indicators!AP$3,'Data(perSeason,perCrop)'!$R:$R,"IRRIGATED")</f>
        <v>#DIV/0!</v>
      </c>
      <c r="AQ68" s="62" t="e">
        <f>AVERAGEIFS('Data(perSeason,perCrop)'!$E:$E,'Data(perSeason,perCrop)'!$S:$S,Indicators!$B68,'Data(perSeason,perCrop)'!$O:$O,Indicators!AQ$7,'Data(perSeason,perCrop)'!$C:$C,Indicators!AQ$3,'Data(perSeason,perCrop)'!$R:$R,"IRRIGATED")</f>
        <v>#DIV/0!</v>
      </c>
      <c r="AR68" s="62" t="e">
        <f>AVERAGEIFS('Data(perSeason,perCrop)'!$E:$E,'Data(perSeason,perCrop)'!$S:$S,Indicators!$B68,'Data(perSeason,perCrop)'!$O:$O,Indicators!AR$7,'Data(perSeason,perCrop)'!$C:$C,Indicators!AR$3,'Data(perSeason,perCrop)'!$R:$R,"IRRIGATED")</f>
        <v>#DIV/0!</v>
      </c>
      <c r="AS68" s="62" t="e">
        <f>AVERAGEIFS('Data(perSeason,perCrop)'!$E:$E,'Data(perSeason,perCrop)'!$S:$S,Indicators!$B68,'Data(perSeason,perCrop)'!$O:$O,Indicators!AS$7,'Data(perSeason,perCrop)'!$C:$C,Indicators!AS$3,'Data(perSeason,perCrop)'!$R:$R,"IRRIGATED")</f>
        <v>#DIV/0!</v>
      </c>
      <c r="AT68" s="62" t="e">
        <f>AVERAGEIFS('Data(perSeason,perCrop)'!$E:$E,'Data(perSeason,perCrop)'!$S:$S,Indicators!$B68,'Data(perSeason,perCrop)'!$O:$O,Indicators!AT$7,'Data(perSeason,perCrop)'!$C:$C,Indicators!AT$3,'Data(perSeason,perCrop)'!$R:$R,"IRRIGATED")</f>
        <v>#DIV/0!</v>
      </c>
      <c r="AU68" s="62" t="e">
        <f>AVERAGEIFS('Data(perSeason,perCrop)'!$E:$E,'Data(perSeason,perCrop)'!$S:$S,Indicators!$B68,'Data(perSeason,perCrop)'!$O:$O,Indicators!AU$7,'Data(perSeason,perCrop)'!$C:$C,Indicators!AU$3,'Data(perSeason,perCrop)'!$R:$R,"IRRIGATED")</f>
        <v>#DIV/0!</v>
      </c>
      <c r="AV68" s="62" t="e">
        <f>AVERAGEIFS('Data(perSeason,perCrop)'!$E:$E,'Data(perSeason,perCrop)'!$S:$S,Indicators!$B68,'Data(perSeason,perCrop)'!$O:$O,Indicators!AV$7,'Data(perSeason,perCrop)'!$C:$C,Indicators!AV$3,'Data(perSeason,perCrop)'!$R:$R,"IRRIGATED")</f>
        <v>#DIV/0!</v>
      </c>
      <c r="AW68" s="62" t="e">
        <f>AVERAGEIFS('Data(perSeason,perCrop)'!$E:$E,'Data(perSeason,perCrop)'!$S:$S,Indicators!$B68,'Data(perSeason,perCrop)'!$O:$O,Indicators!AW$7,'Data(perSeason,perCrop)'!$C:$C,Indicators!AW$3,'Data(perSeason,perCrop)'!$R:$R,"IRRIGATED")</f>
        <v>#DIV/0!</v>
      </c>
      <c r="AX68" s="82"/>
      <c r="AY68" s="82">
        <f>IFERROR(AVERAGEIFS('Data(perSeason,perCrop)'!$E:$E,'Data(perSeason,perCrop)'!$S:$S,Indicators!$B68,'Data(perSeason,perCrop)'!$O:$O,Indicators!AY$7,'Data(perSeason,perCrop)'!$C:$C,Indicators!AY$3,'Data(perSeason,perCrop)'!$R:$R,"IRRIGATED"),"")</f>
        <v>228</v>
      </c>
      <c r="AZ68" s="82" t="str">
        <f>IFERROR(AVERAGEIFS('Data(perSeason,perCrop)'!$E:$E,'Data(perSeason,perCrop)'!$S:$S,Indicators!$B68,'Data(perSeason,perCrop)'!$O:$O,Indicators!AZ$7,'Data(perSeason,perCrop)'!$C:$C,Indicators!AZ$3,'Data(perSeason,perCrop)'!$R:$R,"IRRIGATED"),"")</f>
        <v/>
      </c>
      <c r="BA68" s="82" t="str">
        <f>IFERROR(AVERAGEIFS('Data(perSeason,perCrop)'!$E:$E,'Data(perSeason,perCrop)'!$S:$S,Indicators!$B68,'Data(perSeason,perCrop)'!$O:$O,Indicators!BA$7,'Data(perSeason,perCrop)'!$C:$C,Indicators!BA$3,'Data(perSeason,perCrop)'!$R:$R,"IRRIGATED"),"")</f>
        <v/>
      </c>
      <c r="BB68" s="82" t="str">
        <f>IFERROR(AVERAGEIFS('Data(perSeason,perCrop)'!$E:$E,'Data(perSeason,perCrop)'!$S:$S,Indicators!$B68,'Data(perSeason,perCrop)'!$O:$O,Indicators!BB$7,'Data(perSeason,perCrop)'!$C:$C,Indicators!BB$3,'Data(perSeason,perCrop)'!$R:$R,"IRRIGATED"),"")</f>
        <v/>
      </c>
      <c r="BC68" s="82" t="str">
        <f>IFERROR(AVERAGEIFS('Data(perSeason,perCrop)'!$E:$E,'Data(perSeason,perCrop)'!$S:$S,Indicators!$B68,'Data(perSeason,perCrop)'!$O:$O,Indicators!BC$7,'Data(perSeason,perCrop)'!$C:$C,Indicators!BC$3,'Data(perSeason,perCrop)'!$R:$R,"IRRIGATED"),"")</f>
        <v/>
      </c>
      <c r="BD68" s="82" t="str">
        <f>IFERROR(AVERAGEIFS('Data(perSeason,perCrop)'!$E:$E,'Data(perSeason,perCrop)'!$S:$S,Indicators!$B68,'Data(perSeason,perCrop)'!$O:$O,Indicators!BD$7,'Data(perSeason,perCrop)'!$C:$C,Indicators!BD$3,'Data(perSeason,perCrop)'!$R:$R,"IRRIGATED"),"")</f>
        <v/>
      </c>
      <c r="BE68" s="82" t="str">
        <f>IFERROR(AVERAGEIFS('Data(perSeason,perCrop)'!$E:$E,'Data(perSeason,perCrop)'!$S:$S,Indicators!$B68,'Data(perSeason,perCrop)'!$O:$O,Indicators!BE$7,'Data(perSeason,perCrop)'!$C:$C,Indicators!BE$3,'Data(perSeason,perCrop)'!$R:$R,"IRRIGATED"),"")</f>
        <v/>
      </c>
      <c r="BF68" s="82" t="str">
        <f>IFERROR(AVERAGEIFS('Data(perSeason,perCrop)'!$E:$E,'Data(perSeason,perCrop)'!$S:$S,Indicators!$B68,'Data(perSeason,perCrop)'!$O:$O,Indicators!BF$7,'Data(perSeason,perCrop)'!$C:$C,Indicators!BF$3,'Data(perSeason,perCrop)'!$R:$R,"IRRIGATED"),"")</f>
        <v/>
      </c>
      <c r="BG68" s="82" t="str">
        <f>IFERROR(AVERAGEIFS('Data(perSeason,perCrop)'!$E:$E,'Data(perSeason,perCrop)'!$S:$S,Indicators!$B68,'Data(perSeason,perCrop)'!$O:$O,Indicators!BG$7,'Data(perSeason,perCrop)'!$C:$C,Indicators!BG$3,'Data(perSeason,perCrop)'!$R:$R,"IRRIGATED"),"")</f>
        <v/>
      </c>
      <c r="BH68" s="82" t="str">
        <f>IFERROR(AVERAGEIFS('Data(perSeason,perCrop)'!$E:$E,'Data(perSeason,perCrop)'!$S:$S,Indicators!$B68,'Data(perSeason,perCrop)'!$O:$O,Indicators!BH$7,'Data(perSeason,perCrop)'!$C:$C,Indicators!BH$3,'Data(perSeason,perCrop)'!$R:$R,"IRRIGATED"),"")</f>
        <v/>
      </c>
      <c r="BI68" s="82" t="str">
        <f>IFERROR(AVERAGEIFS('Data(perSeason,perCrop)'!$E:$E,'Data(perSeason,perCrop)'!$S:$S,Indicators!$B68,'Data(perSeason,perCrop)'!$O:$O,Indicators!BI$7,'Data(perSeason,perCrop)'!$C:$C,Indicators!BI$3,'Data(perSeason,perCrop)'!$R:$R,"IRRIGATED"),"")</f>
        <v/>
      </c>
      <c r="BJ68" s="82" t="str">
        <f>IFERROR(AVERAGEIFS('Data(perSeason,perCrop)'!$E:$E,'Data(perSeason,perCrop)'!$S:$S,Indicators!$B68,'Data(perSeason,perCrop)'!$O:$O,Indicators!BJ$7,'Data(perSeason,perCrop)'!$C:$C,Indicators!BJ$3,'Data(perSeason,perCrop)'!$R:$R,"IRRIGATED"),"")</f>
        <v/>
      </c>
      <c r="BK68" s="82" t="str">
        <f>IFERROR(AVERAGEIFS('Data(perSeason,perCrop)'!$E:$E,'Data(perSeason,perCrop)'!$S:$S,Indicators!$B68,'Data(perSeason,perCrop)'!$O:$O,Indicators!BK$7,'Data(perSeason,perCrop)'!$C:$C,Indicators!BK$3,'Data(perSeason,perCrop)'!$R:$R,"IRRIGATED"),"")</f>
        <v/>
      </c>
      <c r="BL68" s="82">
        <f>IFERROR(AVERAGEIFS('Data(perSeason,perCrop)'!$E:$E,'Data(perSeason,perCrop)'!$S:$S,Indicators!$B68,'Data(perSeason,perCrop)'!$O:$O,Indicators!BL$7,'Data(perSeason,perCrop)'!$C:$C,Indicators!BL$3,'Data(perSeason,perCrop)'!$R:$R,"IRRIGATED"),"")</f>
        <v>229</v>
      </c>
      <c r="BM68" s="82" t="str">
        <f>IFERROR(AVERAGEIFS('Data(perSeason,perCrop)'!$E:$E,'Data(perSeason,perCrop)'!$S:$S,Indicators!$B68,'Data(perSeason,perCrop)'!$O:$O,Indicators!BM$7,'Data(perSeason,perCrop)'!$C:$C,Indicators!BM$3,'Data(perSeason,perCrop)'!$R:$R,"IRRIGATED"),"")</f>
        <v/>
      </c>
      <c r="BN68" s="82">
        <f>IFERROR(AVERAGEIFS('Data(perSeason,perCrop)'!$E:$E,'Data(perSeason,perCrop)'!$S:$S,Indicators!$B68,'Data(perSeason,perCrop)'!$O:$O,Indicators!BN$7,'Data(perSeason,perCrop)'!$C:$C,Indicators!BN$3,'Data(perSeason,perCrop)'!$R:$R,"IRRIGATED"),"")</f>
        <v>222</v>
      </c>
      <c r="BO68" s="82" t="str">
        <f>IFERROR(AVERAGEIFS('Data(perSeason,perCrop)'!$E:$E,'Data(perSeason,perCrop)'!$S:$S,Indicators!$B68,'Data(perSeason,perCrop)'!$O:$O,Indicators!BO$7,'Data(perSeason,perCrop)'!$C:$C,Indicators!BO$3,'Data(perSeason,perCrop)'!$R:$R,"IRRIGATED"),"")</f>
        <v/>
      </c>
      <c r="BP68" s="82" t="str">
        <f>IFERROR(AVERAGEIFS('Data(perSeason,perCrop)'!$E:$E,'Data(perSeason,perCrop)'!$S:$S,Indicators!$B68,'Data(perSeason,perCrop)'!$O:$O,Indicators!BP$7,'Data(perSeason,perCrop)'!$C:$C,Indicators!BP$3,'Data(perSeason,perCrop)'!$R:$R,"IRRIGATED"),"")</f>
        <v/>
      </c>
      <c r="BQ68" s="82">
        <f>IFERROR(AVERAGEIFS('Data(perSeason,perCrop)'!$E:$E,'Data(perSeason,perCrop)'!$S:$S,Indicators!$B68,'Data(perSeason,perCrop)'!$O:$O,Indicators!BQ$7,'Data(perSeason,perCrop)'!$C:$C,Indicators!BQ$3,'Data(perSeason,perCrop)'!$R:$R,"IRRIGATED"),"")</f>
        <v>263</v>
      </c>
      <c r="BR68" s="82" t="str">
        <f>IFERROR(AVERAGEIFS('Data(perSeason,perCrop)'!$E:$E,'Data(perSeason,perCrop)'!$S:$S,Indicators!$B68,'Data(perSeason,perCrop)'!$O:$O,Indicators!BR$7,'Data(perSeason,perCrop)'!$C:$C,Indicators!BR$3,'Data(perSeason,perCrop)'!$R:$R,"IRRIGATED"),"")</f>
        <v/>
      </c>
      <c r="BS68" s="82" t="str">
        <f>IFERROR(AVERAGEIFS('Data(perSeason,perCrop)'!$E:$E,'Data(perSeason,perCrop)'!$S:$S,Indicators!$B68,'Data(perSeason,perCrop)'!$O:$O,Indicators!BS$7,'Data(perSeason,perCrop)'!$C:$C,Indicators!BS$3,'Data(perSeason,perCrop)'!$R:$R,"IRRIGATED"),"")</f>
        <v/>
      </c>
      <c r="BT68" s="82" t="str">
        <f>IFERROR(AVERAGEIFS('Data(perSeason,perCrop)'!$E:$E,'Data(perSeason,perCrop)'!$S:$S,Indicators!$B68,'Data(perSeason,perCrop)'!$O:$O,Indicators!BT$7,'Data(perSeason,perCrop)'!$C:$C,Indicators!BT$3,'Data(perSeason,perCrop)'!$R:$R,"IRRIGATED"),"")</f>
        <v/>
      </c>
      <c r="BU68" s="82" t="str">
        <f>IFERROR(AVERAGEIFS('Data(perSeason,perCrop)'!$E:$E,'Data(perSeason,perCrop)'!$S:$S,Indicators!$B68,'Data(perSeason,perCrop)'!$O:$O,Indicators!BU$7,'Data(perSeason,perCrop)'!$C:$C,Indicators!BU$3,'Data(perSeason,perCrop)'!$R:$R,"IRRIGATED"),"")</f>
        <v/>
      </c>
      <c r="BV68" s="82" t="str">
        <f>IFERROR(AVERAGEIFS('Data(perSeason,perCrop)'!$E:$E,'Data(perSeason,perCrop)'!$S:$S,Indicators!$B68,'Data(perSeason,perCrop)'!$O:$O,Indicators!BV$7,'Data(perSeason,perCrop)'!$C:$C,Indicators!BV$3,'Data(perSeason,perCrop)'!$R:$R,"IRRIGATED"),"")</f>
        <v/>
      </c>
      <c r="BW68" s="82" t="str">
        <f>IFERROR(AVERAGEIFS('Data(perSeason,perCrop)'!$E:$E,'Data(perSeason,perCrop)'!$S:$S,Indicators!$B68,'Data(perSeason,perCrop)'!$O:$O,Indicators!BW$7,'Data(perSeason,perCrop)'!$C:$C,Indicators!BW$3,'Data(perSeason,perCrop)'!$R:$R,"IRRIGATED"),"")</f>
        <v/>
      </c>
      <c r="BX68" s="82" t="str">
        <f>IFERROR(AVERAGEIFS('Data(perSeason,perCrop)'!$E:$E,'Data(perSeason,perCrop)'!$S:$S,Indicators!$B68,'Data(perSeason,perCrop)'!$O:$O,Indicators!BX$7,'Data(perSeason,perCrop)'!$C:$C,Indicators!BX$3,'Data(perSeason,perCrop)'!$R:$R,"IRRIGATED"),"")</f>
        <v/>
      </c>
      <c r="BY68" s="82" t="str">
        <f>IFERROR(AVERAGEIFS('Data(perSeason,perCrop)'!$E:$E,'Data(perSeason,perCrop)'!$S:$S,Indicators!$B68,'Data(perSeason,perCrop)'!$O:$O,Indicators!BY$7,'Data(perSeason,perCrop)'!$C:$C,Indicators!BY$3,'Data(perSeason,perCrop)'!$R:$R,"IRRIGATED"),"")</f>
        <v/>
      </c>
      <c r="BZ68" s="82" t="str">
        <f>IFERROR(AVERAGEIFS('Data(perSeason,perCrop)'!$E:$E,'Data(perSeason,perCrop)'!$S:$S,Indicators!$B68,'Data(perSeason,perCrop)'!$O:$O,Indicators!BZ$7,'Data(perSeason,perCrop)'!$C:$C,Indicators!BZ$3,'Data(perSeason,perCrop)'!$R:$R,"IRRIGATED"),"")</f>
        <v/>
      </c>
      <c r="CA68" s="82" t="str">
        <f>IFERROR(AVERAGEIFS('Data(perSeason,perCrop)'!$E:$E,'Data(perSeason,perCrop)'!$S:$S,Indicators!$B68,'Data(perSeason,perCrop)'!$O:$O,Indicators!CA$7,'Data(perSeason,perCrop)'!$C:$C,Indicators!CA$3,'Data(perSeason,perCrop)'!$R:$R,"IRRIGATED"),"")</f>
        <v/>
      </c>
      <c r="CB68" s="82" t="str">
        <f>IFERROR(AVERAGEIFS('Data(perSeason,perCrop)'!$E:$E,'Data(perSeason,perCrop)'!$S:$S,Indicators!$B68,'Data(perSeason,perCrop)'!$O:$O,Indicators!CB$7,'Data(perSeason,perCrop)'!$C:$C,Indicators!CB$3,'Data(perSeason,perCrop)'!$R:$R,"IRRIGATED"),"")</f>
        <v/>
      </c>
      <c r="CC68" s="7" t="e">
        <f>AVERAGEIFS('Data(perSeason,perCrop)'!$E:$E,'Data(perSeason,perCrop)'!$S:$S,Indicators!$B68,'Data(perSeason,perCrop)'!$O:$O,Indicators!CC$7,'Data(perSeason,perCrop)'!$C:$C,Indicators!CC$3,'Data(perSeason,perCrop)'!$R:$R,"IRRIGATED")</f>
        <v>#DIV/0!</v>
      </c>
      <c r="CD68" s="7" t="e">
        <f>AVERAGEIFS('Data(perSeason,perCrop)'!$E:$E,'Data(perSeason,perCrop)'!$S:$S,Indicators!$B68,'Data(perSeason,perCrop)'!$O:$O,Indicators!CD$7,'Data(perSeason,perCrop)'!$C:$C,Indicators!CD$3,'Data(perSeason,perCrop)'!$R:$R,"IRRIGATED")</f>
        <v>#DIV/0!</v>
      </c>
      <c r="CE68" s="7" t="e">
        <f>AVERAGEIFS('Data(perSeason,perCrop)'!$E:$E,'Data(perSeason,perCrop)'!$S:$S,Indicators!$B68,'Data(perSeason,perCrop)'!$O:$O,Indicators!CE$7,'Data(perSeason,perCrop)'!$C:$C,Indicators!CE$3,'Data(perSeason,perCrop)'!$R:$R,"IRRIGATED")</f>
        <v>#DIV/0!</v>
      </c>
      <c r="CF68" s="7" t="e">
        <f>AVERAGEIFS('Data(perSeason,perCrop)'!$E:$E,'Data(perSeason,perCrop)'!$S:$S,Indicators!$B68,'Data(perSeason,perCrop)'!$O:$O,Indicators!CF$7,'Data(perSeason,perCrop)'!$C:$C,Indicators!CF$3,'Data(perSeason,perCrop)'!$R:$R,"IRRIGATED")</f>
        <v>#DIV/0!</v>
      </c>
      <c r="CG68" s="7" t="e">
        <f>AVERAGEIFS('Data(perSeason,perCrop)'!$E:$E,'Data(perSeason,perCrop)'!$S:$S,Indicators!$B68,'Data(perSeason,perCrop)'!$O:$O,Indicators!CG$7,'Data(perSeason,perCrop)'!$C:$C,Indicators!CG$3,'Data(perSeason,perCrop)'!$R:$R,"IRRIGATED")</f>
        <v>#DIV/0!</v>
      </c>
      <c r="CH68" s="7" t="e">
        <f>AVERAGEIFS('Data(perSeason,perCrop)'!$E:$E,'Data(perSeason,perCrop)'!$S:$S,Indicators!$B68,'Data(perSeason,perCrop)'!$O:$O,Indicators!CH$7,'Data(perSeason,perCrop)'!$C:$C,Indicators!CH$3,'Data(perSeason,perCrop)'!$R:$R,"IRRIGATED")</f>
        <v>#DIV/0!</v>
      </c>
      <c r="CI68" s="7" t="e">
        <f>AVERAGEIFS('Data(perSeason,perCrop)'!$E:$E,'Data(perSeason,perCrop)'!$S:$S,Indicators!$B68,'Data(perSeason,perCrop)'!$O:$O,Indicators!CI$7,'Data(perSeason,perCrop)'!$C:$C,Indicators!CI$3,'Data(perSeason,perCrop)'!$R:$R,"IRRIGATED")</f>
        <v>#DIV/0!</v>
      </c>
      <c r="CJ68" s="7" t="e">
        <f>AVERAGEIFS('Data(perSeason,perCrop)'!$E:$E,'Data(perSeason,perCrop)'!$S:$S,Indicators!$B68,'Data(perSeason,perCrop)'!$O:$O,Indicators!CJ$7,'Data(perSeason,perCrop)'!$C:$C,Indicators!CJ$3,'Data(perSeason,perCrop)'!$R:$R,"IRRIGATED")</f>
        <v>#DIV/0!</v>
      </c>
      <c r="CK68" s="7" t="e">
        <f>AVERAGEIFS('Data(perSeason,perCrop)'!$E:$E,'Data(perSeason,perCrop)'!$S:$S,Indicators!$B68,'Data(perSeason,perCrop)'!$O:$O,Indicators!CK$7,'Data(perSeason,perCrop)'!$C:$C,Indicators!CK$3,'Data(perSeason,perCrop)'!$R:$R,"IRRIGATED")</f>
        <v>#DIV/0!</v>
      </c>
      <c r="CL68" s="7" t="e">
        <f>AVERAGEIFS('Data(perSeason,perCrop)'!$E:$E,'Data(perSeason,perCrop)'!$S:$S,Indicators!$B68,'Data(perSeason,perCrop)'!$O:$O,Indicators!CL$7,'Data(perSeason,perCrop)'!$C:$C,Indicators!CL$3,'Data(perSeason,perCrop)'!$R:$R,"IRRIGATED")</f>
        <v>#DIV/0!</v>
      </c>
      <c r="CM68" s="7" t="e">
        <f>AVERAGEIFS('Data(perSeason,perCrop)'!$E:$E,'Data(perSeason,perCrop)'!$S:$S,Indicators!$B68,'Data(perSeason,perCrop)'!$O:$O,Indicators!CM$7,'Data(perSeason,perCrop)'!$C:$C,Indicators!CM$3,'Data(perSeason,perCrop)'!$R:$R,"IRRIGATED")</f>
        <v>#DIV/0!</v>
      </c>
      <c r="CN68" s="7" t="e">
        <f>AVERAGEIFS('Data(perSeason,perCrop)'!$E:$E,'Data(perSeason,perCrop)'!$S:$S,Indicators!$B68,'Data(perSeason,perCrop)'!$O:$O,Indicators!CN$7,'Data(perSeason,perCrop)'!$C:$C,Indicators!CN$3,'Data(perSeason,perCrop)'!$R:$R,"IRRIGATED")</f>
        <v>#DIV/0!</v>
      </c>
      <c r="CO68" s="7" t="e">
        <f>AVERAGEIFS('Data(perSeason,perCrop)'!$E:$E,'Data(perSeason,perCrop)'!$S:$S,Indicators!$B68,'Data(perSeason,perCrop)'!$O:$O,Indicators!CO$7,'Data(perSeason,perCrop)'!$C:$C,Indicators!CO$3,'Data(perSeason,perCrop)'!$R:$R,"IRRIGATED")</f>
        <v>#DIV/0!</v>
      </c>
      <c r="CP68" s="7">
        <f>AVERAGEIFS('Data(perSeason,perCrop)'!$E:$E,'Data(perSeason,perCrop)'!$S:$S,Indicators!$B68,'Data(perSeason,perCrop)'!$O:$O,Indicators!CP$7,'Data(perSeason,perCrop)'!$C:$C,Indicators!CP$3,'Data(perSeason,perCrop)'!$R:$R,"IRRIGATED")</f>
        <v>493</v>
      </c>
      <c r="CQ68" s="7">
        <f>AVERAGEIFS('Data(perSeason,perCrop)'!$E:$E,'Data(perSeason,perCrop)'!$S:$S,Indicators!$B68,'Data(perSeason,perCrop)'!$O:$O,Indicators!CQ$7,'Data(perSeason,perCrop)'!$C:$C,Indicators!CQ$3,'Data(perSeason,perCrop)'!$R:$R,"IRRIGATED")</f>
        <v>336</v>
      </c>
      <c r="CR68" s="7" t="e">
        <f>AVERAGEIFS('Data(perSeason,perCrop)'!$E:$E,'Data(perSeason,perCrop)'!$S:$S,Indicators!$B68,'Data(perSeason,perCrop)'!$O:$O,Indicators!CR$7,'Data(perSeason,perCrop)'!$C:$C,Indicators!CR$3,'Data(perSeason,perCrop)'!$R:$R,"IRRIGATED")</f>
        <v>#DIV/0!</v>
      </c>
      <c r="CS68" s="7">
        <f>AVERAGEIFS('Data(perSeason,perCrop)'!$E:$E,'Data(perSeason,perCrop)'!$S:$S,Indicators!$B68,'Data(perSeason,perCrop)'!$O:$O,Indicators!CS$7,'Data(perSeason,perCrop)'!$C:$C,Indicators!CS$3,'Data(perSeason,perCrop)'!$R:$R,"IRRIGATED")</f>
        <v>389</v>
      </c>
      <c r="CT68" s="7" t="e">
        <f>AVERAGEIFS('Data(perSeason,perCrop)'!$E:$E,'Data(perSeason,perCrop)'!$S:$S,Indicators!$B68,'Data(perSeason,perCrop)'!$O:$O,Indicators!CT$7,'Data(perSeason,perCrop)'!$C:$C,Indicators!CT$3,'Data(perSeason,perCrop)'!$R:$R,"IRRIGATED")</f>
        <v>#DIV/0!</v>
      </c>
      <c r="CU68" s="7" t="e">
        <f>AVERAGEIFS('Data(perSeason,perCrop)'!$E:$E,'Data(perSeason,perCrop)'!$S:$S,Indicators!$B68,'Data(perSeason,perCrop)'!$O:$O,Indicators!CU$7,'Data(perSeason,perCrop)'!$C:$C,Indicators!CU$3,'Data(perSeason,perCrop)'!$R:$R,"IRRIGATED")</f>
        <v>#DIV/0!</v>
      </c>
      <c r="CV68" s="7">
        <f>AVERAGEIFS('Data(perSeason,perCrop)'!$E:$E,'Data(perSeason,perCrop)'!$S:$S,Indicators!$B68,'Data(perSeason,perCrop)'!$O:$O,Indicators!CV$7,'Data(perSeason,perCrop)'!$C:$C,Indicators!CV$3,'Data(perSeason,perCrop)'!$R:$R,"IRRIGATED")</f>
        <v>460</v>
      </c>
      <c r="CW68" s="7" t="e">
        <f>AVERAGEIFS('Data(perSeason,perCrop)'!$E:$E,'Data(perSeason,perCrop)'!$S:$S,Indicators!$B68,'Data(perSeason,perCrop)'!$O:$O,Indicators!CW$7,'Data(perSeason,perCrop)'!$C:$C,Indicators!CW$3,'Data(perSeason,perCrop)'!$R:$R,"IRRIGATED")</f>
        <v>#DIV/0!</v>
      </c>
      <c r="CX68" s="7" t="e">
        <f>AVERAGEIFS('Data(perSeason,perCrop)'!$E:$E,'Data(perSeason,perCrop)'!$S:$S,Indicators!$B68,'Data(perSeason,perCrop)'!$O:$O,Indicators!CX$7,'Data(perSeason,perCrop)'!$C:$C,Indicators!CX$3,'Data(perSeason,perCrop)'!$R:$R,"IRRIGATED")</f>
        <v>#DIV/0!</v>
      </c>
      <c r="CY68" s="7" t="e">
        <f>AVERAGEIFS('Data(perSeason,perCrop)'!$E:$E,'Data(perSeason,perCrop)'!$S:$S,Indicators!$B68,'Data(perSeason,perCrop)'!$O:$O,Indicators!CY$7,'Data(perSeason,perCrop)'!$C:$C,Indicators!CY$3,'Data(perSeason,perCrop)'!$R:$R,"IRRIGATED")</f>
        <v>#DIV/0!</v>
      </c>
      <c r="CZ68" s="7" t="e">
        <f>AVERAGEIFS('Data(perSeason,perCrop)'!$E:$E,'Data(perSeason,perCrop)'!$S:$S,Indicators!$B68,'Data(perSeason,perCrop)'!$O:$O,Indicators!CZ$7,'Data(perSeason,perCrop)'!$C:$C,Indicators!CZ$3,'Data(perSeason,perCrop)'!$R:$R,"IRRIGATED")</f>
        <v>#DIV/0!</v>
      </c>
      <c r="DA68" s="7" t="e">
        <f>AVERAGEIFS('Data(perSeason,perCrop)'!$E:$E,'Data(perSeason,perCrop)'!$S:$S,Indicators!$B68,'Data(perSeason,perCrop)'!$O:$O,Indicators!DA$7,'Data(perSeason,perCrop)'!$C:$C,Indicators!DA$3,'Data(perSeason,perCrop)'!$R:$R,"IRRIGATED")</f>
        <v>#DIV/0!</v>
      </c>
      <c r="DB68" s="7" t="e">
        <f>AVERAGEIFS('Data(perSeason,perCrop)'!$E:$E,'Data(perSeason,perCrop)'!$S:$S,Indicators!$B68,'Data(perSeason,perCrop)'!$O:$O,Indicators!DB$7,'Data(perSeason,perCrop)'!$C:$C,Indicators!DB$3,'Data(perSeason,perCrop)'!$R:$R,"IRRIGATED")</f>
        <v>#DIV/0!</v>
      </c>
      <c r="DC68" s="7" t="e">
        <f>AVERAGEIFS('Data(perSeason,perCrop)'!$E:$E,'Data(perSeason,perCrop)'!$S:$S,Indicators!$B68,'Data(perSeason,perCrop)'!$O:$O,Indicators!DC$7,'Data(perSeason,perCrop)'!$C:$C,Indicators!DC$3,'Data(perSeason,perCrop)'!$R:$R,"IRRIGATED")</f>
        <v>#DIV/0!</v>
      </c>
      <c r="DD68" s="7" t="e">
        <f>AVERAGEIFS('Data(perSeason,perCrop)'!$E:$E,'Data(perSeason,perCrop)'!$S:$S,Indicators!$B68,'Data(perSeason,perCrop)'!$O:$O,Indicators!DD$7,'Data(perSeason,perCrop)'!$C:$C,Indicators!DD$3,'Data(perSeason,perCrop)'!$R:$R,"IRRIGATED")</f>
        <v>#DIV/0!</v>
      </c>
      <c r="DE68" s="7" t="e">
        <f>AVERAGEIFS('Data(perSeason,perCrop)'!$E:$E,'Data(perSeason,perCrop)'!$S:$S,Indicators!$B68,'Data(perSeason,perCrop)'!$O:$O,Indicators!DE$7,'Data(perSeason,perCrop)'!$C:$C,Indicators!DE$3,'Data(perSeason,perCrop)'!$R:$R,"IRRIGATED")</f>
        <v>#DIV/0!</v>
      </c>
      <c r="DF68" s="7" t="e">
        <f>AVERAGEIFS('Data(perSeason,perCrop)'!$E:$E,'Data(perSeason,perCrop)'!$S:$S,Indicators!$B68,'Data(perSeason,perCrop)'!$O:$O,Indicators!DF$7,'Data(perSeason,perCrop)'!$C:$C,Indicators!DF$3,'Data(perSeason,perCrop)'!$R:$R,"IRRIGATED")</f>
        <v>#DIV/0!</v>
      </c>
      <c r="DG68" s="7" t="e">
        <f>AVERAGEIFS('Data(perSeason,perCrop)'!$E:$E,'Data(perSeason,perCrop)'!$S:$S,Indicators!$B68,'Data(perSeason,perCrop)'!$O:$O,Indicators!DG$7,'Data(perSeason,perCrop)'!$C:$C,Indicators!DG$3,'Data(perSeason,perCrop)'!$R:$R,"IRRIGATED")</f>
        <v>#DIV/0!</v>
      </c>
    </row>
    <row r="69" spans="1:111" x14ac:dyDescent="0.25">
      <c r="A69" t="s">
        <v>74</v>
      </c>
      <c r="B69">
        <v>2019</v>
      </c>
      <c r="C69" s="8">
        <f>IF(COUNTIFS('Data(perSeason,perCrop)'!$S:$S,Indicators!$B69)&gt;0,AVERAGEIFS('Data(perSeason,perCrop)'!$H:$H,'Data(perSeason,perCrop)'!$S:$S,Indicators!$B69,'Data(perSeason,perCrop)'!$O:$O,Indicators!C$7,'Data(perSeason,perCrop)'!$R:$R,"IRRIGATED"),"")</f>
        <v>0.193306122131854</v>
      </c>
      <c r="D69" s="8">
        <f>IF(COUNTIFS('Data(perSeason,perCrop)'!$S:$S,Indicators!$B69)&gt;0,AVERAGEIFS('Data(perSeason,perCrop)'!$H:$H,'Data(perSeason,perCrop)'!$S:$S,Indicators!$B69,'Data(perSeason,perCrop)'!$O:$O,Indicators!D$7,'Data(perSeason,perCrop)'!$R:$R,"IRRIGATED"),"")</f>
        <v>4.2562362247116903E-2</v>
      </c>
      <c r="E69" s="8">
        <f>IF(COUNTIFS('Data(perSeason,perCrop)'!$S:$S,Indicators!$B69)&gt;0,AVERAGEIFS('Data(perSeason,perCrop)'!$H:$H,'Data(perSeason,perCrop)'!$S:$S,Indicators!$B69,'Data(perSeason,perCrop)'!$O:$O,Indicators!E$7,'Data(perSeason,perCrop)'!$R:$R,"IRRIGATED"),"")</f>
        <v>0.104348037828291</v>
      </c>
      <c r="F69" s="8">
        <f>IF(COUNTIFS('Data(perSeason,perCrop)'!$S:$S,Indicators!$B69)&gt;0,AVERAGEIFS('Data(perSeason,perCrop)'!$H:$H,'Data(perSeason,perCrop)'!$S:$S,Indicators!$B69,'Data(perSeason,perCrop)'!$O:$O,Indicators!F$7,'Data(perSeason,perCrop)'!$R:$R,"IRRIGATED"),"")</f>
        <v>8.7340805097124496E-2</v>
      </c>
      <c r="G69" s="8"/>
      <c r="H69" s="8"/>
      <c r="J69" s="2" t="s">
        <v>27</v>
      </c>
      <c r="K69" s="7">
        <f>AVERAGEIFS('Data(perSeason,perCrop)'!$E:$E,'Data(perSeason,perCrop)'!$S:$S,Indicators!$B69,'Data(perSeason,perCrop)'!$O:$O,Indicators!K$7,'Data(perSeason,perCrop)'!$C:$C,Indicators!K$3,'Data(perSeason,perCrop)'!$R:$R,"IRRIGATED")</f>
        <v>382</v>
      </c>
      <c r="L69" s="7">
        <f>AVERAGEIFS('Data(perSeason,perCrop)'!$E:$E,'Data(perSeason,perCrop)'!$S:$S,Indicators!$B69,'Data(perSeason,perCrop)'!$O:$O,Indicators!L$7,'Data(perSeason,perCrop)'!$C:$C,Indicators!L$3,'Data(perSeason,perCrop)'!$R:$R,"IRRIGATED")</f>
        <v>601</v>
      </c>
      <c r="M69" s="7">
        <f>AVERAGEIFS('Data(perSeason,perCrop)'!$E:$E,'Data(perSeason,perCrop)'!$S:$S,Indicators!$B69,'Data(perSeason,perCrop)'!$O:$O,Indicators!M$7,'Data(perSeason,perCrop)'!$C:$C,Indicators!M$3,'Data(perSeason,perCrop)'!$R:$R,"IRRIGATED")</f>
        <v>674</v>
      </c>
      <c r="N69" s="7">
        <f>AVERAGEIFS('Data(perSeason,perCrop)'!$E:$E,'Data(perSeason,perCrop)'!$S:$S,Indicators!$B69,'Data(perSeason,perCrop)'!$O:$O,Indicators!N$7,'Data(perSeason,perCrop)'!$C:$C,Indicators!N$3,'Data(perSeason,perCrop)'!$R:$R,"IRRIGATED")</f>
        <v>974</v>
      </c>
      <c r="O69" s="7">
        <f>AVERAGEIFS('Data(perSeason,perCrop)'!$E:$E,'Data(perSeason,perCrop)'!$S:$S,Indicators!$B69,'Data(perSeason,perCrop)'!$O:$O,Indicators!O$7,'Data(perSeason,perCrop)'!$C:$C,Indicators!O$3,'Data(perSeason,perCrop)'!$R:$R,"IRRIGATED")</f>
        <v>436</v>
      </c>
      <c r="P69" s="7">
        <f>AVERAGEIFS('Data(perSeason,perCrop)'!$E:$E,'Data(perSeason,perCrop)'!$S:$S,Indicators!$B69,'Data(perSeason,perCrop)'!$O:$O,Indicators!P$7,'Data(perSeason,perCrop)'!$C:$C,Indicators!P$3,'Data(perSeason,perCrop)'!$R:$R,"IRRIGATED")</f>
        <v>443</v>
      </c>
      <c r="Q69" s="7">
        <f>AVERAGEIFS('Data(perSeason,perCrop)'!$E:$E,'Data(perSeason,perCrop)'!$S:$S,Indicators!$B69,'Data(perSeason,perCrop)'!$O:$O,Indicators!Q$7,'Data(perSeason,perCrop)'!$C:$C,Indicators!Q$3,'Data(perSeason,perCrop)'!$R:$R,"IRRIGATED")</f>
        <v>822</v>
      </c>
      <c r="R69" s="7">
        <f>AVERAGEIFS('Data(perSeason,perCrop)'!$E:$E,'Data(perSeason,perCrop)'!$S:$S,Indicators!$B69,'Data(perSeason,perCrop)'!$O:$O,Indicators!R$7,'Data(perSeason,perCrop)'!$C:$C,Indicators!R$3,'Data(perSeason,perCrop)'!$R:$R,"IRRIGATED")</f>
        <v>375</v>
      </c>
      <c r="S69" s="62" t="e">
        <f>AVERAGEIFS('Data(perSeason,perCrop)'!$E:$E,'Data(perSeason,perCrop)'!$S:$S,Indicators!$B69,'Data(perSeason,perCrop)'!$O:$O,Indicators!S$7,'Data(perSeason,perCrop)'!$C:$C,Indicators!S$3,'Data(perSeason,perCrop)'!$R:$R,"IRRIGATED")</f>
        <v>#DIV/0!</v>
      </c>
      <c r="T69" s="62">
        <f>AVERAGEIFS('Data(perSeason,perCrop)'!$E:$E,'Data(perSeason,perCrop)'!$S:$S,Indicators!$B69,'Data(perSeason,perCrop)'!$O:$O,Indicators!T$7,'Data(perSeason,perCrop)'!$C:$C,Indicators!T$3,'Data(perSeason,perCrop)'!$R:$R,"IRRIGATED")</f>
        <v>238</v>
      </c>
      <c r="U69" s="62" t="e">
        <f>AVERAGEIFS('Data(perSeason,perCrop)'!$E:$E,'Data(perSeason,perCrop)'!$S:$S,Indicators!$B69,'Data(perSeason,perCrop)'!$O:$O,Indicators!U$7,'Data(perSeason,perCrop)'!$C:$C,Indicators!U$3,'Data(perSeason,perCrop)'!$R:$R,"IRRIGATED")</f>
        <v>#DIV/0!</v>
      </c>
      <c r="V69" s="62" t="e">
        <f>AVERAGEIFS('Data(perSeason,perCrop)'!$E:$E,'Data(perSeason,perCrop)'!$S:$S,Indicators!$B69,'Data(perSeason,perCrop)'!$O:$O,Indicators!V$7,'Data(perSeason,perCrop)'!$C:$C,Indicators!V$3,'Data(perSeason,perCrop)'!$R:$R,"IRRIGATED")</f>
        <v>#DIV/0!</v>
      </c>
      <c r="W69" s="62" t="e">
        <f>AVERAGEIFS('Data(perSeason,perCrop)'!$E:$E,'Data(perSeason,perCrop)'!$S:$S,Indicators!$B69,'Data(perSeason,perCrop)'!$O:$O,Indicators!W$7,'Data(perSeason,perCrop)'!$C:$C,Indicators!W$3,'Data(perSeason,perCrop)'!$R:$R,"IRRIGATED")</f>
        <v>#DIV/0!</v>
      </c>
      <c r="X69" s="62" t="e">
        <f>AVERAGEIFS('Data(perSeason,perCrop)'!$E:$E,'Data(perSeason,perCrop)'!$S:$S,Indicators!$B69,'Data(perSeason,perCrop)'!$O:$O,Indicators!X$7,'Data(perSeason,perCrop)'!$C:$C,Indicators!X$3,'Data(perSeason,perCrop)'!$R:$R,"IRRIGATED")</f>
        <v>#DIV/0!</v>
      </c>
      <c r="Y69" s="62" t="e">
        <f>AVERAGEIFS('Data(perSeason,perCrop)'!$E:$E,'Data(perSeason,perCrop)'!$S:$S,Indicators!$B69,'Data(perSeason,perCrop)'!$O:$O,Indicators!Y$7,'Data(perSeason,perCrop)'!$C:$C,Indicators!Y$3,'Data(perSeason,perCrop)'!$R:$R,"IRRIGATED")</f>
        <v>#DIV/0!</v>
      </c>
      <c r="Z69" s="62" t="e">
        <f>AVERAGEIFS('Data(perSeason,perCrop)'!$E:$E,'Data(perSeason,perCrop)'!$S:$S,Indicators!$B69,'Data(perSeason,perCrop)'!$O:$O,Indicators!Z$7,'Data(perSeason,perCrop)'!$C:$C,Indicators!Z$3,'Data(perSeason,perCrop)'!$R:$R,"IRRIGATED")</f>
        <v>#DIV/0!</v>
      </c>
      <c r="AA69" s="62" t="e">
        <f>AVERAGEIFS('Data(perSeason,perCrop)'!$E:$E,'Data(perSeason,perCrop)'!$S:$S,Indicators!$B69,'Data(perSeason,perCrop)'!$O:$O,Indicators!AA$7,'Data(perSeason,perCrop)'!$C:$C,Indicators!AA$3,'Data(perSeason,perCrop)'!$R:$R,"IRRIGATED")</f>
        <v>#DIV/0!</v>
      </c>
      <c r="AB69" s="62" t="e">
        <f>AVERAGEIFS('Data(perSeason,perCrop)'!$E:$E,'Data(perSeason,perCrop)'!$S:$S,Indicators!$B69,'Data(perSeason,perCrop)'!$O:$O,Indicators!AB$7,'Data(perSeason,perCrop)'!$C:$C,Indicators!AB$3,'Data(perSeason,perCrop)'!$R:$R,"IRRIGATED")</f>
        <v>#DIV/0!</v>
      </c>
      <c r="AC69" s="62" t="e">
        <f>AVERAGEIFS('Data(perSeason,perCrop)'!$E:$E,'Data(perSeason,perCrop)'!$S:$S,Indicators!$B69,'Data(perSeason,perCrop)'!$O:$O,Indicators!AC$7,'Data(perSeason,perCrop)'!$C:$C,Indicators!AC$3,'Data(perSeason,perCrop)'!$R:$R,"IRRIGATED")</f>
        <v>#DIV/0!</v>
      </c>
      <c r="AD69" s="62" t="e">
        <f>AVERAGEIFS('Data(perSeason,perCrop)'!$E:$E,'Data(perSeason,perCrop)'!$S:$S,Indicators!$B69,'Data(perSeason,perCrop)'!$O:$O,Indicators!AD$7,'Data(perSeason,perCrop)'!$C:$C,Indicators!AD$3,'Data(perSeason,perCrop)'!$R:$R,"IRRIGATED")</f>
        <v>#DIV/0!</v>
      </c>
      <c r="AE69" s="62" t="e">
        <f>AVERAGEIFS('Data(perSeason,perCrop)'!$E:$E,'Data(perSeason,perCrop)'!$S:$S,Indicators!$B69,'Data(perSeason,perCrop)'!$O:$O,Indicators!AE$7,'Data(perSeason,perCrop)'!$C:$C,Indicators!AE$3,'Data(perSeason,perCrop)'!$R:$R,"IRRIGATED")</f>
        <v>#DIV/0!</v>
      </c>
      <c r="AF69" s="62">
        <f>AVERAGEIFS('Data(perSeason,perCrop)'!$E:$E,'Data(perSeason,perCrop)'!$S:$S,Indicators!$B69,'Data(perSeason,perCrop)'!$O:$O,Indicators!AF$7,'Data(perSeason,perCrop)'!$C:$C,Indicators!AF$3,'Data(perSeason,perCrop)'!$R:$R,"IRRIGATED")</f>
        <v>318</v>
      </c>
      <c r="AG69" s="62">
        <f>AVERAGEIFS('Data(perSeason,perCrop)'!$E:$E,'Data(perSeason,perCrop)'!$S:$S,Indicators!$B69,'Data(perSeason,perCrop)'!$O:$O,Indicators!AG$7,'Data(perSeason,perCrop)'!$C:$C,Indicators!AG$3,'Data(perSeason,perCrop)'!$R:$R,"IRRIGATED")</f>
        <v>229</v>
      </c>
      <c r="AH69" s="62" t="e">
        <f>AVERAGEIFS('Data(perSeason,perCrop)'!$E:$E,'Data(perSeason,perCrop)'!$S:$S,Indicators!$B69,'Data(perSeason,perCrop)'!$O:$O,Indicators!AH$7,'Data(perSeason,perCrop)'!$C:$C,Indicators!AH$3,'Data(perSeason,perCrop)'!$R:$R,"IRRIGATED")</f>
        <v>#DIV/0!</v>
      </c>
      <c r="AI69" s="62">
        <f>AVERAGEIFS('Data(perSeason,perCrop)'!$E:$E,'Data(perSeason,perCrop)'!$S:$S,Indicators!$B69,'Data(perSeason,perCrop)'!$O:$O,Indicators!AI$7,'Data(perSeason,perCrop)'!$C:$C,Indicators!AI$3,'Data(perSeason,perCrop)'!$R:$R,"IRRIGATED")</f>
        <v>235</v>
      </c>
      <c r="AJ69" s="62" t="e">
        <f>AVERAGEIFS('Data(perSeason,perCrop)'!$E:$E,'Data(perSeason,perCrop)'!$S:$S,Indicators!$B69,'Data(perSeason,perCrop)'!$O:$O,Indicators!AJ$7,'Data(perSeason,perCrop)'!$C:$C,Indicators!AJ$3,'Data(perSeason,perCrop)'!$R:$R,"IRRIGATED")</f>
        <v>#DIV/0!</v>
      </c>
      <c r="AK69" s="62" t="e">
        <f>AVERAGEIFS('Data(perSeason,perCrop)'!$E:$E,'Data(perSeason,perCrop)'!$S:$S,Indicators!$B69,'Data(perSeason,perCrop)'!$O:$O,Indicators!AK$7,'Data(perSeason,perCrop)'!$C:$C,Indicators!AK$3,'Data(perSeason,perCrop)'!$R:$R,"IRRIGATED")</f>
        <v>#DIV/0!</v>
      </c>
      <c r="AL69" s="62">
        <f>AVERAGEIFS('Data(perSeason,perCrop)'!$E:$E,'Data(perSeason,perCrop)'!$S:$S,Indicators!$B69,'Data(perSeason,perCrop)'!$O:$O,Indicators!AL$7,'Data(perSeason,perCrop)'!$C:$C,Indicators!AL$3,'Data(perSeason,perCrop)'!$R:$R,"IRRIGATED")</f>
        <v>252</v>
      </c>
      <c r="AM69" s="62" t="e">
        <f>AVERAGEIFS('Data(perSeason,perCrop)'!$E:$E,'Data(perSeason,perCrop)'!$S:$S,Indicators!$B69,'Data(perSeason,perCrop)'!$O:$O,Indicators!AM$7,'Data(perSeason,perCrop)'!$C:$C,Indicators!AM$3,'Data(perSeason,perCrop)'!$R:$R,"IRRIGATED")</f>
        <v>#DIV/0!</v>
      </c>
      <c r="AN69" s="62" t="e">
        <f>AVERAGEIFS('Data(perSeason,perCrop)'!$E:$E,'Data(perSeason,perCrop)'!$S:$S,Indicators!$B69,'Data(perSeason,perCrop)'!$O:$O,Indicators!AN$7,'Data(perSeason,perCrop)'!$C:$C,Indicators!AN$3,'Data(perSeason,perCrop)'!$R:$R,"IRRIGATED")</f>
        <v>#DIV/0!</v>
      </c>
      <c r="AO69" s="62" t="e">
        <f>AVERAGEIFS('Data(perSeason,perCrop)'!$E:$E,'Data(perSeason,perCrop)'!$S:$S,Indicators!$B69,'Data(perSeason,perCrop)'!$O:$O,Indicators!AO$7,'Data(perSeason,perCrop)'!$C:$C,Indicators!AO$3,'Data(perSeason,perCrop)'!$R:$R,"IRRIGATED")</f>
        <v>#DIV/0!</v>
      </c>
      <c r="AP69" s="62" t="e">
        <f>AVERAGEIFS('Data(perSeason,perCrop)'!$E:$E,'Data(perSeason,perCrop)'!$S:$S,Indicators!$B69,'Data(perSeason,perCrop)'!$O:$O,Indicators!AP$7,'Data(perSeason,perCrop)'!$C:$C,Indicators!AP$3,'Data(perSeason,perCrop)'!$R:$R,"IRRIGATED")</f>
        <v>#DIV/0!</v>
      </c>
      <c r="AQ69" s="62" t="e">
        <f>AVERAGEIFS('Data(perSeason,perCrop)'!$E:$E,'Data(perSeason,perCrop)'!$S:$S,Indicators!$B69,'Data(perSeason,perCrop)'!$O:$O,Indicators!AQ$7,'Data(perSeason,perCrop)'!$C:$C,Indicators!AQ$3,'Data(perSeason,perCrop)'!$R:$R,"IRRIGATED")</f>
        <v>#DIV/0!</v>
      </c>
      <c r="AR69" s="62" t="e">
        <f>AVERAGEIFS('Data(perSeason,perCrop)'!$E:$E,'Data(perSeason,perCrop)'!$S:$S,Indicators!$B69,'Data(perSeason,perCrop)'!$O:$O,Indicators!AR$7,'Data(perSeason,perCrop)'!$C:$C,Indicators!AR$3,'Data(perSeason,perCrop)'!$R:$R,"IRRIGATED")</f>
        <v>#DIV/0!</v>
      </c>
      <c r="AS69" s="62" t="e">
        <f>AVERAGEIFS('Data(perSeason,perCrop)'!$E:$E,'Data(perSeason,perCrop)'!$S:$S,Indicators!$B69,'Data(perSeason,perCrop)'!$O:$O,Indicators!AS$7,'Data(perSeason,perCrop)'!$C:$C,Indicators!AS$3,'Data(perSeason,perCrop)'!$R:$R,"IRRIGATED")</f>
        <v>#DIV/0!</v>
      </c>
      <c r="AT69" s="62" t="e">
        <f>AVERAGEIFS('Data(perSeason,perCrop)'!$E:$E,'Data(perSeason,perCrop)'!$S:$S,Indicators!$B69,'Data(perSeason,perCrop)'!$O:$O,Indicators!AT$7,'Data(perSeason,perCrop)'!$C:$C,Indicators!AT$3,'Data(perSeason,perCrop)'!$R:$R,"IRRIGATED")</f>
        <v>#DIV/0!</v>
      </c>
      <c r="AU69" s="62" t="e">
        <f>AVERAGEIFS('Data(perSeason,perCrop)'!$E:$E,'Data(perSeason,perCrop)'!$S:$S,Indicators!$B69,'Data(perSeason,perCrop)'!$O:$O,Indicators!AU$7,'Data(perSeason,perCrop)'!$C:$C,Indicators!AU$3,'Data(perSeason,perCrop)'!$R:$R,"IRRIGATED")</f>
        <v>#DIV/0!</v>
      </c>
      <c r="AV69" s="62" t="e">
        <f>AVERAGEIFS('Data(perSeason,perCrop)'!$E:$E,'Data(perSeason,perCrop)'!$S:$S,Indicators!$B69,'Data(perSeason,perCrop)'!$O:$O,Indicators!AV$7,'Data(perSeason,perCrop)'!$C:$C,Indicators!AV$3,'Data(perSeason,perCrop)'!$R:$R,"IRRIGATED")</f>
        <v>#DIV/0!</v>
      </c>
      <c r="AW69" s="62" t="e">
        <f>AVERAGEIFS('Data(perSeason,perCrop)'!$E:$E,'Data(perSeason,perCrop)'!$S:$S,Indicators!$B69,'Data(perSeason,perCrop)'!$O:$O,Indicators!AW$7,'Data(perSeason,perCrop)'!$C:$C,Indicators!AW$3,'Data(perSeason,perCrop)'!$R:$R,"IRRIGATED")</f>
        <v>#DIV/0!</v>
      </c>
      <c r="AX69" s="82"/>
      <c r="AY69" s="82">
        <f>IFERROR(AVERAGEIFS('Data(perSeason,perCrop)'!$E:$E,'Data(perSeason,perCrop)'!$S:$S,Indicators!$B69,'Data(perSeason,perCrop)'!$O:$O,Indicators!AY$7,'Data(perSeason,perCrop)'!$C:$C,Indicators!AY$3,'Data(perSeason,perCrop)'!$R:$R,"IRRIGATED"),"")</f>
        <v>210</v>
      </c>
      <c r="AZ69" s="82" t="str">
        <f>IFERROR(AVERAGEIFS('Data(perSeason,perCrop)'!$E:$E,'Data(perSeason,perCrop)'!$S:$S,Indicators!$B69,'Data(perSeason,perCrop)'!$O:$O,Indicators!AZ$7,'Data(perSeason,perCrop)'!$C:$C,Indicators!AZ$3,'Data(perSeason,perCrop)'!$R:$R,"IRRIGATED"),"")</f>
        <v/>
      </c>
      <c r="BA69" s="82" t="str">
        <f>IFERROR(AVERAGEIFS('Data(perSeason,perCrop)'!$E:$E,'Data(perSeason,perCrop)'!$S:$S,Indicators!$B69,'Data(perSeason,perCrop)'!$O:$O,Indicators!BA$7,'Data(perSeason,perCrop)'!$C:$C,Indicators!BA$3,'Data(perSeason,perCrop)'!$R:$R,"IRRIGATED"),"")</f>
        <v/>
      </c>
      <c r="BB69" s="82" t="str">
        <f>IFERROR(AVERAGEIFS('Data(perSeason,perCrop)'!$E:$E,'Data(perSeason,perCrop)'!$S:$S,Indicators!$B69,'Data(perSeason,perCrop)'!$O:$O,Indicators!BB$7,'Data(perSeason,perCrop)'!$C:$C,Indicators!BB$3,'Data(perSeason,perCrop)'!$R:$R,"IRRIGATED"),"")</f>
        <v/>
      </c>
      <c r="BC69" s="82" t="str">
        <f>IFERROR(AVERAGEIFS('Data(perSeason,perCrop)'!$E:$E,'Data(perSeason,perCrop)'!$S:$S,Indicators!$B69,'Data(perSeason,perCrop)'!$O:$O,Indicators!BC$7,'Data(perSeason,perCrop)'!$C:$C,Indicators!BC$3,'Data(perSeason,perCrop)'!$R:$R,"IRRIGATED"),"")</f>
        <v/>
      </c>
      <c r="BD69" s="82" t="str">
        <f>IFERROR(AVERAGEIFS('Data(perSeason,perCrop)'!$E:$E,'Data(perSeason,perCrop)'!$S:$S,Indicators!$B69,'Data(perSeason,perCrop)'!$O:$O,Indicators!BD$7,'Data(perSeason,perCrop)'!$C:$C,Indicators!BD$3,'Data(perSeason,perCrop)'!$R:$R,"IRRIGATED"),"")</f>
        <v/>
      </c>
      <c r="BE69" s="82" t="str">
        <f>IFERROR(AVERAGEIFS('Data(perSeason,perCrop)'!$E:$E,'Data(perSeason,perCrop)'!$S:$S,Indicators!$B69,'Data(perSeason,perCrop)'!$O:$O,Indicators!BE$7,'Data(perSeason,perCrop)'!$C:$C,Indicators!BE$3,'Data(perSeason,perCrop)'!$R:$R,"IRRIGATED"),"")</f>
        <v/>
      </c>
      <c r="BF69" s="82" t="str">
        <f>IFERROR(AVERAGEIFS('Data(perSeason,perCrop)'!$E:$E,'Data(perSeason,perCrop)'!$S:$S,Indicators!$B69,'Data(perSeason,perCrop)'!$O:$O,Indicators!BF$7,'Data(perSeason,perCrop)'!$C:$C,Indicators!BF$3,'Data(perSeason,perCrop)'!$R:$R,"IRRIGATED"),"")</f>
        <v/>
      </c>
      <c r="BG69" s="82" t="str">
        <f>IFERROR(AVERAGEIFS('Data(perSeason,perCrop)'!$E:$E,'Data(perSeason,perCrop)'!$S:$S,Indicators!$B69,'Data(perSeason,perCrop)'!$O:$O,Indicators!BG$7,'Data(perSeason,perCrop)'!$C:$C,Indicators!BG$3,'Data(perSeason,perCrop)'!$R:$R,"IRRIGATED"),"")</f>
        <v/>
      </c>
      <c r="BH69" s="82" t="str">
        <f>IFERROR(AVERAGEIFS('Data(perSeason,perCrop)'!$E:$E,'Data(perSeason,perCrop)'!$S:$S,Indicators!$B69,'Data(perSeason,perCrop)'!$O:$O,Indicators!BH$7,'Data(perSeason,perCrop)'!$C:$C,Indicators!BH$3,'Data(perSeason,perCrop)'!$R:$R,"IRRIGATED"),"")</f>
        <v/>
      </c>
      <c r="BI69" s="82" t="str">
        <f>IFERROR(AVERAGEIFS('Data(perSeason,perCrop)'!$E:$E,'Data(perSeason,perCrop)'!$S:$S,Indicators!$B69,'Data(perSeason,perCrop)'!$O:$O,Indicators!BI$7,'Data(perSeason,perCrop)'!$C:$C,Indicators!BI$3,'Data(perSeason,perCrop)'!$R:$R,"IRRIGATED"),"")</f>
        <v/>
      </c>
      <c r="BJ69" s="82" t="str">
        <f>IFERROR(AVERAGEIFS('Data(perSeason,perCrop)'!$E:$E,'Data(perSeason,perCrop)'!$S:$S,Indicators!$B69,'Data(perSeason,perCrop)'!$O:$O,Indicators!BJ$7,'Data(perSeason,perCrop)'!$C:$C,Indicators!BJ$3,'Data(perSeason,perCrop)'!$R:$R,"IRRIGATED"),"")</f>
        <v/>
      </c>
      <c r="BK69" s="82" t="str">
        <f>IFERROR(AVERAGEIFS('Data(perSeason,perCrop)'!$E:$E,'Data(perSeason,perCrop)'!$S:$S,Indicators!$B69,'Data(perSeason,perCrop)'!$O:$O,Indicators!BK$7,'Data(perSeason,perCrop)'!$C:$C,Indicators!BK$3,'Data(perSeason,perCrop)'!$R:$R,"IRRIGATED"),"")</f>
        <v/>
      </c>
      <c r="BL69" s="82">
        <f>IFERROR(AVERAGEIFS('Data(perSeason,perCrop)'!$E:$E,'Data(perSeason,perCrop)'!$S:$S,Indicators!$B69,'Data(perSeason,perCrop)'!$O:$O,Indicators!BL$7,'Data(perSeason,perCrop)'!$C:$C,Indicators!BL$3,'Data(perSeason,perCrop)'!$R:$R,"IRRIGATED"),"")</f>
        <v>221</v>
      </c>
      <c r="BM69" s="82" t="str">
        <f>IFERROR(AVERAGEIFS('Data(perSeason,perCrop)'!$E:$E,'Data(perSeason,perCrop)'!$S:$S,Indicators!$B69,'Data(perSeason,perCrop)'!$O:$O,Indicators!BM$7,'Data(perSeason,perCrop)'!$C:$C,Indicators!BM$3,'Data(perSeason,perCrop)'!$R:$R,"IRRIGATED"),"")</f>
        <v/>
      </c>
      <c r="BN69" s="82">
        <f>IFERROR(AVERAGEIFS('Data(perSeason,perCrop)'!$E:$E,'Data(perSeason,perCrop)'!$S:$S,Indicators!$B69,'Data(perSeason,perCrop)'!$O:$O,Indicators!BN$7,'Data(perSeason,perCrop)'!$C:$C,Indicators!BN$3,'Data(perSeason,perCrop)'!$R:$R,"IRRIGATED"),"")</f>
        <v>223</v>
      </c>
      <c r="BO69" s="82" t="str">
        <f>IFERROR(AVERAGEIFS('Data(perSeason,perCrop)'!$E:$E,'Data(perSeason,perCrop)'!$S:$S,Indicators!$B69,'Data(perSeason,perCrop)'!$O:$O,Indicators!BO$7,'Data(perSeason,perCrop)'!$C:$C,Indicators!BO$3,'Data(perSeason,perCrop)'!$R:$R,"IRRIGATED"),"")</f>
        <v/>
      </c>
      <c r="BP69" s="82" t="str">
        <f>IFERROR(AVERAGEIFS('Data(perSeason,perCrop)'!$E:$E,'Data(perSeason,perCrop)'!$S:$S,Indicators!$B69,'Data(perSeason,perCrop)'!$O:$O,Indicators!BP$7,'Data(perSeason,perCrop)'!$C:$C,Indicators!BP$3,'Data(perSeason,perCrop)'!$R:$R,"IRRIGATED"),"")</f>
        <v/>
      </c>
      <c r="BQ69" s="82">
        <f>IFERROR(AVERAGEIFS('Data(perSeason,perCrop)'!$E:$E,'Data(perSeason,perCrop)'!$S:$S,Indicators!$B69,'Data(perSeason,perCrop)'!$O:$O,Indicators!BQ$7,'Data(perSeason,perCrop)'!$C:$C,Indicators!BQ$3,'Data(perSeason,perCrop)'!$R:$R,"IRRIGATED"),"")</f>
        <v>266</v>
      </c>
      <c r="BR69" s="82" t="str">
        <f>IFERROR(AVERAGEIFS('Data(perSeason,perCrop)'!$E:$E,'Data(perSeason,perCrop)'!$S:$S,Indicators!$B69,'Data(perSeason,perCrop)'!$O:$O,Indicators!BR$7,'Data(perSeason,perCrop)'!$C:$C,Indicators!BR$3,'Data(perSeason,perCrop)'!$R:$R,"IRRIGATED"),"")</f>
        <v/>
      </c>
      <c r="BS69" s="82" t="str">
        <f>IFERROR(AVERAGEIFS('Data(perSeason,perCrop)'!$E:$E,'Data(perSeason,perCrop)'!$S:$S,Indicators!$B69,'Data(perSeason,perCrop)'!$O:$O,Indicators!BS$7,'Data(perSeason,perCrop)'!$C:$C,Indicators!BS$3,'Data(perSeason,perCrop)'!$R:$R,"IRRIGATED"),"")</f>
        <v/>
      </c>
      <c r="BT69" s="82" t="str">
        <f>IFERROR(AVERAGEIFS('Data(perSeason,perCrop)'!$E:$E,'Data(perSeason,perCrop)'!$S:$S,Indicators!$B69,'Data(perSeason,perCrop)'!$O:$O,Indicators!BT$7,'Data(perSeason,perCrop)'!$C:$C,Indicators!BT$3,'Data(perSeason,perCrop)'!$R:$R,"IRRIGATED"),"")</f>
        <v/>
      </c>
      <c r="BU69" s="82" t="str">
        <f>IFERROR(AVERAGEIFS('Data(perSeason,perCrop)'!$E:$E,'Data(perSeason,perCrop)'!$S:$S,Indicators!$B69,'Data(perSeason,perCrop)'!$O:$O,Indicators!BU$7,'Data(perSeason,perCrop)'!$C:$C,Indicators!BU$3,'Data(perSeason,perCrop)'!$R:$R,"IRRIGATED"),"")</f>
        <v/>
      </c>
      <c r="BV69" s="82" t="str">
        <f>IFERROR(AVERAGEIFS('Data(perSeason,perCrop)'!$E:$E,'Data(perSeason,perCrop)'!$S:$S,Indicators!$B69,'Data(perSeason,perCrop)'!$O:$O,Indicators!BV$7,'Data(perSeason,perCrop)'!$C:$C,Indicators!BV$3,'Data(perSeason,perCrop)'!$R:$R,"IRRIGATED"),"")</f>
        <v/>
      </c>
      <c r="BW69" s="82" t="str">
        <f>IFERROR(AVERAGEIFS('Data(perSeason,perCrop)'!$E:$E,'Data(perSeason,perCrop)'!$S:$S,Indicators!$B69,'Data(perSeason,perCrop)'!$O:$O,Indicators!BW$7,'Data(perSeason,perCrop)'!$C:$C,Indicators!BW$3,'Data(perSeason,perCrop)'!$R:$R,"IRRIGATED"),"")</f>
        <v/>
      </c>
      <c r="BX69" s="82" t="str">
        <f>IFERROR(AVERAGEIFS('Data(perSeason,perCrop)'!$E:$E,'Data(perSeason,perCrop)'!$S:$S,Indicators!$B69,'Data(perSeason,perCrop)'!$O:$O,Indicators!BX$7,'Data(perSeason,perCrop)'!$C:$C,Indicators!BX$3,'Data(perSeason,perCrop)'!$R:$R,"IRRIGATED"),"")</f>
        <v/>
      </c>
      <c r="BY69" s="82" t="str">
        <f>IFERROR(AVERAGEIFS('Data(perSeason,perCrop)'!$E:$E,'Data(perSeason,perCrop)'!$S:$S,Indicators!$B69,'Data(perSeason,perCrop)'!$O:$O,Indicators!BY$7,'Data(perSeason,perCrop)'!$C:$C,Indicators!BY$3,'Data(perSeason,perCrop)'!$R:$R,"IRRIGATED"),"")</f>
        <v/>
      </c>
      <c r="BZ69" s="82" t="str">
        <f>IFERROR(AVERAGEIFS('Data(perSeason,perCrop)'!$E:$E,'Data(perSeason,perCrop)'!$S:$S,Indicators!$B69,'Data(perSeason,perCrop)'!$O:$O,Indicators!BZ$7,'Data(perSeason,perCrop)'!$C:$C,Indicators!BZ$3,'Data(perSeason,perCrop)'!$R:$R,"IRRIGATED"),"")</f>
        <v/>
      </c>
      <c r="CA69" s="82" t="str">
        <f>IFERROR(AVERAGEIFS('Data(perSeason,perCrop)'!$E:$E,'Data(perSeason,perCrop)'!$S:$S,Indicators!$B69,'Data(perSeason,perCrop)'!$O:$O,Indicators!CA$7,'Data(perSeason,perCrop)'!$C:$C,Indicators!CA$3,'Data(perSeason,perCrop)'!$R:$R,"IRRIGATED"),"")</f>
        <v/>
      </c>
      <c r="CB69" s="82" t="str">
        <f>IFERROR(AVERAGEIFS('Data(perSeason,perCrop)'!$E:$E,'Data(perSeason,perCrop)'!$S:$S,Indicators!$B69,'Data(perSeason,perCrop)'!$O:$O,Indicators!CB$7,'Data(perSeason,perCrop)'!$C:$C,Indicators!CB$3,'Data(perSeason,perCrop)'!$R:$R,"IRRIGATED"),"")</f>
        <v/>
      </c>
      <c r="CC69" s="7" t="e">
        <f>AVERAGEIFS('Data(perSeason,perCrop)'!$E:$E,'Data(perSeason,perCrop)'!$S:$S,Indicators!$B69,'Data(perSeason,perCrop)'!$O:$O,Indicators!CC$7,'Data(perSeason,perCrop)'!$C:$C,Indicators!CC$3,'Data(perSeason,perCrop)'!$R:$R,"IRRIGATED")</f>
        <v>#DIV/0!</v>
      </c>
      <c r="CD69" s="7" t="e">
        <f>AVERAGEIFS('Data(perSeason,perCrop)'!$E:$E,'Data(perSeason,perCrop)'!$S:$S,Indicators!$B69,'Data(perSeason,perCrop)'!$O:$O,Indicators!CD$7,'Data(perSeason,perCrop)'!$C:$C,Indicators!CD$3,'Data(perSeason,perCrop)'!$R:$R,"IRRIGATED")</f>
        <v>#DIV/0!</v>
      </c>
      <c r="CE69" s="7" t="e">
        <f>AVERAGEIFS('Data(perSeason,perCrop)'!$E:$E,'Data(perSeason,perCrop)'!$S:$S,Indicators!$B69,'Data(perSeason,perCrop)'!$O:$O,Indicators!CE$7,'Data(perSeason,perCrop)'!$C:$C,Indicators!CE$3,'Data(perSeason,perCrop)'!$R:$R,"IRRIGATED")</f>
        <v>#DIV/0!</v>
      </c>
      <c r="CF69" s="7" t="e">
        <f>AVERAGEIFS('Data(perSeason,perCrop)'!$E:$E,'Data(perSeason,perCrop)'!$S:$S,Indicators!$B69,'Data(perSeason,perCrop)'!$O:$O,Indicators!CF$7,'Data(perSeason,perCrop)'!$C:$C,Indicators!CF$3,'Data(perSeason,perCrop)'!$R:$R,"IRRIGATED")</f>
        <v>#DIV/0!</v>
      </c>
      <c r="CG69" s="7" t="e">
        <f>AVERAGEIFS('Data(perSeason,perCrop)'!$E:$E,'Data(perSeason,perCrop)'!$S:$S,Indicators!$B69,'Data(perSeason,perCrop)'!$O:$O,Indicators!CG$7,'Data(perSeason,perCrop)'!$C:$C,Indicators!CG$3,'Data(perSeason,perCrop)'!$R:$R,"IRRIGATED")</f>
        <v>#DIV/0!</v>
      </c>
      <c r="CH69" s="7" t="e">
        <f>AVERAGEIFS('Data(perSeason,perCrop)'!$E:$E,'Data(perSeason,perCrop)'!$S:$S,Indicators!$B69,'Data(perSeason,perCrop)'!$O:$O,Indicators!CH$7,'Data(perSeason,perCrop)'!$C:$C,Indicators!CH$3,'Data(perSeason,perCrop)'!$R:$R,"IRRIGATED")</f>
        <v>#DIV/0!</v>
      </c>
      <c r="CI69" s="7" t="e">
        <f>AVERAGEIFS('Data(perSeason,perCrop)'!$E:$E,'Data(perSeason,perCrop)'!$S:$S,Indicators!$B69,'Data(perSeason,perCrop)'!$O:$O,Indicators!CI$7,'Data(perSeason,perCrop)'!$C:$C,Indicators!CI$3,'Data(perSeason,perCrop)'!$R:$R,"IRRIGATED")</f>
        <v>#DIV/0!</v>
      </c>
      <c r="CJ69" s="7" t="e">
        <f>AVERAGEIFS('Data(perSeason,perCrop)'!$E:$E,'Data(perSeason,perCrop)'!$S:$S,Indicators!$B69,'Data(perSeason,perCrop)'!$O:$O,Indicators!CJ$7,'Data(perSeason,perCrop)'!$C:$C,Indicators!CJ$3,'Data(perSeason,perCrop)'!$R:$R,"IRRIGATED")</f>
        <v>#DIV/0!</v>
      </c>
      <c r="CK69" s="7" t="e">
        <f>AVERAGEIFS('Data(perSeason,perCrop)'!$E:$E,'Data(perSeason,perCrop)'!$S:$S,Indicators!$B69,'Data(perSeason,perCrop)'!$O:$O,Indicators!CK$7,'Data(perSeason,perCrop)'!$C:$C,Indicators!CK$3,'Data(perSeason,perCrop)'!$R:$R,"IRRIGATED")</f>
        <v>#DIV/0!</v>
      </c>
      <c r="CL69" s="7" t="e">
        <f>AVERAGEIFS('Data(perSeason,perCrop)'!$E:$E,'Data(perSeason,perCrop)'!$S:$S,Indicators!$B69,'Data(perSeason,perCrop)'!$O:$O,Indicators!CL$7,'Data(perSeason,perCrop)'!$C:$C,Indicators!CL$3,'Data(perSeason,perCrop)'!$R:$R,"IRRIGATED")</f>
        <v>#DIV/0!</v>
      </c>
      <c r="CM69" s="7" t="e">
        <f>AVERAGEIFS('Data(perSeason,perCrop)'!$E:$E,'Data(perSeason,perCrop)'!$S:$S,Indicators!$B69,'Data(perSeason,perCrop)'!$O:$O,Indicators!CM$7,'Data(perSeason,perCrop)'!$C:$C,Indicators!CM$3,'Data(perSeason,perCrop)'!$R:$R,"IRRIGATED")</f>
        <v>#DIV/0!</v>
      </c>
      <c r="CN69" s="7" t="e">
        <f>AVERAGEIFS('Data(perSeason,perCrop)'!$E:$E,'Data(perSeason,perCrop)'!$S:$S,Indicators!$B69,'Data(perSeason,perCrop)'!$O:$O,Indicators!CN$7,'Data(perSeason,perCrop)'!$C:$C,Indicators!CN$3,'Data(perSeason,perCrop)'!$R:$R,"IRRIGATED")</f>
        <v>#DIV/0!</v>
      </c>
      <c r="CO69" s="7" t="e">
        <f>AVERAGEIFS('Data(perSeason,perCrop)'!$E:$E,'Data(perSeason,perCrop)'!$S:$S,Indicators!$B69,'Data(perSeason,perCrop)'!$O:$O,Indicators!CO$7,'Data(perSeason,perCrop)'!$C:$C,Indicators!CO$3,'Data(perSeason,perCrop)'!$R:$R,"IRRIGATED")</f>
        <v>#DIV/0!</v>
      </c>
      <c r="CP69" s="7">
        <f>AVERAGEIFS('Data(perSeason,perCrop)'!$E:$E,'Data(perSeason,perCrop)'!$S:$S,Indicators!$B69,'Data(perSeason,perCrop)'!$O:$O,Indicators!CP$7,'Data(perSeason,perCrop)'!$C:$C,Indicators!CP$3,'Data(perSeason,perCrop)'!$R:$R,"IRRIGATED")</f>
        <v>477</v>
      </c>
      <c r="CQ69" s="7">
        <f>AVERAGEIFS('Data(perSeason,perCrop)'!$E:$E,'Data(perSeason,perCrop)'!$S:$S,Indicators!$B69,'Data(perSeason,perCrop)'!$O:$O,Indicators!CQ$7,'Data(perSeason,perCrop)'!$C:$C,Indicators!CQ$3,'Data(perSeason,perCrop)'!$R:$R,"IRRIGATED")</f>
        <v>331</v>
      </c>
      <c r="CR69" s="7" t="e">
        <f>AVERAGEIFS('Data(perSeason,perCrop)'!$E:$E,'Data(perSeason,perCrop)'!$S:$S,Indicators!$B69,'Data(perSeason,perCrop)'!$O:$O,Indicators!CR$7,'Data(perSeason,perCrop)'!$C:$C,Indicators!CR$3,'Data(perSeason,perCrop)'!$R:$R,"IRRIGATED")</f>
        <v>#DIV/0!</v>
      </c>
      <c r="CS69" s="7">
        <f>AVERAGEIFS('Data(perSeason,perCrop)'!$E:$E,'Data(perSeason,perCrop)'!$S:$S,Indicators!$B69,'Data(perSeason,perCrop)'!$O:$O,Indicators!CS$7,'Data(perSeason,perCrop)'!$C:$C,Indicators!CS$3,'Data(perSeason,perCrop)'!$R:$R,"IRRIGATED")</f>
        <v>325</v>
      </c>
      <c r="CT69" s="7" t="e">
        <f>AVERAGEIFS('Data(perSeason,perCrop)'!$E:$E,'Data(perSeason,perCrop)'!$S:$S,Indicators!$B69,'Data(perSeason,perCrop)'!$O:$O,Indicators!CT$7,'Data(perSeason,perCrop)'!$C:$C,Indicators!CT$3,'Data(perSeason,perCrop)'!$R:$R,"IRRIGATED")</f>
        <v>#DIV/0!</v>
      </c>
      <c r="CU69" s="7" t="e">
        <f>AVERAGEIFS('Data(perSeason,perCrop)'!$E:$E,'Data(perSeason,perCrop)'!$S:$S,Indicators!$B69,'Data(perSeason,perCrop)'!$O:$O,Indicators!CU$7,'Data(perSeason,perCrop)'!$C:$C,Indicators!CU$3,'Data(perSeason,perCrop)'!$R:$R,"IRRIGATED")</f>
        <v>#DIV/0!</v>
      </c>
      <c r="CV69" s="7">
        <f>AVERAGEIFS('Data(perSeason,perCrop)'!$E:$E,'Data(perSeason,perCrop)'!$S:$S,Indicators!$B69,'Data(perSeason,perCrop)'!$O:$O,Indicators!CV$7,'Data(perSeason,perCrop)'!$C:$C,Indicators!CV$3,'Data(perSeason,perCrop)'!$R:$R,"IRRIGATED")</f>
        <v>404</v>
      </c>
      <c r="CW69" s="7" t="e">
        <f>AVERAGEIFS('Data(perSeason,perCrop)'!$E:$E,'Data(perSeason,perCrop)'!$S:$S,Indicators!$B69,'Data(perSeason,perCrop)'!$O:$O,Indicators!CW$7,'Data(perSeason,perCrop)'!$C:$C,Indicators!CW$3,'Data(perSeason,perCrop)'!$R:$R,"IRRIGATED")</f>
        <v>#DIV/0!</v>
      </c>
      <c r="CX69" s="7" t="e">
        <f>AVERAGEIFS('Data(perSeason,perCrop)'!$E:$E,'Data(perSeason,perCrop)'!$S:$S,Indicators!$B69,'Data(perSeason,perCrop)'!$O:$O,Indicators!CX$7,'Data(perSeason,perCrop)'!$C:$C,Indicators!CX$3,'Data(perSeason,perCrop)'!$R:$R,"IRRIGATED")</f>
        <v>#DIV/0!</v>
      </c>
      <c r="CY69" s="7" t="e">
        <f>AVERAGEIFS('Data(perSeason,perCrop)'!$E:$E,'Data(perSeason,perCrop)'!$S:$S,Indicators!$B69,'Data(perSeason,perCrop)'!$O:$O,Indicators!CY$7,'Data(perSeason,perCrop)'!$C:$C,Indicators!CY$3,'Data(perSeason,perCrop)'!$R:$R,"IRRIGATED")</f>
        <v>#DIV/0!</v>
      </c>
      <c r="CZ69" s="7" t="e">
        <f>AVERAGEIFS('Data(perSeason,perCrop)'!$E:$E,'Data(perSeason,perCrop)'!$S:$S,Indicators!$B69,'Data(perSeason,perCrop)'!$O:$O,Indicators!CZ$7,'Data(perSeason,perCrop)'!$C:$C,Indicators!CZ$3,'Data(perSeason,perCrop)'!$R:$R,"IRRIGATED")</f>
        <v>#DIV/0!</v>
      </c>
      <c r="DA69" s="7" t="e">
        <f>AVERAGEIFS('Data(perSeason,perCrop)'!$E:$E,'Data(perSeason,perCrop)'!$S:$S,Indicators!$B69,'Data(perSeason,perCrop)'!$O:$O,Indicators!DA$7,'Data(perSeason,perCrop)'!$C:$C,Indicators!DA$3,'Data(perSeason,perCrop)'!$R:$R,"IRRIGATED")</f>
        <v>#DIV/0!</v>
      </c>
      <c r="DB69" s="7" t="e">
        <f>AVERAGEIFS('Data(perSeason,perCrop)'!$E:$E,'Data(perSeason,perCrop)'!$S:$S,Indicators!$B69,'Data(perSeason,perCrop)'!$O:$O,Indicators!DB$7,'Data(perSeason,perCrop)'!$C:$C,Indicators!DB$3,'Data(perSeason,perCrop)'!$R:$R,"IRRIGATED")</f>
        <v>#DIV/0!</v>
      </c>
      <c r="DC69" s="7" t="e">
        <f>AVERAGEIFS('Data(perSeason,perCrop)'!$E:$E,'Data(perSeason,perCrop)'!$S:$S,Indicators!$B69,'Data(perSeason,perCrop)'!$O:$O,Indicators!DC$7,'Data(perSeason,perCrop)'!$C:$C,Indicators!DC$3,'Data(perSeason,perCrop)'!$R:$R,"IRRIGATED")</f>
        <v>#DIV/0!</v>
      </c>
      <c r="DD69" s="7" t="e">
        <f>AVERAGEIFS('Data(perSeason,perCrop)'!$E:$E,'Data(perSeason,perCrop)'!$S:$S,Indicators!$B69,'Data(perSeason,perCrop)'!$O:$O,Indicators!DD$7,'Data(perSeason,perCrop)'!$C:$C,Indicators!DD$3,'Data(perSeason,perCrop)'!$R:$R,"IRRIGATED")</f>
        <v>#DIV/0!</v>
      </c>
      <c r="DE69" s="7" t="e">
        <f>AVERAGEIFS('Data(perSeason,perCrop)'!$E:$E,'Data(perSeason,perCrop)'!$S:$S,Indicators!$B69,'Data(perSeason,perCrop)'!$O:$O,Indicators!DE$7,'Data(perSeason,perCrop)'!$C:$C,Indicators!DE$3,'Data(perSeason,perCrop)'!$R:$R,"IRRIGATED")</f>
        <v>#DIV/0!</v>
      </c>
      <c r="DF69" s="7" t="e">
        <f>AVERAGEIFS('Data(perSeason,perCrop)'!$E:$E,'Data(perSeason,perCrop)'!$S:$S,Indicators!$B69,'Data(perSeason,perCrop)'!$O:$O,Indicators!DF$7,'Data(perSeason,perCrop)'!$C:$C,Indicators!DF$3,'Data(perSeason,perCrop)'!$R:$R,"IRRIGATED")</f>
        <v>#DIV/0!</v>
      </c>
      <c r="DG69" s="7" t="e">
        <f>AVERAGEIFS('Data(perSeason,perCrop)'!$E:$E,'Data(perSeason,perCrop)'!$S:$S,Indicators!$B69,'Data(perSeason,perCrop)'!$O:$O,Indicators!DG$7,'Data(perSeason,perCrop)'!$C:$C,Indicators!DG$3,'Data(perSeason,perCrop)'!$R:$R,"IRRIGATED")</f>
        <v>#DIV/0!</v>
      </c>
    </row>
    <row r="70" spans="1:111" x14ac:dyDescent="0.25">
      <c r="A70" t="s">
        <v>75</v>
      </c>
      <c r="B70">
        <v>2020</v>
      </c>
      <c r="C70" s="8">
        <f>IF(COUNTIFS('Data(perSeason,perCrop)'!$S:$S,Indicators!$B70)&gt;0,AVERAGEIFS('Data(perSeason,perCrop)'!$H:$H,'Data(perSeason,perCrop)'!$S:$S,Indicators!$B70,'Data(perSeason,perCrop)'!$O:$O,Indicators!C$7,'Data(perSeason,perCrop)'!$R:$R,"IRRIGATED"),"")</f>
        <v>0.142510961535599</v>
      </c>
      <c r="D70" s="8">
        <f>IF(COUNTIFS('Data(perSeason,perCrop)'!$S:$S,Indicators!$B70)&gt;0,AVERAGEIFS('Data(perSeason,perCrop)'!$H:$H,'Data(perSeason,perCrop)'!$S:$S,Indicators!$B70,'Data(perSeason,perCrop)'!$O:$O,Indicators!D$7,'Data(perSeason,perCrop)'!$R:$R,"IRRIGATED"),"")</f>
        <v>4.2734244163670401E-2</v>
      </c>
      <c r="E70" s="8">
        <f>IF(COUNTIFS('Data(perSeason,perCrop)'!$S:$S,Indicators!$B70)&gt;0,AVERAGEIFS('Data(perSeason,perCrop)'!$H:$H,'Data(perSeason,perCrop)'!$S:$S,Indicators!$B70,'Data(perSeason,perCrop)'!$O:$O,Indicators!E$7,'Data(perSeason,perCrop)'!$R:$R,"IRRIGATED"),"")</f>
        <v>0.12550526164343501</v>
      </c>
      <c r="F70" s="8">
        <f>IF(COUNTIFS('Data(perSeason,perCrop)'!$S:$S,Indicators!$B70)&gt;0,AVERAGEIFS('Data(perSeason,perCrop)'!$H:$H,'Data(perSeason,perCrop)'!$S:$S,Indicators!$B70,'Data(perSeason,perCrop)'!$O:$O,Indicators!F$7,'Data(perSeason,perCrop)'!$R:$R,"IRRIGATED"),"")</f>
        <v>0.12081794457820001</v>
      </c>
      <c r="G70" s="8"/>
      <c r="H70" s="8"/>
      <c r="J70" s="2" t="s">
        <v>27</v>
      </c>
      <c r="K70" s="7">
        <f>AVERAGEIFS('Data(perSeason,perCrop)'!$E:$E,'Data(perSeason,perCrop)'!$S:$S,Indicators!$B70,'Data(perSeason,perCrop)'!$O:$O,Indicators!K$7,'Data(perSeason,perCrop)'!$C:$C,Indicators!K$3,'Data(perSeason,perCrop)'!$R:$R,"IRRIGATED")</f>
        <v>447</v>
      </c>
      <c r="L70" s="7">
        <f>AVERAGEIFS('Data(perSeason,perCrop)'!$E:$E,'Data(perSeason,perCrop)'!$S:$S,Indicators!$B70,'Data(perSeason,perCrop)'!$O:$O,Indicators!L$7,'Data(perSeason,perCrop)'!$C:$C,Indicators!L$3,'Data(perSeason,perCrop)'!$R:$R,"IRRIGATED")</f>
        <v>660</v>
      </c>
      <c r="M70" s="7">
        <f>AVERAGEIFS('Data(perSeason,perCrop)'!$E:$E,'Data(perSeason,perCrop)'!$S:$S,Indicators!$B70,'Data(perSeason,perCrop)'!$O:$O,Indicators!M$7,'Data(perSeason,perCrop)'!$C:$C,Indicators!M$3,'Data(perSeason,perCrop)'!$R:$R,"IRRIGATED")</f>
        <v>762</v>
      </c>
      <c r="N70" s="7">
        <f>AVERAGEIFS('Data(perSeason,perCrop)'!$E:$E,'Data(perSeason,perCrop)'!$S:$S,Indicators!$B70,'Data(perSeason,perCrop)'!$O:$O,Indicators!N$7,'Data(perSeason,perCrop)'!$C:$C,Indicators!N$3,'Data(perSeason,perCrop)'!$R:$R,"IRRIGATED")</f>
        <v>1011</v>
      </c>
      <c r="O70" s="7">
        <f>AVERAGEIFS('Data(perSeason,perCrop)'!$E:$E,'Data(perSeason,perCrop)'!$S:$S,Indicators!$B70,'Data(perSeason,perCrop)'!$O:$O,Indicators!O$7,'Data(perSeason,perCrop)'!$C:$C,Indicators!O$3,'Data(perSeason,perCrop)'!$R:$R,"IRRIGATED")</f>
        <v>476</v>
      </c>
      <c r="P70" s="7" t="e">
        <f>AVERAGEIFS('Data(perSeason,perCrop)'!$E:$E,'Data(perSeason,perCrop)'!$S:$S,Indicators!$B70,'Data(perSeason,perCrop)'!$O:$O,Indicators!P$7,'Data(perSeason,perCrop)'!$C:$C,Indicators!P$3,'Data(perSeason,perCrop)'!$R:$R,"IRRIGATED")</f>
        <v>#DIV/0!</v>
      </c>
      <c r="Q70" s="7">
        <f>AVERAGEIFS('Data(perSeason,perCrop)'!$E:$E,'Data(perSeason,perCrop)'!$S:$S,Indicators!$B70,'Data(perSeason,perCrop)'!$O:$O,Indicators!Q$7,'Data(perSeason,perCrop)'!$C:$C,Indicators!Q$3,'Data(perSeason,perCrop)'!$R:$R,"IRRIGATED")</f>
        <v>861</v>
      </c>
      <c r="R70" s="7" t="e">
        <f>AVERAGEIFS('Data(perSeason,perCrop)'!$E:$E,'Data(perSeason,perCrop)'!$S:$S,Indicators!$B70,'Data(perSeason,perCrop)'!$O:$O,Indicators!R$7,'Data(perSeason,perCrop)'!$C:$C,Indicators!R$3,'Data(perSeason,perCrop)'!$R:$R,"IRRIGATED")</f>
        <v>#DIV/0!</v>
      </c>
      <c r="S70" s="62" t="e">
        <f>AVERAGEIFS('Data(perSeason,perCrop)'!$E:$E,'Data(perSeason,perCrop)'!$S:$S,Indicators!$B70,'Data(perSeason,perCrop)'!$O:$O,Indicators!S$7,'Data(perSeason,perCrop)'!$C:$C,Indicators!S$3,'Data(perSeason,perCrop)'!$R:$R,"IRRIGATED")</f>
        <v>#DIV/0!</v>
      </c>
      <c r="T70" s="62">
        <f>AVERAGEIFS('Data(perSeason,perCrop)'!$E:$E,'Data(perSeason,perCrop)'!$S:$S,Indicators!$B70,'Data(perSeason,perCrop)'!$O:$O,Indicators!T$7,'Data(perSeason,perCrop)'!$C:$C,Indicators!T$3,'Data(perSeason,perCrop)'!$R:$R,"IRRIGATED")</f>
        <v>288</v>
      </c>
      <c r="U70" s="62" t="e">
        <f>AVERAGEIFS('Data(perSeason,perCrop)'!$E:$E,'Data(perSeason,perCrop)'!$S:$S,Indicators!$B70,'Data(perSeason,perCrop)'!$O:$O,Indicators!U$7,'Data(perSeason,perCrop)'!$C:$C,Indicators!U$3,'Data(perSeason,perCrop)'!$R:$R,"IRRIGATED")</f>
        <v>#DIV/0!</v>
      </c>
      <c r="V70" s="62" t="e">
        <f>AVERAGEIFS('Data(perSeason,perCrop)'!$E:$E,'Data(perSeason,perCrop)'!$S:$S,Indicators!$B70,'Data(perSeason,perCrop)'!$O:$O,Indicators!V$7,'Data(perSeason,perCrop)'!$C:$C,Indicators!V$3,'Data(perSeason,perCrop)'!$R:$R,"IRRIGATED")</f>
        <v>#DIV/0!</v>
      </c>
      <c r="W70" s="62" t="e">
        <f>AVERAGEIFS('Data(perSeason,perCrop)'!$E:$E,'Data(perSeason,perCrop)'!$S:$S,Indicators!$B70,'Data(perSeason,perCrop)'!$O:$O,Indicators!W$7,'Data(perSeason,perCrop)'!$C:$C,Indicators!W$3,'Data(perSeason,perCrop)'!$R:$R,"IRRIGATED")</f>
        <v>#DIV/0!</v>
      </c>
      <c r="X70" s="62" t="e">
        <f>AVERAGEIFS('Data(perSeason,perCrop)'!$E:$E,'Data(perSeason,perCrop)'!$S:$S,Indicators!$B70,'Data(perSeason,perCrop)'!$O:$O,Indicators!X$7,'Data(perSeason,perCrop)'!$C:$C,Indicators!X$3,'Data(perSeason,perCrop)'!$R:$R,"IRRIGATED")</f>
        <v>#DIV/0!</v>
      </c>
      <c r="Y70" s="62" t="e">
        <f>AVERAGEIFS('Data(perSeason,perCrop)'!$E:$E,'Data(perSeason,perCrop)'!$S:$S,Indicators!$B70,'Data(perSeason,perCrop)'!$O:$O,Indicators!Y$7,'Data(perSeason,perCrop)'!$C:$C,Indicators!Y$3,'Data(perSeason,perCrop)'!$R:$R,"IRRIGATED")</f>
        <v>#DIV/0!</v>
      </c>
      <c r="Z70" s="62" t="e">
        <f>AVERAGEIFS('Data(perSeason,perCrop)'!$E:$E,'Data(perSeason,perCrop)'!$S:$S,Indicators!$B70,'Data(perSeason,perCrop)'!$O:$O,Indicators!Z$7,'Data(perSeason,perCrop)'!$C:$C,Indicators!Z$3,'Data(perSeason,perCrop)'!$R:$R,"IRRIGATED")</f>
        <v>#DIV/0!</v>
      </c>
      <c r="AA70" s="62" t="e">
        <f>AVERAGEIFS('Data(perSeason,perCrop)'!$E:$E,'Data(perSeason,perCrop)'!$S:$S,Indicators!$B70,'Data(perSeason,perCrop)'!$O:$O,Indicators!AA$7,'Data(perSeason,perCrop)'!$C:$C,Indicators!AA$3,'Data(perSeason,perCrop)'!$R:$R,"IRRIGATED")</f>
        <v>#DIV/0!</v>
      </c>
      <c r="AB70" s="62" t="e">
        <f>AVERAGEIFS('Data(perSeason,perCrop)'!$E:$E,'Data(perSeason,perCrop)'!$S:$S,Indicators!$B70,'Data(perSeason,perCrop)'!$O:$O,Indicators!AB$7,'Data(perSeason,perCrop)'!$C:$C,Indicators!AB$3,'Data(perSeason,perCrop)'!$R:$R,"IRRIGATED")</f>
        <v>#DIV/0!</v>
      </c>
      <c r="AC70" s="62" t="e">
        <f>AVERAGEIFS('Data(perSeason,perCrop)'!$E:$E,'Data(perSeason,perCrop)'!$S:$S,Indicators!$B70,'Data(perSeason,perCrop)'!$O:$O,Indicators!AC$7,'Data(perSeason,perCrop)'!$C:$C,Indicators!AC$3,'Data(perSeason,perCrop)'!$R:$R,"IRRIGATED")</f>
        <v>#DIV/0!</v>
      </c>
      <c r="AD70" s="62" t="e">
        <f>AVERAGEIFS('Data(perSeason,perCrop)'!$E:$E,'Data(perSeason,perCrop)'!$S:$S,Indicators!$B70,'Data(perSeason,perCrop)'!$O:$O,Indicators!AD$7,'Data(perSeason,perCrop)'!$C:$C,Indicators!AD$3,'Data(perSeason,perCrop)'!$R:$R,"IRRIGATED")</f>
        <v>#DIV/0!</v>
      </c>
      <c r="AE70" s="62" t="e">
        <f>AVERAGEIFS('Data(perSeason,perCrop)'!$E:$E,'Data(perSeason,perCrop)'!$S:$S,Indicators!$B70,'Data(perSeason,perCrop)'!$O:$O,Indicators!AE$7,'Data(perSeason,perCrop)'!$C:$C,Indicators!AE$3,'Data(perSeason,perCrop)'!$R:$R,"IRRIGATED")</f>
        <v>#DIV/0!</v>
      </c>
      <c r="AF70" s="62">
        <f>AVERAGEIFS('Data(perSeason,perCrop)'!$E:$E,'Data(perSeason,perCrop)'!$S:$S,Indicators!$B70,'Data(perSeason,perCrop)'!$O:$O,Indicators!AF$7,'Data(perSeason,perCrop)'!$C:$C,Indicators!AF$3,'Data(perSeason,perCrop)'!$R:$R,"IRRIGATED")</f>
        <v>364</v>
      </c>
      <c r="AG70" s="62">
        <f>AVERAGEIFS('Data(perSeason,perCrop)'!$E:$E,'Data(perSeason,perCrop)'!$S:$S,Indicators!$B70,'Data(perSeason,perCrop)'!$O:$O,Indicators!AG$7,'Data(perSeason,perCrop)'!$C:$C,Indicators!AG$3,'Data(perSeason,perCrop)'!$R:$R,"IRRIGATED")</f>
        <v>316</v>
      </c>
      <c r="AH70" s="62" t="e">
        <f>AVERAGEIFS('Data(perSeason,perCrop)'!$E:$E,'Data(perSeason,perCrop)'!$S:$S,Indicators!$B70,'Data(perSeason,perCrop)'!$O:$O,Indicators!AH$7,'Data(perSeason,perCrop)'!$C:$C,Indicators!AH$3,'Data(perSeason,perCrop)'!$R:$R,"IRRIGATED")</f>
        <v>#DIV/0!</v>
      </c>
      <c r="AI70" s="62">
        <f>AVERAGEIFS('Data(perSeason,perCrop)'!$E:$E,'Data(perSeason,perCrop)'!$S:$S,Indicators!$B70,'Data(perSeason,perCrop)'!$O:$O,Indicators!AI$7,'Data(perSeason,perCrop)'!$C:$C,Indicators!AI$3,'Data(perSeason,perCrop)'!$R:$R,"IRRIGATED")</f>
        <v>321</v>
      </c>
      <c r="AJ70" s="62" t="e">
        <f>AVERAGEIFS('Data(perSeason,perCrop)'!$E:$E,'Data(perSeason,perCrop)'!$S:$S,Indicators!$B70,'Data(perSeason,perCrop)'!$O:$O,Indicators!AJ$7,'Data(perSeason,perCrop)'!$C:$C,Indicators!AJ$3,'Data(perSeason,perCrop)'!$R:$R,"IRRIGATED")</f>
        <v>#DIV/0!</v>
      </c>
      <c r="AK70" s="62" t="e">
        <f>AVERAGEIFS('Data(perSeason,perCrop)'!$E:$E,'Data(perSeason,perCrop)'!$S:$S,Indicators!$B70,'Data(perSeason,perCrop)'!$O:$O,Indicators!AK$7,'Data(perSeason,perCrop)'!$C:$C,Indicators!AK$3,'Data(perSeason,perCrop)'!$R:$R,"IRRIGATED")</f>
        <v>#DIV/0!</v>
      </c>
      <c r="AL70" s="62">
        <f>AVERAGEIFS('Data(perSeason,perCrop)'!$E:$E,'Data(perSeason,perCrop)'!$S:$S,Indicators!$B70,'Data(perSeason,perCrop)'!$O:$O,Indicators!AL$7,'Data(perSeason,perCrop)'!$C:$C,Indicators!AL$3,'Data(perSeason,perCrop)'!$R:$R,"IRRIGATED")</f>
        <v>321</v>
      </c>
      <c r="AM70" s="62" t="e">
        <f>AVERAGEIFS('Data(perSeason,perCrop)'!$E:$E,'Data(perSeason,perCrop)'!$S:$S,Indicators!$B70,'Data(perSeason,perCrop)'!$O:$O,Indicators!AM$7,'Data(perSeason,perCrop)'!$C:$C,Indicators!AM$3,'Data(perSeason,perCrop)'!$R:$R,"IRRIGATED")</f>
        <v>#DIV/0!</v>
      </c>
      <c r="AN70" s="62" t="e">
        <f>AVERAGEIFS('Data(perSeason,perCrop)'!$E:$E,'Data(perSeason,perCrop)'!$S:$S,Indicators!$B70,'Data(perSeason,perCrop)'!$O:$O,Indicators!AN$7,'Data(perSeason,perCrop)'!$C:$C,Indicators!AN$3,'Data(perSeason,perCrop)'!$R:$R,"IRRIGATED")</f>
        <v>#DIV/0!</v>
      </c>
      <c r="AO70" s="62" t="e">
        <f>AVERAGEIFS('Data(perSeason,perCrop)'!$E:$E,'Data(perSeason,perCrop)'!$S:$S,Indicators!$B70,'Data(perSeason,perCrop)'!$O:$O,Indicators!AO$7,'Data(perSeason,perCrop)'!$C:$C,Indicators!AO$3,'Data(perSeason,perCrop)'!$R:$R,"IRRIGATED")</f>
        <v>#DIV/0!</v>
      </c>
      <c r="AP70" s="62" t="e">
        <f>AVERAGEIFS('Data(perSeason,perCrop)'!$E:$E,'Data(perSeason,perCrop)'!$S:$S,Indicators!$B70,'Data(perSeason,perCrop)'!$O:$O,Indicators!AP$7,'Data(perSeason,perCrop)'!$C:$C,Indicators!AP$3,'Data(perSeason,perCrop)'!$R:$R,"IRRIGATED")</f>
        <v>#DIV/0!</v>
      </c>
      <c r="AQ70" s="62" t="e">
        <f>AVERAGEIFS('Data(perSeason,perCrop)'!$E:$E,'Data(perSeason,perCrop)'!$S:$S,Indicators!$B70,'Data(perSeason,perCrop)'!$O:$O,Indicators!AQ$7,'Data(perSeason,perCrop)'!$C:$C,Indicators!AQ$3,'Data(perSeason,perCrop)'!$R:$R,"IRRIGATED")</f>
        <v>#DIV/0!</v>
      </c>
      <c r="AR70" s="62" t="e">
        <f>AVERAGEIFS('Data(perSeason,perCrop)'!$E:$E,'Data(perSeason,perCrop)'!$S:$S,Indicators!$B70,'Data(perSeason,perCrop)'!$O:$O,Indicators!AR$7,'Data(perSeason,perCrop)'!$C:$C,Indicators!AR$3,'Data(perSeason,perCrop)'!$R:$R,"IRRIGATED")</f>
        <v>#DIV/0!</v>
      </c>
      <c r="AS70" s="62" t="e">
        <f>AVERAGEIFS('Data(perSeason,perCrop)'!$E:$E,'Data(perSeason,perCrop)'!$S:$S,Indicators!$B70,'Data(perSeason,perCrop)'!$O:$O,Indicators!AS$7,'Data(perSeason,perCrop)'!$C:$C,Indicators!AS$3,'Data(perSeason,perCrop)'!$R:$R,"IRRIGATED")</f>
        <v>#DIV/0!</v>
      </c>
      <c r="AT70" s="62" t="e">
        <f>AVERAGEIFS('Data(perSeason,perCrop)'!$E:$E,'Data(perSeason,perCrop)'!$S:$S,Indicators!$B70,'Data(perSeason,perCrop)'!$O:$O,Indicators!AT$7,'Data(perSeason,perCrop)'!$C:$C,Indicators!AT$3,'Data(perSeason,perCrop)'!$R:$R,"IRRIGATED")</f>
        <v>#DIV/0!</v>
      </c>
      <c r="AU70" s="62" t="e">
        <f>AVERAGEIFS('Data(perSeason,perCrop)'!$E:$E,'Data(perSeason,perCrop)'!$S:$S,Indicators!$B70,'Data(perSeason,perCrop)'!$O:$O,Indicators!AU$7,'Data(perSeason,perCrop)'!$C:$C,Indicators!AU$3,'Data(perSeason,perCrop)'!$R:$R,"IRRIGATED")</f>
        <v>#DIV/0!</v>
      </c>
      <c r="AV70" s="62" t="e">
        <f>AVERAGEIFS('Data(perSeason,perCrop)'!$E:$E,'Data(perSeason,perCrop)'!$S:$S,Indicators!$B70,'Data(perSeason,perCrop)'!$O:$O,Indicators!AV$7,'Data(perSeason,perCrop)'!$C:$C,Indicators!AV$3,'Data(perSeason,perCrop)'!$R:$R,"IRRIGATED")</f>
        <v>#DIV/0!</v>
      </c>
      <c r="AW70" s="62" t="e">
        <f>AVERAGEIFS('Data(perSeason,perCrop)'!$E:$E,'Data(perSeason,perCrop)'!$S:$S,Indicators!$B70,'Data(perSeason,perCrop)'!$O:$O,Indicators!AW$7,'Data(perSeason,perCrop)'!$C:$C,Indicators!AW$3,'Data(perSeason,perCrop)'!$R:$R,"IRRIGATED")</f>
        <v>#DIV/0!</v>
      </c>
      <c r="AX70" s="82"/>
      <c r="AY70" s="82">
        <f>IFERROR(AVERAGEIFS('Data(perSeason,perCrop)'!$E:$E,'Data(perSeason,perCrop)'!$S:$S,Indicators!$B70,'Data(perSeason,perCrop)'!$O:$O,Indicators!AY$7,'Data(perSeason,perCrop)'!$C:$C,Indicators!AY$3,'Data(perSeason,perCrop)'!$R:$R,"IRRIGATED"),"")</f>
        <v>221</v>
      </c>
      <c r="AZ70" s="82" t="str">
        <f>IFERROR(AVERAGEIFS('Data(perSeason,perCrop)'!$E:$E,'Data(perSeason,perCrop)'!$S:$S,Indicators!$B70,'Data(perSeason,perCrop)'!$O:$O,Indicators!AZ$7,'Data(perSeason,perCrop)'!$C:$C,Indicators!AZ$3,'Data(perSeason,perCrop)'!$R:$R,"IRRIGATED"),"")</f>
        <v/>
      </c>
      <c r="BA70" s="82" t="str">
        <f>IFERROR(AVERAGEIFS('Data(perSeason,perCrop)'!$E:$E,'Data(perSeason,perCrop)'!$S:$S,Indicators!$B70,'Data(perSeason,perCrop)'!$O:$O,Indicators!BA$7,'Data(perSeason,perCrop)'!$C:$C,Indicators!BA$3,'Data(perSeason,perCrop)'!$R:$R,"IRRIGATED"),"")</f>
        <v/>
      </c>
      <c r="BB70" s="82" t="str">
        <f>IFERROR(AVERAGEIFS('Data(perSeason,perCrop)'!$E:$E,'Data(perSeason,perCrop)'!$S:$S,Indicators!$B70,'Data(perSeason,perCrop)'!$O:$O,Indicators!BB$7,'Data(perSeason,perCrop)'!$C:$C,Indicators!BB$3,'Data(perSeason,perCrop)'!$R:$R,"IRRIGATED"),"")</f>
        <v/>
      </c>
      <c r="BC70" s="82" t="str">
        <f>IFERROR(AVERAGEIFS('Data(perSeason,perCrop)'!$E:$E,'Data(perSeason,perCrop)'!$S:$S,Indicators!$B70,'Data(perSeason,perCrop)'!$O:$O,Indicators!BC$7,'Data(perSeason,perCrop)'!$C:$C,Indicators!BC$3,'Data(perSeason,perCrop)'!$R:$R,"IRRIGATED"),"")</f>
        <v/>
      </c>
      <c r="BD70" s="82" t="str">
        <f>IFERROR(AVERAGEIFS('Data(perSeason,perCrop)'!$E:$E,'Data(perSeason,perCrop)'!$S:$S,Indicators!$B70,'Data(perSeason,perCrop)'!$O:$O,Indicators!BD$7,'Data(perSeason,perCrop)'!$C:$C,Indicators!BD$3,'Data(perSeason,perCrop)'!$R:$R,"IRRIGATED"),"")</f>
        <v/>
      </c>
      <c r="BE70" s="82" t="str">
        <f>IFERROR(AVERAGEIFS('Data(perSeason,perCrop)'!$E:$E,'Data(perSeason,perCrop)'!$S:$S,Indicators!$B70,'Data(perSeason,perCrop)'!$O:$O,Indicators!BE$7,'Data(perSeason,perCrop)'!$C:$C,Indicators!BE$3,'Data(perSeason,perCrop)'!$R:$R,"IRRIGATED"),"")</f>
        <v/>
      </c>
      <c r="BF70" s="82" t="str">
        <f>IFERROR(AVERAGEIFS('Data(perSeason,perCrop)'!$E:$E,'Data(perSeason,perCrop)'!$S:$S,Indicators!$B70,'Data(perSeason,perCrop)'!$O:$O,Indicators!BF$7,'Data(perSeason,perCrop)'!$C:$C,Indicators!BF$3,'Data(perSeason,perCrop)'!$R:$R,"IRRIGATED"),"")</f>
        <v/>
      </c>
      <c r="BG70" s="82" t="str">
        <f>IFERROR(AVERAGEIFS('Data(perSeason,perCrop)'!$E:$E,'Data(perSeason,perCrop)'!$S:$S,Indicators!$B70,'Data(perSeason,perCrop)'!$O:$O,Indicators!BG$7,'Data(perSeason,perCrop)'!$C:$C,Indicators!BG$3,'Data(perSeason,perCrop)'!$R:$R,"IRRIGATED"),"")</f>
        <v/>
      </c>
      <c r="BH70" s="82" t="str">
        <f>IFERROR(AVERAGEIFS('Data(perSeason,perCrop)'!$E:$E,'Data(perSeason,perCrop)'!$S:$S,Indicators!$B70,'Data(perSeason,perCrop)'!$O:$O,Indicators!BH$7,'Data(perSeason,perCrop)'!$C:$C,Indicators!BH$3,'Data(perSeason,perCrop)'!$R:$R,"IRRIGATED"),"")</f>
        <v/>
      </c>
      <c r="BI70" s="82" t="str">
        <f>IFERROR(AVERAGEIFS('Data(perSeason,perCrop)'!$E:$E,'Data(perSeason,perCrop)'!$S:$S,Indicators!$B70,'Data(perSeason,perCrop)'!$O:$O,Indicators!BI$7,'Data(perSeason,perCrop)'!$C:$C,Indicators!BI$3,'Data(perSeason,perCrop)'!$R:$R,"IRRIGATED"),"")</f>
        <v/>
      </c>
      <c r="BJ70" s="82" t="str">
        <f>IFERROR(AVERAGEIFS('Data(perSeason,perCrop)'!$E:$E,'Data(perSeason,perCrop)'!$S:$S,Indicators!$B70,'Data(perSeason,perCrop)'!$O:$O,Indicators!BJ$7,'Data(perSeason,perCrop)'!$C:$C,Indicators!BJ$3,'Data(perSeason,perCrop)'!$R:$R,"IRRIGATED"),"")</f>
        <v/>
      </c>
      <c r="BK70" s="82" t="str">
        <f>IFERROR(AVERAGEIFS('Data(perSeason,perCrop)'!$E:$E,'Data(perSeason,perCrop)'!$S:$S,Indicators!$B70,'Data(perSeason,perCrop)'!$O:$O,Indicators!BK$7,'Data(perSeason,perCrop)'!$C:$C,Indicators!BK$3,'Data(perSeason,perCrop)'!$R:$R,"IRRIGATED"),"")</f>
        <v/>
      </c>
      <c r="BL70" s="82">
        <f>IFERROR(AVERAGEIFS('Data(perSeason,perCrop)'!$E:$E,'Data(perSeason,perCrop)'!$S:$S,Indicators!$B70,'Data(perSeason,perCrop)'!$O:$O,Indicators!BL$7,'Data(perSeason,perCrop)'!$C:$C,Indicators!BL$3,'Data(perSeason,perCrop)'!$R:$R,"IRRIGATED"),"")</f>
        <v>249</v>
      </c>
      <c r="BM70" s="82" t="str">
        <f>IFERROR(AVERAGEIFS('Data(perSeason,perCrop)'!$E:$E,'Data(perSeason,perCrop)'!$S:$S,Indicators!$B70,'Data(perSeason,perCrop)'!$O:$O,Indicators!BM$7,'Data(perSeason,perCrop)'!$C:$C,Indicators!BM$3,'Data(perSeason,perCrop)'!$R:$R,"IRRIGATED"),"")</f>
        <v/>
      </c>
      <c r="BN70" s="82">
        <f>IFERROR(AVERAGEIFS('Data(perSeason,perCrop)'!$E:$E,'Data(perSeason,perCrop)'!$S:$S,Indicators!$B70,'Data(perSeason,perCrop)'!$O:$O,Indicators!BN$7,'Data(perSeason,perCrop)'!$C:$C,Indicators!BN$3,'Data(perSeason,perCrop)'!$R:$R,"IRRIGATED"),"")</f>
        <v>246</v>
      </c>
      <c r="BO70" s="82" t="str">
        <f>IFERROR(AVERAGEIFS('Data(perSeason,perCrop)'!$E:$E,'Data(perSeason,perCrop)'!$S:$S,Indicators!$B70,'Data(perSeason,perCrop)'!$O:$O,Indicators!BO$7,'Data(perSeason,perCrop)'!$C:$C,Indicators!BO$3,'Data(perSeason,perCrop)'!$R:$R,"IRRIGATED"),"")</f>
        <v/>
      </c>
      <c r="BP70" s="82" t="str">
        <f>IFERROR(AVERAGEIFS('Data(perSeason,perCrop)'!$E:$E,'Data(perSeason,perCrop)'!$S:$S,Indicators!$B70,'Data(perSeason,perCrop)'!$O:$O,Indicators!BP$7,'Data(perSeason,perCrop)'!$C:$C,Indicators!BP$3,'Data(perSeason,perCrop)'!$R:$R,"IRRIGATED"),"")</f>
        <v/>
      </c>
      <c r="BQ70" s="82">
        <f>IFERROR(AVERAGEIFS('Data(perSeason,perCrop)'!$E:$E,'Data(perSeason,perCrop)'!$S:$S,Indicators!$B70,'Data(perSeason,perCrop)'!$O:$O,Indicators!BQ$7,'Data(perSeason,perCrop)'!$C:$C,Indicators!BQ$3,'Data(perSeason,perCrop)'!$R:$R,"IRRIGATED"),"")</f>
        <v>285</v>
      </c>
      <c r="BR70" s="82" t="str">
        <f>IFERROR(AVERAGEIFS('Data(perSeason,perCrop)'!$E:$E,'Data(perSeason,perCrop)'!$S:$S,Indicators!$B70,'Data(perSeason,perCrop)'!$O:$O,Indicators!BR$7,'Data(perSeason,perCrop)'!$C:$C,Indicators!BR$3,'Data(perSeason,perCrop)'!$R:$R,"IRRIGATED"),"")</f>
        <v/>
      </c>
      <c r="BS70" s="82" t="str">
        <f>IFERROR(AVERAGEIFS('Data(perSeason,perCrop)'!$E:$E,'Data(perSeason,perCrop)'!$S:$S,Indicators!$B70,'Data(perSeason,perCrop)'!$O:$O,Indicators!BS$7,'Data(perSeason,perCrop)'!$C:$C,Indicators!BS$3,'Data(perSeason,perCrop)'!$R:$R,"IRRIGATED"),"")</f>
        <v/>
      </c>
      <c r="BT70" s="82" t="str">
        <f>IFERROR(AVERAGEIFS('Data(perSeason,perCrop)'!$E:$E,'Data(perSeason,perCrop)'!$S:$S,Indicators!$B70,'Data(perSeason,perCrop)'!$O:$O,Indicators!BT$7,'Data(perSeason,perCrop)'!$C:$C,Indicators!BT$3,'Data(perSeason,perCrop)'!$R:$R,"IRRIGATED"),"")</f>
        <v/>
      </c>
      <c r="BU70" s="82" t="str">
        <f>IFERROR(AVERAGEIFS('Data(perSeason,perCrop)'!$E:$E,'Data(perSeason,perCrop)'!$S:$S,Indicators!$B70,'Data(perSeason,perCrop)'!$O:$O,Indicators!BU$7,'Data(perSeason,perCrop)'!$C:$C,Indicators!BU$3,'Data(perSeason,perCrop)'!$R:$R,"IRRIGATED"),"")</f>
        <v/>
      </c>
      <c r="BV70" s="82" t="str">
        <f>IFERROR(AVERAGEIFS('Data(perSeason,perCrop)'!$E:$E,'Data(perSeason,perCrop)'!$S:$S,Indicators!$B70,'Data(perSeason,perCrop)'!$O:$O,Indicators!BV$7,'Data(perSeason,perCrop)'!$C:$C,Indicators!BV$3,'Data(perSeason,perCrop)'!$R:$R,"IRRIGATED"),"")</f>
        <v/>
      </c>
      <c r="BW70" s="82" t="str">
        <f>IFERROR(AVERAGEIFS('Data(perSeason,perCrop)'!$E:$E,'Data(perSeason,perCrop)'!$S:$S,Indicators!$B70,'Data(perSeason,perCrop)'!$O:$O,Indicators!BW$7,'Data(perSeason,perCrop)'!$C:$C,Indicators!BW$3,'Data(perSeason,perCrop)'!$R:$R,"IRRIGATED"),"")</f>
        <v/>
      </c>
      <c r="BX70" s="82" t="str">
        <f>IFERROR(AVERAGEIFS('Data(perSeason,perCrop)'!$E:$E,'Data(perSeason,perCrop)'!$S:$S,Indicators!$B70,'Data(perSeason,perCrop)'!$O:$O,Indicators!BX$7,'Data(perSeason,perCrop)'!$C:$C,Indicators!BX$3,'Data(perSeason,perCrop)'!$R:$R,"IRRIGATED"),"")</f>
        <v/>
      </c>
      <c r="BY70" s="82" t="str">
        <f>IFERROR(AVERAGEIFS('Data(perSeason,perCrop)'!$E:$E,'Data(perSeason,perCrop)'!$S:$S,Indicators!$B70,'Data(perSeason,perCrop)'!$O:$O,Indicators!BY$7,'Data(perSeason,perCrop)'!$C:$C,Indicators!BY$3,'Data(perSeason,perCrop)'!$R:$R,"IRRIGATED"),"")</f>
        <v/>
      </c>
      <c r="BZ70" s="82" t="str">
        <f>IFERROR(AVERAGEIFS('Data(perSeason,perCrop)'!$E:$E,'Data(perSeason,perCrop)'!$S:$S,Indicators!$B70,'Data(perSeason,perCrop)'!$O:$O,Indicators!BZ$7,'Data(perSeason,perCrop)'!$C:$C,Indicators!BZ$3,'Data(perSeason,perCrop)'!$R:$R,"IRRIGATED"),"")</f>
        <v/>
      </c>
      <c r="CA70" s="82" t="str">
        <f>IFERROR(AVERAGEIFS('Data(perSeason,perCrop)'!$E:$E,'Data(perSeason,perCrop)'!$S:$S,Indicators!$B70,'Data(perSeason,perCrop)'!$O:$O,Indicators!CA$7,'Data(perSeason,perCrop)'!$C:$C,Indicators!CA$3,'Data(perSeason,perCrop)'!$R:$R,"IRRIGATED"),"")</f>
        <v/>
      </c>
      <c r="CB70" s="82" t="str">
        <f>IFERROR(AVERAGEIFS('Data(perSeason,perCrop)'!$E:$E,'Data(perSeason,perCrop)'!$S:$S,Indicators!$B70,'Data(perSeason,perCrop)'!$O:$O,Indicators!CB$7,'Data(perSeason,perCrop)'!$C:$C,Indicators!CB$3,'Data(perSeason,perCrop)'!$R:$R,"IRRIGATED"),"")</f>
        <v/>
      </c>
      <c r="CC70" s="7" t="e">
        <f>AVERAGEIFS('Data(perSeason,perCrop)'!$E:$E,'Data(perSeason,perCrop)'!$S:$S,Indicators!$B70,'Data(perSeason,perCrop)'!$O:$O,Indicators!CC$7,'Data(perSeason,perCrop)'!$C:$C,Indicators!CC$3,'Data(perSeason,perCrop)'!$R:$R,"IRRIGATED")</f>
        <v>#DIV/0!</v>
      </c>
      <c r="CD70" s="7" t="e">
        <f>AVERAGEIFS('Data(perSeason,perCrop)'!$E:$E,'Data(perSeason,perCrop)'!$S:$S,Indicators!$B70,'Data(perSeason,perCrop)'!$O:$O,Indicators!CD$7,'Data(perSeason,perCrop)'!$C:$C,Indicators!CD$3,'Data(perSeason,perCrop)'!$R:$R,"IRRIGATED")</f>
        <v>#DIV/0!</v>
      </c>
      <c r="CE70" s="7" t="e">
        <f>AVERAGEIFS('Data(perSeason,perCrop)'!$E:$E,'Data(perSeason,perCrop)'!$S:$S,Indicators!$B70,'Data(perSeason,perCrop)'!$O:$O,Indicators!CE$7,'Data(perSeason,perCrop)'!$C:$C,Indicators!CE$3,'Data(perSeason,perCrop)'!$R:$R,"IRRIGATED")</f>
        <v>#DIV/0!</v>
      </c>
      <c r="CF70" s="7" t="e">
        <f>AVERAGEIFS('Data(perSeason,perCrop)'!$E:$E,'Data(perSeason,perCrop)'!$S:$S,Indicators!$B70,'Data(perSeason,perCrop)'!$O:$O,Indicators!CF$7,'Data(perSeason,perCrop)'!$C:$C,Indicators!CF$3,'Data(perSeason,perCrop)'!$R:$R,"IRRIGATED")</f>
        <v>#DIV/0!</v>
      </c>
      <c r="CG70" s="7" t="e">
        <f>AVERAGEIFS('Data(perSeason,perCrop)'!$E:$E,'Data(perSeason,perCrop)'!$S:$S,Indicators!$B70,'Data(perSeason,perCrop)'!$O:$O,Indicators!CG$7,'Data(perSeason,perCrop)'!$C:$C,Indicators!CG$3,'Data(perSeason,perCrop)'!$R:$R,"IRRIGATED")</f>
        <v>#DIV/0!</v>
      </c>
      <c r="CH70" s="7" t="e">
        <f>AVERAGEIFS('Data(perSeason,perCrop)'!$E:$E,'Data(perSeason,perCrop)'!$S:$S,Indicators!$B70,'Data(perSeason,perCrop)'!$O:$O,Indicators!CH$7,'Data(perSeason,perCrop)'!$C:$C,Indicators!CH$3,'Data(perSeason,perCrop)'!$R:$R,"IRRIGATED")</f>
        <v>#DIV/0!</v>
      </c>
      <c r="CI70" s="7" t="e">
        <f>AVERAGEIFS('Data(perSeason,perCrop)'!$E:$E,'Data(perSeason,perCrop)'!$S:$S,Indicators!$B70,'Data(perSeason,perCrop)'!$O:$O,Indicators!CI$7,'Data(perSeason,perCrop)'!$C:$C,Indicators!CI$3,'Data(perSeason,perCrop)'!$R:$R,"IRRIGATED")</f>
        <v>#DIV/0!</v>
      </c>
      <c r="CJ70" s="7" t="e">
        <f>AVERAGEIFS('Data(perSeason,perCrop)'!$E:$E,'Data(perSeason,perCrop)'!$S:$S,Indicators!$B70,'Data(perSeason,perCrop)'!$O:$O,Indicators!CJ$7,'Data(perSeason,perCrop)'!$C:$C,Indicators!CJ$3,'Data(perSeason,perCrop)'!$R:$R,"IRRIGATED")</f>
        <v>#DIV/0!</v>
      </c>
      <c r="CK70" s="7" t="e">
        <f>AVERAGEIFS('Data(perSeason,perCrop)'!$E:$E,'Data(perSeason,perCrop)'!$S:$S,Indicators!$B70,'Data(perSeason,perCrop)'!$O:$O,Indicators!CK$7,'Data(perSeason,perCrop)'!$C:$C,Indicators!CK$3,'Data(perSeason,perCrop)'!$R:$R,"IRRIGATED")</f>
        <v>#DIV/0!</v>
      </c>
      <c r="CL70" s="7" t="e">
        <f>AVERAGEIFS('Data(perSeason,perCrop)'!$E:$E,'Data(perSeason,perCrop)'!$S:$S,Indicators!$B70,'Data(perSeason,perCrop)'!$O:$O,Indicators!CL$7,'Data(perSeason,perCrop)'!$C:$C,Indicators!CL$3,'Data(perSeason,perCrop)'!$R:$R,"IRRIGATED")</f>
        <v>#DIV/0!</v>
      </c>
      <c r="CM70" s="7" t="e">
        <f>AVERAGEIFS('Data(perSeason,perCrop)'!$E:$E,'Data(perSeason,perCrop)'!$S:$S,Indicators!$B70,'Data(perSeason,perCrop)'!$O:$O,Indicators!CM$7,'Data(perSeason,perCrop)'!$C:$C,Indicators!CM$3,'Data(perSeason,perCrop)'!$R:$R,"IRRIGATED")</f>
        <v>#DIV/0!</v>
      </c>
      <c r="CN70" s="7" t="e">
        <f>AVERAGEIFS('Data(perSeason,perCrop)'!$E:$E,'Data(perSeason,perCrop)'!$S:$S,Indicators!$B70,'Data(perSeason,perCrop)'!$O:$O,Indicators!CN$7,'Data(perSeason,perCrop)'!$C:$C,Indicators!CN$3,'Data(perSeason,perCrop)'!$R:$R,"IRRIGATED")</f>
        <v>#DIV/0!</v>
      </c>
      <c r="CO70" s="7" t="e">
        <f>AVERAGEIFS('Data(perSeason,perCrop)'!$E:$E,'Data(perSeason,perCrop)'!$S:$S,Indicators!$B70,'Data(perSeason,perCrop)'!$O:$O,Indicators!CO$7,'Data(perSeason,perCrop)'!$C:$C,Indicators!CO$3,'Data(perSeason,perCrop)'!$R:$R,"IRRIGATED")</f>
        <v>#DIV/0!</v>
      </c>
      <c r="CP70" s="7">
        <f>AVERAGEIFS('Data(perSeason,perCrop)'!$E:$E,'Data(perSeason,perCrop)'!$S:$S,Indicators!$B70,'Data(perSeason,perCrop)'!$O:$O,Indicators!CP$7,'Data(perSeason,perCrop)'!$C:$C,Indicators!CP$3,'Data(perSeason,perCrop)'!$R:$R,"IRRIGATED")</f>
        <v>433</v>
      </c>
      <c r="CQ70" s="7">
        <f>AVERAGEIFS('Data(perSeason,perCrop)'!$E:$E,'Data(perSeason,perCrop)'!$S:$S,Indicators!$B70,'Data(perSeason,perCrop)'!$O:$O,Indicators!CQ$7,'Data(perSeason,perCrop)'!$C:$C,Indicators!CQ$3,'Data(perSeason,perCrop)'!$R:$R,"IRRIGATED")</f>
        <v>267</v>
      </c>
      <c r="CR70" s="7" t="e">
        <f>AVERAGEIFS('Data(perSeason,perCrop)'!$E:$E,'Data(perSeason,perCrop)'!$S:$S,Indicators!$B70,'Data(perSeason,perCrop)'!$O:$O,Indicators!CR$7,'Data(perSeason,perCrop)'!$C:$C,Indicators!CR$3,'Data(perSeason,perCrop)'!$R:$R,"IRRIGATED")</f>
        <v>#DIV/0!</v>
      </c>
      <c r="CS70" s="7">
        <f>AVERAGEIFS('Data(perSeason,perCrop)'!$E:$E,'Data(perSeason,perCrop)'!$S:$S,Indicators!$B70,'Data(perSeason,perCrop)'!$O:$O,Indicators!CS$7,'Data(perSeason,perCrop)'!$C:$C,Indicators!CS$3,'Data(perSeason,perCrop)'!$R:$R,"IRRIGATED")</f>
        <v>288</v>
      </c>
      <c r="CT70" s="7" t="e">
        <f>AVERAGEIFS('Data(perSeason,perCrop)'!$E:$E,'Data(perSeason,perCrop)'!$S:$S,Indicators!$B70,'Data(perSeason,perCrop)'!$O:$O,Indicators!CT$7,'Data(perSeason,perCrop)'!$C:$C,Indicators!CT$3,'Data(perSeason,perCrop)'!$R:$R,"IRRIGATED")</f>
        <v>#DIV/0!</v>
      </c>
      <c r="CU70" s="7" t="e">
        <f>AVERAGEIFS('Data(perSeason,perCrop)'!$E:$E,'Data(perSeason,perCrop)'!$S:$S,Indicators!$B70,'Data(perSeason,perCrop)'!$O:$O,Indicators!CU$7,'Data(perSeason,perCrop)'!$C:$C,Indicators!CU$3,'Data(perSeason,perCrop)'!$R:$R,"IRRIGATED")</f>
        <v>#DIV/0!</v>
      </c>
      <c r="CV70" s="7">
        <f>AVERAGEIFS('Data(perSeason,perCrop)'!$E:$E,'Data(perSeason,perCrop)'!$S:$S,Indicators!$B70,'Data(perSeason,perCrop)'!$O:$O,Indicators!CV$7,'Data(perSeason,perCrop)'!$C:$C,Indicators!CV$3,'Data(perSeason,perCrop)'!$R:$R,"IRRIGATED")</f>
        <v>383</v>
      </c>
      <c r="CW70" s="7" t="e">
        <f>AVERAGEIFS('Data(perSeason,perCrop)'!$E:$E,'Data(perSeason,perCrop)'!$S:$S,Indicators!$B70,'Data(perSeason,perCrop)'!$O:$O,Indicators!CW$7,'Data(perSeason,perCrop)'!$C:$C,Indicators!CW$3,'Data(perSeason,perCrop)'!$R:$R,"IRRIGATED")</f>
        <v>#DIV/0!</v>
      </c>
      <c r="CX70" s="7" t="e">
        <f>AVERAGEIFS('Data(perSeason,perCrop)'!$E:$E,'Data(perSeason,perCrop)'!$S:$S,Indicators!$B70,'Data(perSeason,perCrop)'!$O:$O,Indicators!CX$7,'Data(perSeason,perCrop)'!$C:$C,Indicators!CX$3,'Data(perSeason,perCrop)'!$R:$R,"IRRIGATED")</f>
        <v>#DIV/0!</v>
      </c>
      <c r="CY70" s="7" t="e">
        <f>AVERAGEIFS('Data(perSeason,perCrop)'!$E:$E,'Data(perSeason,perCrop)'!$S:$S,Indicators!$B70,'Data(perSeason,perCrop)'!$O:$O,Indicators!CY$7,'Data(perSeason,perCrop)'!$C:$C,Indicators!CY$3,'Data(perSeason,perCrop)'!$R:$R,"IRRIGATED")</f>
        <v>#DIV/0!</v>
      </c>
      <c r="CZ70" s="7" t="e">
        <f>AVERAGEIFS('Data(perSeason,perCrop)'!$E:$E,'Data(perSeason,perCrop)'!$S:$S,Indicators!$B70,'Data(perSeason,perCrop)'!$O:$O,Indicators!CZ$7,'Data(perSeason,perCrop)'!$C:$C,Indicators!CZ$3,'Data(perSeason,perCrop)'!$R:$R,"IRRIGATED")</f>
        <v>#DIV/0!</v>
      </c>
      <c r="DA70" s="7" t="e">
        <f>AVERAGEIFS('Data(perSeason,perCrop)'!$E:$E,'Data(perSeason,perCrop)'!$S:$S,Indicators!$B70,'Data(perSeason,perCrop)'!$O:$O,Indicators!DA$7,'Data(perSeason,perCrop)'!$C:$C,Indicators!DA$3,'Data(perSeason,perCrop)'!$R:$R,"IRRIGATED")</f>
        <v>#DIV/0!</v>
      </c>
      <c r="DB70" s="7" t="e">
        <f>AVERAGEIFS('Data(perSeason,perCrop)'!$E:$E,'Data(perSeason,perCrop)'!$S:$S,Indicators!$B70,'Data(perSeason,perCrop)'!$O:$O,Indicators!DB$7,'Data(perSeason,perCrop)'!$C:$C,Indicators!DB$3,'Data(perSeason,perCrop)'!$R:$R,"IRRIGATED")</f>
        <v>#DIV/0!</v>
      </c>
      <c r="DC70" s="7" t="e">
        <f>AVERAGEIFS('Data(perSeason,perCrop)'!$E:$E,'Data(perSeason,perCrop)'!$S:$S,Indicators!$B70,'Data(perSeason,perCrop)'!$O:$O,Indicators!DC$7,'Data(perSeason,perCrop)'!$C:$C,Indicators!DC$3,'Data(perSeason,perCrop)'!$R:$R,"IRRIGATED")</f>
        <v>#DIV/0!</v>
      </c>
      <c r="DD70" s="7" t="e">
        <f>AVERAGEIFS('Data(perSeason,perCrop)'!$E:$E,'Data(perSeason,perCrop)'!$S:$S,Indicators!$B70,'Data(perSeason,perCrop)'!$O:$O,Indicators!DD$7,'Data(perSeason,perCrop)'!$C:$C,Indicators!DD$3,'Data(perSeason,perCrop)'!$R:$R,"IRRIGATED")</f>
        <v>#DIV/0!</v>
      </c>
      <c r="DE70" s="7" t="e">
        <f>AVERAGEIFS('Data(perSeason,perCrop)'!$E:$E,'Data(perSeason,perCrop)'!$S:$S,Indicators!$B70,'Data(perSeason,perCrop)'!$O:$O,Indicators!DE$7,'Data(perSeason,perCrop)'!$C:$C,Indicators!DE$3,'Data(perSeason,perCrop)'!$R:$R,"IRRIGATED")</f>
        <v>#DIV/0!</v>
      </c>
      <c r="DF70" s="7" t="e">
        <f>AVERAGEIFS('Data(perSeason,perCrop)'!$E:$E,'Data(perSeason,perCrop)'!$S:$S,Indicators!$B70,'Data(perSeason,perCrop)'!$O:$O,Indicators!DF$7,'Data(perSeason,perCrop)'!$C:$C,Indicators!DF$3,'Data(perSeason,perCrop)'!$R:$R,"IRRIGATED")</f>
        <v>#DIV/0!</v>
      </c>
      <c r="DG70" s="7" t="e">
        <f>AVERAGEIFS('Data(perSeason,perCrop)'!$E:$E,'Data(perSeason,perCrop)'!$S:$S,Indicators!$B70,'Data(perSeason,perCrop)'!$O:$O,Indicators!DG$7,'Data(perSeason,perCrop)'!$C:$C,Indicators!DG$3,'Data(perSeason,perCrop)'!$R:$R,"IRRIGATED")</f>
        <v>#DIV/0!</v>
      </c>
    </row>
    <row r="71" spans="1:111" x14ac:dyDescent="0.25">
      <c r="A71" t="s">
        <v>76</v>
      </c>
      <c r="B71">
        <v>2021</v>
      </c>
      <c r="C71" s="8">
        <f>IF(COUNTIFS('Data(perSeason,perCrop)'!$S:$S,Indicators!$B71)&gt;0,AVERAGEIFS('Data(perSeason,perCrop)'!$H:$H,'Data(perSeason,perCrop)'!$S:$S,Indicators!$B71,'Data(perSeason,perCrop)'!$O:$O,Indicators!C$7,'Data(perSeason,perCrop)'!$R:$R,"IRRIGATED"),"")</f>
        <v>0.21250162366161299</v>
      </c>
      <c r="D71" s="8">
        <f>IF(COUNTIFS('Data(perSeason,perCrop)'!$S:$S,Indicators!$B71)&gt;0,AVERAGEIFS('Data(perSeason,perCrop)'!$H:$H,'Data(perSeason,perCrop)'!$S:$S,Indicators!$B71,'Data(perSeason,perCrop)'!$O:$O,Indicators!D$7,'Data(perSeason,perCrop)'!$R:$R,"IRRIGATED"),"")</f>
        <v>4.39373584897031E-2</v>
      </c>
      <c r="E71" s="8">
        <f>IF(COUNTIFS('Data(perSeason,perCrop)'!$S:$S,Indicators!$B71)&gt;0,AVERAGEIFS('Data(perSeason,perCrop)'!$H:$H,'Data(perSeason,perCrop)'!$S:$S,Indicators!$B71,'Data(perSeason,perCrop)'!$O:$O,Indicators!E$7,'Data(perSeason,perCrop)'!$R:$R,"IRRIGATED"),"")</f>
        <v>0.130117303959601</v>
      </c>
      <c r="F71" s="8">
        <f>IF(COUNTIFS('Data(perSeason,perCrop)'!$S:$S,Indicators!$B71)&gt;0,AVERAGEIFS('Data(perSeason,perCrop)'!$H:$H,'Data(perSeason,perCrop)'!$S:$S,Indicators!$B71,'Data(perSeason,perCrop)'!$O:$O,Indicators!F$7,'Data(perSeason,perCrop)'!$R:$R,"IRRIGATED"),"")</f>
        <v>0.12443426692485401</v>
      </c>
      <c r="G71" s="8"/>
      <c r="H71" s="8"/>
      <c r="J71" s="2" t="s">
        <v>27</v>
      </c>
      <c r="K71" s="7">
        <f>AVERAGEIFS('Data(perSeason,perCrop)'!$E:$E,'Data(perSeason,perCrop)'!$S:$S,Indicators!$B71,'Data(perSeason,perCrop)'!$O:$O,Indicators!K$7,'Data(perSeason,perCrop)'!$C:$C,Indicators!K$3,'Data(perSeason,perCrop)'!$R:$R,"IRRIGATED")</f>
        <v>481</v>
      </c>
      <c r="L71" s="7">
        <f>AVERAGEIFS('Data(perSeason,perCrop)'!$E:$E,'Data(perSeason,perCrop)'!$S:$S,Indicators!$B71,'Data(perSeason,perCrop)'!$O:$O,Indicators!L$7,'Data(perSeason,perCrop)'!$C:$C,Indicators!L$3,'Data(perSeason,perCrop)'!$R:$R,"IRRIGATED")</f>
        <v>741</v>
      </c>
      <c r="M71" s="7">
        <f>AVERAGEIFS('Data(perSeason,perCrop)'!$E:$E,'Data(perSeason,perCrop)'!$S:$S,Indicators!$B71,'Data(perSeason,perCrop)'!$O:$O,Indicators!M$7,'Data(perSeason,perCrop)'!$C:$C,Indicators!M$3,'Data(perSeason,perCrop)'!$R:$R,"IRRIGATED")</f>
        <v>786</v>
      </c>
      <c r="N71" s="7">
        <f>AVERAGEIFS('Data(perSeason,perCrop)'!$E:$E,'Data(perSeason,perCrop)'!$S:$S,Indicators!$B71,'Data(perSeason,perCrop)'!$O:$O,Indicators!N$7,'Data(perSeason,perCrop)'!$C:$C,Indicators!N$3,'Data(perSeason,perCrop)'!$R:$R,"IRRIGATED")</f>
        <v>891</v>
      </c>
      <c r="O71" s="7">
        <f>AVERAGEIFS('Data(perSeason,perCrop)'!$E:$E,'Data(perSeason,perCrop)'!$S:$S,Indicators!$B71,'Data(perSeason,perCrop)'!$O:$O,Indicators!O$7,'Data(perSeason,perCrop)'!$C:$C,Indicators!O$3,'Data(perSeason,perCrop)'!$R:$R,"IRRIGATED")</f>
        <v>420</v>
      </c>
      <c r="P71" s="7">
        <f>AVERAGEIFS('Data(perSeason,perCrop)'!$E:$E,'Data(perSeason,perCrop)'!$S:$S,Indicators!$B71,'Data(perSeason,perCrop)'!$O:$O,Indicators!P$7,'Data(perSeason,perCrop)'!$C:$C,Indicators!P$3,'Data(perSeason,perCrop)'!$R:$R,"IRRIGATED")</f>
        <v>311</v>
      </c>
      <c r="Q71" s="7">
        <f>AVERAGEIFS('Data(perSeason,perCrop)'!$E:$E,'Data(perSeason,perCrop)'!$S:$S,Indicators!$B71,'Data(perSeason,perCrop)'!$O:$O,Indicators!Q$7,'Data(perSeason,perCrop)'!$C:$C,Indicators!Q$3,'Data(perSeason,perCrop)'!$R:$R,"IRRIGATED")</f>
        <v>853</v>
      </c>
      <c r="R71" s="7" t="e">
        <f>AVERAGEIFS('Data(perSeason,perCrop)'!$E:$E,'Data(perSeason,perCrop)'!$S:$S,Indicators!$B71,'Data(perSeason,perCrop)'!$O:$O,Indicators!R$7,'Data(perSeason,perCrop)'!$C:$C,Indicators!R$3,'Data(perSeason,perCrop)'!$R:$R,"IRRIGATED")</f>
        <v>#DIV/0!</v>
      </c>
      <c r="S71" s="62" t="e">
        <f>AVERAGEIFS('Data(perSeason,perCrop)'!$E:$E,'Data(perSeason,perCrop)'!$S:$S,Indicators!$B71,'Data(perSeason,perCrop)'!$O:$O,Indicators!S$7,'Data(perSeason,perCrop)'!$C:$C,Indicators!S$3,'Data(perSeason,perCrop)'!$R:$R,"IRRIGATED")</f>
        <v>#DIV/0!</v>
      </c>
      <c r="T71" s="62">
        <f>AVERAGEIFS('Data(perSeason,perCrop)'!$E:$E,'Data(perSeason,perCrop)'!$S:$S,Indicators!$B71,'Data(perSeason,perCrop)'!$O:$O,Indicators!T$7,'Data(perSeason,perCrop)'!$C:$C,Indicators!T$3,'Data(perSeason,perCrop)'!$R:$R,"IRRIGATED")</f>
        <v>216</v>
      </c>
      <c r="U71" s="62" t="e">
        <f>AVERAGEIFS('Data(perSeason,perCrop)'!$E:$E,'Data(perSeason,perCrop)'!$S:$S,Indicators!$B71,'Data(perSeason,perCrop)'!$O:$O,Indicators!U$7,'Data(perSeason,perCrop)'!$C:$C,Indicators!U$3,'Data(perSeason,perCrop)'!$R:$R,"IRRIGATED")</f>
        <v>#DIV/0!</v>
      </c>
      <c r="V71" s="62" t="e">
        <f>AVERAGEIFS('Data(perSeason,perCrop)'!$E:$E,'Data(perSeason,perCrop)'!$S:$S,Indicators!$B71,'Data(perSeason,perCrop)'!$O:$O,Indicators!V$7,'Data(perSeason,perCrop)'!$C:$C,Indicators!V$3,'Data(perSeason,perCrop)'!$R:$R,"IRRIGATED")</f>
        <v>#DIV/0!</v>
      </c>
      <c r="W71" s="62" t="e">
        <f>AVERAGEIFS('Data(perSeason,perCrop)'!$E:$E,'Data(perSeason,perCrop)'!$S:$S,Indicators!$B71,'Data(perSeason,perCrop)'!$O:$O,Indicators!W$7,'Data(perSeason,perCrop)'!$C:$C,Indicators!W$3,'Data(perSeason,perCrop)'!$R:$R,"IRRIGATED")</f>
        <v>#DIV/0!</v>
      </c>
      <c r="X71" s="62" t="e">
        <f>AVERAGEIFS('Data(perSeason,perCrop)'!$E:$E,'Data(perSeason,perCrop)'!$S:$S,Indicators!$B71,'Data(perSeason,perCrop)'!$O:$O,Indicators!X$7,'Data(perSeason,perCrop)'!$C:$C,Indicators!X$3,'Data(perSeason,perCrop)'!$R:$R,"IRRIGATED")</f>
        <v>#DIV/0!</v>
      </c>
      <c r="Y71" s="62" t="e">
        <f>AVERAGEIFS('Data(perSeason,perCrop)'!$E:$E,'Data(perSeason,perCrop)'!$S:$S,Indicators!$B71,'Data(perSeason,perCrop)'!$O:$O,Indicators!Y$7,'Data(perSeason,perCrop)'!$C:$C,Indicators!Y$3,'Data(perSeason,perCrop)'!$R:$R,"IRRIGATED")</f>
        <v>#DIV/0!</v>
      </c>
      <c r="Z71" s="62" t="e">
        <f>AVERAGEIFS('Data(perSeason,perCrop)'!$E:$E,'Data(perSeason,perCrop)'!$S:$S,Indicators!$B71,'Data(perSeason,perCrop)'!$O:$O,Indicators!Z$7,'Data(perSeason,perCrop)'!$C:$C,Indicators!Z$3,'Data(perSeason,perCrop)'!$R:$R,"IRRIGATED")</f>
        <v>#DIV/0!</v>
      </c>
      <c r="AA71" s="62" t="e">
        <f>AVERAGEIFS('Data(perSeason,perCrop)'!$E:$E,'Data(perSeason,perCrop)'!$S:$S,Indicators!$B71,'Data(perSeason,perCrop)'!$O:$O,Indicators!AA$7,'Data(perSeason,perCrop)'!$C:$C,Indicators!AA$3,'Data(perSeason,perCrop)'!$R:$R,"IRRIGATED")</f>
        <v>#DIV/0!</v>
      </c>
      <c r="AB71" s="62" t="e">
        <f>AVERAGEIFS('Data(perSeason,perCrop)'!$E:$E,'Data(perSeason,perCrop)'!$S:$S,Indicators!$B71,'Data(perSeason,perCrop)'!$O:$O,Indicators!AB$7,'Data(perSeason,perCrop)'!$C:$C,Indicators!AB$3,'Data(perSeason,perCrop)'!$R:$R,"IRRIGATED")</f>
        <v>#DIV/0!</v>
      </c>
      <c r="AC71" s="62" t="e">
        <f>AVERAGEIFS('Data(perSeason,perCrop)'!$E:$E,'Data(perSeason,perCrop)'!$S:$S,Indicators!$B71,'Data(perSeason,perCrop)'!$O:$O,Indicators!AC$7,'Data(perSeason,perCrop)'!$C:$C,Indicators!AC$3,'Data(perSeason,perCrop)'!$R:$R,"IRRIGATED")</f>
        <v>#DIV/0!</v>
      </c>
      <c r="AD71" s="62" t="e">
        <f>AVERAGEIFS('Data(perSeason,perCrop)'!$E:$E,'Data(perSeason,perCrop)'!$S:$S,Indicators!$B71,'Data(perSeason,perCrop)'!$O:$O,Indicators!AD$7,'Data(perSeason,perCrop)'!$C:$C,Indicators!AD$3,'Data(perSeason,perCrop)'!$R:$R,"IRRIGATED")</f>
        <v>#DIV/0!</v>
      </c>
      <c r="AE71" s="62" t="e">
        <f>AVERAGEIFS('Data(perSeason,perCrop)'!$E:$E,'Data(perSeason,perCrop)'!$S:$S,Indicators!$B71,'Data(perSeason,perCrop)'!$O:$O,Indicators!AE$7,'Data(perSeason,perCrop)'!$C:$C,Indicators!AE$3,'Data(perSeason,perCrop)'!$R:$R,"IRRIGATED")</f>
        <v>#DIV/0!</v>
      </c>
      <c r="AF71" s="62">
        <f>AVERAGEIFS('Data(perSeason,perCrop)'!$E:$E,'Data(perSeason,perCrop)'!$S:$S,Indicators!$B71,'Data(perSeason,perCrop)'!$O:$O,Indicators!AF$7,'Data(perSeason,perCrop)'!$C:$C,Indicators!AF$3,'Data(perSeason,perCrop)'!$R:$R,"IRRIGATED")</f>
        <v>293</v>
      </c>
      <c r="AG71" s="62">
        <f>AVERAGEIFS('Data(perSeason,perCrop)'!$E:$E,'Data(perSeason,perCrop)'!$S:$S,Indicators!$B71,'Data(perSeason,perCrop)'!$O:$O,Indicators!AG$7,'Data(perSeason,perCrop)'!$C:$C,Indicators!AG$3,'Data(perSeason,perCrop)'!$R:$R,"IRRIGATED")</f>
        <v>243</v>
      </c>
      <c r="AH71" s="62" t="e">
        <f>AVERAGEIFS('Data(perSeason,perCrop)'!$E:$E,'Data(perSeason,perCrop)'!$S:$S,Indicators!$B71,'Data(perSeason,perCrop)'!$O:$O,Indicators!AH$7,'Data(perSeason,perCrop)'!$C:$C,Indicators!AH$3,'Data(perSeason,perCrop)'!$R:$R,"IRRIGATED")</f>
        <v>#DIV/0!</v>
      </c>
      <c r="AI71" s="62">
        <f>AVERAGEIFS('Data(perSeason,perCrop)'!$E:$E,'Data(perSeason,perCrop)'!$S:$S,Indicators!$B71,'Data(perSeason,perCrop)'!$O:$O,Indicators!AI$7,'Data(perSeason,perCrop)'!$C:$C,Indicators!AI$3,'Data(perSeason,perCrop)'!$R:$R,"IRRIGATED")</f>
        <v>220</v>
      </c>
      <c r="AJ71" s="62" t="e">
        <f>AVERAGEIFS('Data(perSeason,perCrop)'!$E:$E,'Data(perSeason,perCrop)'!$S:$S,Indicators!$B71,'Data(perSeason,perCrop)'!$O:$O,Indicators!AJ$7,'Data(perSeason,perCrop)'!$C:$C,Indicators!AJ$3,'Data(perSeason,perCrop)'!$R:$R,"IRRIGATED")</f>
        <v>#DIV/0!</v>
      </c>
      <c r="AK71" s="62" t="e">
        <f>AVERAGEIFS('Data(perSeason,perCrop)'!$E:$E,'Data(perSeason,perCrop)'!$S:$S,Indicators!$B71,'Data(perSeason,perCrop)'!$O:$O,Indicators!AK$7,'Data(perSeason,perCrop)'!$C:$C,Indicators!AK$3,'Data(perSeason,perCrop)'!$R:$R,"IRRIGATED")</f>
        <v>#DIV/0!</v>
      </c>
      <c r="AL71" s="62">
        <f>AVERAGEIFS('Data(perSeason,perCrop)'!$E:$E,'Data(perSeason,perCrop)'!$S:$S,Indicators!$B71,'Data(perSeason,perCrop)'!$O:$O,Indicators!AL$7,'Data(perSeason,perCrop)'!$C:$C,Indicators!AL$3,'Data(perSeason,perCrop)'!$R:$R,"IRRIGATED")</f>
        <v>250</v>
      </c>
      <c r="AM71" s="62" t="e">
        <f>AVERAGEIFS('Data(perSeason,perCrop)'!$E:$E,'Data(perSeason,perCrop)'!$S:$S,Indicators!$B71,'Data(perSeason,perCrop)'!$O:$O,Indicators!AM$7,'Data(perSeason,perCrop)'!$C:$C,Indicators!AM$3,'Data(perSeason,perCrop)'!$R:$R,"IRRIGATED")</f>
        <v>#DIV/0!</v>
      </c>
      <c r="AN71" s="62" t="e">
        <f>AVERAGEIFS('Data(perSeason,perCrop)'!$E:$E,'Data(perSeason,perCrop)'!$S:$S,Indicators!$B71,'Data(perSeason,perCrop)'!$O:$O,Indicators!AN$7,'Data(perSeason,perCrop)'!$C:$C,Indicators!AN$3,'Data(perSeason,perCrop)'!$R:$R,"IRRIGATED")</f>
        <v>#DIV/0!</v>
      </c>
      <c r="AO71" s="62" t="e">
        <f>AVERAGEIFS('Data(perSeason,perCrop)'!$E:$E,'Data(perSeason,perCrop)'!$S:$S,Indicators!$B71,'Data(perSeason,perCrop)'!$O:$O,Indicators!AO$7,'Data(perSeason,perCrop)'!$C:$C,Indicators!AO$3,'Data(perSeason,perCrop)'!$R:$R,"IRRIGATED")</f>
        <v>#DIV/0!</v>
      </c>
      <c r="AP71" s="62" t="e">
        <f>AVERAGEIFS('Data(perSeason,perCrop)'!$E:$E,'Data(perSeason,perCrop)'!$S:$S,Indicators!$B71,'Data(perSeason,perCrop)'!$O:$O,Indicators!AP$7,'Data(perSeason,perCrop)'!$C:$C,Indicators!AP$3,'Data(perSeason,perCrop)'!$R:$R,"IRRIGATED")</f>
        <v>#DIV/0!</v>
      </c>
      <c r="AQ71" s="62" t="e">
        <f>AVERAGEIFS('Data(perSeason,perCrop)'!$E:$E,'Data(perSeason,perCrop)'!$S:$S,Indicators!$B71,'Data(perSeason,perCrop)'!$O:$O,Indicators!AQ$7,'Data(perSeason,perCrop)'!$C:$C,Indicators!AQ$3,'Data(perSeason,perCrop)'!$R:$R,"IRRIGATED")</f>
        <v>#DIV/0!</v>
      </c>
      <c r="AR71" s="62" t="e">
        <f>AVERAGEIFS('Data(perSeason,perCrop)'!$E:$E,'Data(perSeason,perCrop)'!$S:$S,Indicators!$B71,'Data(perSeason,perCrop)'!$O:$O,Indicators!AR$7,'Data(perSeason,perCrop)'!$C:$C,Indicators!AR$3,'Data(perSeason,perCrop)'!$R:$R,"IRRIGATED")</f>
        <v>#DIV/0!</v>
      </c>
      <c r="AS71" s="62" t="e">
        <f>AVERAGEIFS('Data(perSeason,perCrop)'!$E:$E,'Data(perSeason,perCrop)'!$S:$S,Indicators!$B71,'Data(perSeason,perCrop)'!$O:$O,Indicators!AS$7,'Data(perSeason,perCrop)'!$C:$C,Indicators!AS$3,'Data(perSeason,perCrop)'!$R:$R,"IRRIGATED")</f>
        <v>#DIV/0!</v>
      </c>
      <c r="AT71" s="62" t="e">
        <f>AVERAGEIFS('Data(perSeason,perCrop)'!$E:$E,'Data(perSeason,perCrop)'!$S:$S,Indicators!$B71,'Data(perSeason,perCrop)'!$O:$O,Indicators!AT$7,'Data(perSeason,perCrop)'!$C:$C,Indicators!AT$3,'Data(perSeason,perCrop)'!$R:$R,"IRRIGATED")</f>
        <v>#DIV/0!</v>
      </c>
      <c r="AU71" s="62" t="e">
        <f>AVERAGEIFS('Data(perSeason,perCrop)'!$E:$E,'Data(perSeason,perCrop)'!$S:$S,Indicators!$B71,'Data(perSeason,perCrop)'!$O:$O,Indicators!AU$7,'Data(perSeason,perCrop)'!$C:$C,Indicators!AU$3,'Data(perSeason,perCrop)'!$R:$R,"IRRIGATED")</f>
        <v>#DIV/0!</v>
      </c>
      <c r="AV71" s="62" t="e">
        <f>AVERAGEIFS('Data(perSeason,perCrop)'!$E:$E,'Data(perSeason,perCrop)'!$S:$S,Indicators!$B71,'Data(perSeason,perCrop)'!$O:$O,Indicators!AV$7,'Data(perSeason,perCrop)'!$C:$C,Indicators!AV$3,'Data(perSeason,perCrop)'!$R:$R,"IRRIGATED")</f>
        <v>#DIV/0!</v>
      </c>
      <c r="AW71" s="62" t="e">
        <f>AVERAGEIFS('Data(perSeason,perCrop)'!$E:$E,'Data(perSeason,perCrop)'!$S:$S,Indicators!$B71,'Data(perSeason,perCrop)'!$O:$O,Indicators!AW$7,'Data(perSeason,perCrop)'!$C:$C,Indicators!AW$3,'Data(perSeason,perCrop)'!$R:$R,"IRRIGATED")</f>
        <v>#DIV/0!</v>
      </c>
      <c r="AX71" s="82"/>
      <c r="AY71" s="82">
        <f>IFERROR(AVERAGEIFS('Data(perSeason,perCrop)'!$E:$E,'Data(perSeason,perCrop)'!$S:$S,Indicators!$B71,'Data(perSeason,perCrop)'!$O:$O,Indicators!AY$7,'Data(perSeason,perCrop)'!$C:$C,Indicators!AY$3,'Data(perSeason,perCrop)'!$R:$R,"IRRIGATED"),"")</f>
        <v>230</v>
      </c>
      <c r="AZ71" s="82" t="str">
        <f>IFERROR(AVERAGEIFS('Data(perSeason,perCrop)'!$E:$E,'Data(perSeason,perCrop)'!$S:$S,Indicators!$B71,'Data(perSeason,perCrop)'!$O:$O,Indicators!AZ$7,'Data(perSeason,perCrop)'!$C:$C,Indicators!AZ$3,'Data(perSeason,perCrop)'!$R:$R,"IRRIGATED"),"")</f>
        <v/>
      </c>
      <c r="BA71" s="82" t="str">
        <f>IFERROR(AVERAGEIFS('Data(perSeason,perCrop)'!$E:$E,'Data(perSeason,perCrop)'!$S:$S,Indicators!$B71,'Data(perSeason,perCrop)'!$O:$O,Indicators!BA$7,'Data(perSeason,perCrop)'!$C:$C,Indicators!BA$3,'Data(perSeason,perCrop)'!$R:$R,"IRRIGATED"),"")</f>
        <v/>
      </c>
      <c r="BB71" s="82" t="str">
        <f>IFERROR(AVERAGEIFS('Data(perSeason,perCrop)'!$E:$E,'Data(perSeason,perCrop)'!$S:$S,Indicators!$B71,'Data(perSeason,perCrop)'!$O:$O,Indicators!BB$7,'Data(perSeason,perCrop)'!$C:$C,Indicators!BB$3,'Data(perSeason,perCrop)'!$R:$R,"IRRIGATED"),"")</f>
        <v/>
      </c>
      <c r="BC71" s="82" t="str">
        <f>IFERROR(AVERAGEIFS('Data(perSeason,perCrop)'!$E:$E,'Data(perSeason,perCrop)'!$S:$S,Indicators!$B71,'Data(perSeason,perCrop)'!$O:$O,Indicators!BC$7,'Data(perSeason,perCrop)'!$C:$C,Indicators!BC$3,'Data(perSeason,perCrop)'!$R:$R,"IRRIGATED"),"")</f>
        <v/>
      </c>
      <c r="BD71" s="82" t="str">
        <f>IFERROR(AVERAGEIFS('Data(perSeason,perCrop)'!$E:$E,'Data(perSeason,perCrop)'!$S:$S,Indicators!$B71,'Data(perSeason,perCrop)'!$O:$O,Indicators!BD$7,'Data(perSeason,perCrop)'!$C:$C,Indicators!BD$3,'Data(perSeason,perCrop)'!$R:$R,"IRRIGATED"),"")</f>
        <v/>
      </c>
      <c r="BE71" s="82" t="str">
        <f>IFERROR(AVERAGEIFS('Data(perSeason,perCrop)'!$E:$E,'Data(perSeason,perCrop)'!$S:$S,Indicators!$B71,'Data(perSeason,perCrop)'!$O:$O,Indicators!BE$7,'Data(perSeason,perCrop)'!$C:$C,Indicators!BE$3,'Data(perSeason,perCrop)'!$R:$R,"IRRIGATED"),"")</f>
        <v/>
      </c>
      <c r="BF71" s="82" t="str">
        <f>IFERROR(AVERAGEIFS('Data(perSeason,perCrop)'!$E:$E,'Data(perSeason,perCrop)'!$S:$S,Indicators!$B71,'Data(perSeason,perCrop)'!$O:$O,Indicators!BF$7,'Data(perSeason,perCrop)'!$C:$C,Indicators!BF$3,'Data(perSeason,perCrop)'!$R:$R,"IRRIGATED"),"")</f>
        <v/>
      </c>
      <c r="BG71" s="82" t="str">
        <f>IFERROR(AVERAGEIFS('Data(perSeason,perCrop)'!$E:$E,'Data(perSeason,perCrop)'!$S:$S,Indicators!$B71,'Data(perSeason,perCrop)'!$O:$O,Indicators!BG$7,'Data(perSeason,perCrop)'!$C:$C,Indicators!BG$3,'Data(perSeason,perCrop)'!$R:$R,"IRRIGATED"),"")</f>
        <v/>
      </c>
      <c r="BH71" s="82" t="str">
        <f>IFERROR(AVERAGEIFS('Data(perSeason,perCrop)'!$E:$E,'Data(perSeason,perCrop)'!$S:$S,Indicators!$B71,'Data(perSeason,perCrop)'!$O:$O,Indicators!BH$7,'Data(perSeason,perCrop)'!$C:$C,Indicators!BH$3,'Data(perSeason,perCrop)'!$R:$R,"IRRIGATED"),"")</f>
        <v/>
      </c>
      <c r="BI71" s="82" t="str">
        <f>IFERROR(AVERAGEIFS('Data(perSeason,perCrop)'!$E:$E,'Data(perSeason,perCrop)'!$S:$S,Indicators!$B71,'Data(perSeason,perCrop)'!$O:$O,Indicators!BI$7,'Data(perSeason,perCrop)'!$C:$C,Indicators!BI$3,'Data(perSeason,perCrop)'!$R:$R,"IRRIGATED"),"")</f>
        <v/>
      </c>
      <c r="BJ71" s="82" t="str">
        <f>IFERROR(AVERAGEIFS('Data(perSeason,perCrop)'!$E:$E,'Data(perSeason,perCrop)'!$S:$S,Indicators!$B71,'Data(perSeason,perCrop)'!$O:$O,Indicators!BJ$7,'Data(perSeason,perCrop)'!$C:$C,Indicators!BJ$3,'Data(perSeason,perCrop)'!$R:$R,"IRRIGATED"),"")</f>
        <v/>
      </c>
      <c r="BK71" s="82" t="str">
        <f>IFERROR(AVERAGEIFS('Data(perSeason,perCrop)'!$E:$E,'Data(perSeason,perCrop)'!$S:$S,Indicators!$B71,'Data(perSeason,perCrop)'!$O:$O,Indicators!BK$7,'Data(perSeason,perCrop)'!$C:$C,Indicators!BK$3,'Data(perSeason,perCrop)'!$R:$R,"IRRIGATED"),"")</f>
        <v/>
      </c>
      <c r="BL71" s="82">
        <f>IFERROR(AVERAGEIFS('Data(perSeason,perCrop)'!$E:$E,'Data(perSeason,perCrop)'!$S:$S,Indicators!$B71,'Data(perSeason,perCrop)'!$O:$O,Indicators!BL$7,'Data(perSeason,perCrop)'!$C:$C,Indicators!BL$3,'Data(perSeason,perCrop)'!$R:$R,"IRRIGATED"),"")</f>
        <v>241</v>
      </c>
      <c r="BM71" s="82" t="str">
        <f>IFERROR(AVERAGEIFS('Data(perSeason,perCrop)'!$E:$E,'Data(perSeason,perCrop)'!$S:$S,Indicators!$B71,'Data(perSeason,perCrop)'!$O:$O,Indicators!BM$7,'Data(perSeason,perCrop)'!$C:$C,Indicators!BM$3,'Data(perSeason,perCrop)'!$R:$R,"IRRIGATED"),"")</f>
        <v/>
      </c>
      <c r="BN71" s="82">
        <f>IFERROR(AVERAGEIFS('Data(perSeason,perCrop)'!$E:$E,'Data(perSeason,perCrop)'!$S:$S,Indicators!$B71,'Data(perSeason,perCrop)'!$O:$O,Indicators!BN$7,'Data(perSeason,perCrop)'!$C:$C,Indicators!BN$3,'Data(perSeason,perCrop)'!$R:$R,"IRRIGATED"),"")</f>
        <v>236</v>
      </c>
      <c r="BO71" s="82" t="str">
        <f>IFERROR(AVERAGEIFS('Data(perSeason,perCrop)'!$E:$E,'Data(perSeason,perCrop)'!$S:$S,Indicators!$B71,'Data(perSeason,perCrop)'!$O:$O,Indicators!BO$7,'Data(perSeason,perCrop)'!$C:$C,Indicators!BO$3,'Data(perSeason,perCrop)'!$R:$R,"IRRIGATED"),"")</f>
        <v/>
      </c>
      <c r="BP71" s="82" t="str">
        <f>IFERROR(AVERAGEIFS('Data(perSeason,perCrop)'!$E:$E,'Data(perSeason,perCrop)'!$S:$S,Indicators!$B71,'Data(perSeason,perCrop)'!$O:$O,Indicators!BP$7,'Data(perSeason,perCrop)'!$C:$C,Indicators!BP$3,'Data(perSeason,perCrop)'!$R:$R,"IRRIGATED"),"")</f>
        <v/>
      </c>
      <c r="BQ71" s="82">
        <f>IFERROR(AVERAGEIFS('Data(perSeason,perCrop)'!$E:$E,'Data(perSeason,perCrop)'!$S:$S,Indicators!$B71,'Data(perSeason,perCrop)'!$O:$O,Indicators!BQ$7,'Data(perSeason,perCrop)'!$C:$C,Indicators!BQ$3,'Data(perSeason,perCrop)'!$R:$R,"IRRIGATED"),"")</f>
        <v>271</v>
      </c>
      <c r="BR71" s="82" t="str">
        <f>IFERROR(AVERAGEIFS('Data(perSeason,perCrop)'!$E:$E,'Data(perSeason,perCrop)'!$S:$S,Indicators!$B71,'Data(perSeason,perCrop)'!$O:$O,Indicators!BR$7,'Data(perSeason,perCrop)'!$C:$C,Indicators!BR$3,'Data(perSeason,perCrop)'!$R:$R,"IRRIGATED"),"")</f>
        <v/>
      </c>
      <c r="BS71" s="82" t="str">
        <f>IFERROR(AVERAGEIFS('Data(perSeason,perCrop)'!$E:$E,'Data(perSeason,perCrop)'!$S:$S,Indicators!$B71,'Data(perSeason,perCrop)'!$O:$O,Indicators!BS$7,'Data(perSeason,perCrop)'!$C:$C,Indicators!BS$3,'Data(perSeason,perCrop)'!$R:$R,"IRRIGATED"),"")</f>
        <v/>
      </c>
      <c r="BT71" s="82" t="str">
        <f>IFERROR(AVERAGEIFS('Data(perSeason,perCrop)'!$E:$E,'Data(perSeason,perCrop)'!$S:$S,Indicators!$B71,'Data(perSeason,perCrop)'!$O:$O,Indicators!BT$7,'Data(perSeason,perCrop)'!$C:$C,Indicators!BT$3,'Data(perSeason,perCrop)'!$R:$R,"IRRIGATED"),"")</f>
        <v/>
      </c>
      <c r="BU71" s="82" t="str">
        <f>IFERROR(AVERAGEIFS('Data(perSeason,perCrop)'!$E:$E,'Data(perSeason,perCrop)'!$S:$S,Indicators!$B71,'Data(perSeason,perCrop)'!$O:$O,Indicators!BU$7,'Data(perSeason,perCrop)'!$C:$C,Indicators!BU$3,'Data(perSeason,perCrop)'!$R:$R,"IRRIGATED"),"")</f>
        <v/>
      </c>
      <c r="BV71" s="82" t="str">
        <f>IFERROR(AVERAGEIFS('Data(perSeason,perCrop)'!$E:$E,'Data(perSeason,perCrop)'!$S:$S,Indicators!$B71,'Data(perSeason,perCrop)'!$O:$O,Indicators!BV$7,'Data(perSeason,perCrop)'!$C:$C,Indicators!BV$3,'Data(perSeason,perCrop)'!$R:$R,"IRRIGATED"),"")</f>
        <v/>
      </c>
      <c r="BW71" s="82" t="str">
        <f>IFERROR(AVERAGEIFS('Data(perSeason,perCrop)'!$E:$E,'Data(perSeason,perCrop)'!$S:$S,Indicators!$B71,'Data(perSeason,perCrop)'!$O:$O,Indicators!BW$7,'Data(perSeason,perCrop)'!$C:$C,Indicators!BW$3,'Data(perSeason,perCrop)'!$R:$R,"IRRIGATED"),"")</f>
        <v/>
      </c>
      <c r="BX71" s="82" t="str">
        <f>IFERROR(AVERAGEIFS('Data(perSeason,perCrop)'!$E:$E,'Data(perSeason,perCrop)'!$S:$S,Indicators!$B71,'Data(perSeason,perCrop)'!$O:$O,Indicators!BX$7,'Data(perSeason,perCrop)'!$C:$C,Indicators!BX$3,'Data(perSeason,perCrop)'!$R:$R,"IRRIGATED"),"")</f>
        <v/>
      </c>
      <c r="BY71" s="82" t="str">
        <f>IFERROR(AVERAGEIFS('Data(perSeason,perCrop)'!$E:$E,'Data(perSeason,perCrop)'!$S:$S,Indicators!$B71,'Data(perSeason,perCrop)'!$O:$O,Indicators!BY$7,'Data(perSeason,perCrop)'!$C:$C,Indicators!BY$3,'Data(perSeason,perCrop)'!$R:$R,"IRRIGATED"),"")</f>
        <v/>
      </c>
      <c r="BZ71" s="82" t="str">
        <f>IFERROR(AVERAGEIFS('Data(perSeason,perCrop)'!$E:$E,'Data(perSeason,perCrop)'!$S:$S,Indicators!$B71,'Data(perSeason,perCrop)'!$O:$O,Indicators!BZ$7,'Data(perSeason,perCrop)'!$C:$C,Indicators!BZ$3,'Data(perSeason,perCrop)'!$R:$R,"IRRIGATED"),"")</f>
        <v/>
      </c>
      <c r="CA71" s="82" t="str">
        <f>IFERROR(AVERAGEIFS('Data(perSeason,perCrop)'!$E:$E,'Data(perSeason,perCrop)'!$S:$S,Indicators!$B71,'Data(perSeason,perCrop)'!$O:$O,Indicators!CA$7,'Data(perSeason,perCrop)'!$C:$C,Indicators!CA$3,'Data(perSeason,perCrop)'!$R:$R,"IRRIGATED"),"")</f>
        <v/>
      </c>
      <c r="CB71" s="82" t="str">
        <f>IFERROR(AVERAGEIFS('Data(perSeason,perCrop)'!$E:$E,'Data(perSeason,perCrop)'!$S:$S,Indicators!$B71,'Data(perSeason,perCrop)'!$O:$O,Indicators!CB$7,'Data(perSeason,perCrop)'!$C:$C,Indicators!CB$3,'Data(perSeason,perCrop)'!$R:$R,"IRRIGATED"),"")</f>
        <v/>
      </c>
      <c r="CC71" s="7" t="e">
        <f>AVERAGEIFS('Data(perSeason,perCrop)'!$E:$E,'Data(perSeason,perCrop)'!$S:$S,Indicators!$B71,'Data(perSeason,perCrop)'!$O:$O,Indicators!CC$7,'Data(perSeason,perCrop)'!$C:$C,Indicators!CC$3,'Data(perSeason,perCrop)'!$R:$R,"IRRIGATED")</f>
        <v>#DIV/0!</v>
      </c>
      <c r="CD71" s="7" t="e">
        <f>AVERAGEIFS('Data(perSeason,perCrop)'!$E:$E,'Data(perSeason,perCrop)'!$S:$S,Indicators!$B71,'Data(perSeason,perCrop)'!$O:$O,Indicators!CD$7,'Data(perSeason,perCrop)'!$C:$C,Indicators!CD$3,'Data(perSeason,perCrop)'!$R:$R,"IRRIGATED")</f>
        <v>#DIV/0!</v>
      </c>
      <c r="CE71" s="7" t="e">
        <f>AVERAGEIFS('Data(perSeason,perCrop)'!$E:$E,'Data(perSeason,perCrop)'!$S:$S,Indicators!$B71,'Data(perSeason,perCrop)'!$O:$O,Indicators!CE$7,'Data(perSeason,perCrop)'!$C:$C,Indicators!CE$3,'Data(perSeason,perCrop)'!$R:$R,"IRRIGATED")</f>
        <v>#DIV/0!</v>
      </c>
      <c r="CF71" s="7" t="e">
        <f>AVERAGEIFS('Data(perSeason,perCrop)'!$E:$E,'Data(perSeason,perCrop)'!$S:$S,Indicators!$B71,'Data(perSeason,perCrop)'!$O:$O,Indicators!CF$7,'Data(perSeason,perCrop)'!$C:$C,Indicators!CF$3,'Data(perSeason,perCrop)'!$R:$R,"IRRIGATED")</f>
        <v>#DIV/0!</v>
      </c>
      <c r="CG71" s="7" t="e">
        <f>AVERAGEIFS('Data(perSeason,perCrop)'!$E:$E,'Data(perSeason,perCrop)'!$S:$S,Indicators!$B71,'Data(perSeason,perCrop)'!$O:$O,Indicators!CG$7,'Data(perSeason,perCrop)'!$C:$C,Indicators!CG$3,'Data(perSeason,perCrop)'!$R:$R,"IRRIGATED")</f>
        <v>#DIV/0!</v>
      </c>
      <c r="CH71" s="7" t="e">
        <f>AVERAGEIFS('Data(perSeason,perCrop)'!$E:$E,'Data(perSeason,perCrop)'!$S:$S,Indicators!$B71,'Data(perSeason,perCrop)'!$O:$O,Indicators!CH$7,'Data(perSeason,perCrop)'!$C:$C,Indicators!CH$3,'Data(perSeason,perCrop)'!$R:$R,"IRRIGATED")</f>
        <v>#DIV/0!</v>
      </c>
      <c r="CI71" s="7" t="e">
        <f>AVERAGEIFS('Data(perSeason,perCrop)'!$E:$E,'Data(perSeason,perCrop)'!$S:$S,Indicators!$B71,'Data(perSeason,perCrop)'!$O:$O,Indicators!CI$7,'Data(perSeason,perCrop)'!$C:$C,Indicators!CI$3,'Data(perSeason,perCrop)'!$R:$R,"IRRIGATED")</f>
        <v>#DIV/0!</v>
      </c>
      <c r="CJ71" s="7" t="e">
        <f>AVERAGEIFS('Data(perSeason,perCrop)'!$E:$E,'Data(perSeason,perCrop)'!$S:$S,Indicators!$B71,'Data(perSeason,perCrop)'!$O:$O,Indicators!CJ$7,'Data(perSeason,perCrop)'!$C:$C,Indicators!CJ$3,'Data(perSeason,perCrop)'!$R:$R,"IRRIGATED")</f>
        <v>#DIV/0!</v>
      </c>
      <c r="CK71" s="7" t="e">
        <f>AVERAGEIFS('Data(perSeason,perCrop)'!$E:$E,'Data(perSeason,perCrop)'!$S:$S,Indicators!$B71,'Data(perSeason,perCrop)'!$O:$O,Indicators!CK$7,'Data(perSeason,perCrop)'!$C:$C,Indicators!CK$3,'Data(perSeason,perCrop)'!$R:$R,"IRRIGATED")</f>
        <v>#DIV/0!</v>
      </c>
      <c r="CL71" s="7" t="e">
        <f>AVERAGEIFS('Data(perSeason,perCrop)'!$E:$E,'Data(perSeason,perCrop)'!$S:$S,Indicators!$B71,'Data(perSeason,perCrop)'!$O:$O,Indicators!CL$7,'Data(perSeason,perCrop)'!$C:$C,Indicators!CL$3,'Data(perSeason,perCrop)'!$R:$R,"IRRIGATED")</f>
        <v>#DIV/0!</v>
      </c>
      <c r="CM71" s="7" t="e">
        <f>AVERAGEIFS('Data(perSeason,perCrop)'!$E:$E,'Data(perSeason,perCrop)'!$S:$S,Indicators!$B71,'Data(perSeason,perCrop)'!$O:$O,Indicators!CM$7,'Data(perSeason,perCrop)'!$C:$C,Indicators!CM$3,'Data(perSeason,perCrop)'!$R:$R,"IRRIGATED")</f>
        <v>#DIV/0!</v>
      </c>
      <c r="CN71" s="7" t="e">
        <f>AVERAGEIFS('Data(perSeason,perCrop)'!$E:$E,'Data(perSeason,perCrop)'!$S:$S,Indicators!$B71,'Data(perSeason,perCrop)'!$O:$O,Indicators!CN$7,'Data(perSeason,perCrop)'!$C:$C,Indicators!CN$3,'Data(perSeason,perCrop)'!$R:$R,"IRRIGATED")</f>
        <v>#DIV/0!</v>
      </c>
      <c r="CO71" s="7" t="e">
        <f>AVERAGEIFS('Data(perSeason,perCrop)'!$E:$E,'Data(perSeason,perCrop)'!$S:$S,Indicators!$B71,'Data(perSeason,perCrop)'!$O:$O,Indicators!CO$7,'Data(perSeason,perCrop)'!$C:$C,Indicators!CO$3,'Data(perSeason,perCrop)'!$R:$R,"IRRIGATED")</f>
        <v>#DIV/0!</v>
      </c>
      <c r="CP71" s="7">
        <f>AVERAGEIFS('Data(perSeason,perCrop)'!$E:$E,'Data(perSeason,perCrop)'!$S:$S,Indicators!$B71,'Data(perSeason,perCrop)'!$O:$O,Indicators!CP$7,'Data(perSeason,perCrop)'!$C:$C,Indicators!CP$3,'Data(perSeason,perCrop)'!$R:$R,"IRRIGATED")</f>
        <v>474</v>
      </c>
      <c r="CQ71" s="7">
        <f>AVERAGEIFS('Data(perSeason,perCrop)'!$E:$E,'Data(perSeason,perCrop)'!$S:$S,Indicators!$B71,'Data(perSeason,perCrop)'!$O:$O,Indicators!CQ$7,'Data(perSeason,perCrop)'!$C:$C,Indicators!CQ$3,'Data(perSeason,perCrop)'!$R:$R,"IRRIGATED")</f>
        <v>267</v>
      </c>
      <c r="CR71" s="7" t="e">
        <f>AVERAGEIFS('Data(perSeason,perCrop)'!$E:$E,'Data(perSeason,perCrop)'!$S:$S,Indicators!$B71,'Data(perSeason,perCrop)'!$O:$O,Indicators!CR$7,'Data(perSeason,perCrop)'!$C:$C,Indicators!CR$3,'Data(perSeason,perCrop)'!$R:$R,"IRRIGATED")</f>
        <v>#DIV/0!</v>
      </c>
      <c r="CS71" s="7">
        <f>AVERAGEIFS('Data(perSeason,perCrop)'!$E:$E,'Data(perSeason,perCrop)'!$S:$S,Indicators!$B71,'Data(perSeason,perCrop)'!$O:$O,Indicators!CS$7,'Data(perSeason,perCrop)'!$C:$C,Indicators!CS$3,'Data(perSeason,perCrop)'!$R:$R,"IRRIGATED")</f>
        <v>318</v>
      </c>
      <c r="CT71" s="7" t="e">
        <f>AVERAGEIFS('Data(perSeason,perCrop)'!$E:$E,'Data(perSeason,perCrop)'!$S:$S,Indicators!$B71,'Data(perSeason,perCrop)'!$O:$O,Indicators!CT$7,'Data(perSeason,perCrop)'!$C:$C,Indicators!CT$3,'Data(perSeason,perCrop)'!$R:$R,"IRRIGATED")</f>
        <v>#DIV/0!</v>
      </c>
      <c r="CU71" s="7" t="e">
        <f>AVERAGEIFS('Data(perSeason,perCrop)'!$E:$E,'Data(perSeason,perCrop)'!$S:$S,Indicators!$B71,'Data(perSeason,perCrop)'!$O:$O,Indicators!CU$7,'Data(perSeason,perCrop)'!$C:$C,Indicators!CU$3,'Data(perSeason,perCrop)'!$R:$R,"IRRIGATED")</f>
        <v>#DIV/0!</v>
      </c>
      <c r="CV71" s="7">
        <f>AVERAGEIFS('Data(perSeason,perCrop)'!$E:$E,'Data(perSeason,perCrop)'!$S:$S,Indicators!$B71,'Data(perSeason,perCrop)'!$O:$O,Indicators!CV$7,'Data(perSeason,perCrop)'!$C:$C,Indicators!CV$3,'Data(perSeason,perCrop)'!$R:$R,"IRRIGATED")</f>
        <v>443</v>
      </c>
      <c r="CW71" s="7" t="e">
        <f>AVERAGEIFS('Data(perSeason,perCrop)'!$E:$E,'Data(perSeason,perCrop)'!$S:$S,Indicators!$B71,'Data(perSeason,perCrop)'!$O:$O,Indicators!CW$7,'Data(perSeason,perCrop)'!$C:$C,Indicators!CW$3,'Data(perSeason,perCrop)'!$R:$R,"IRRIGATED")</f>
        <v>#DIV/0!</v>
      </c>
      <c r="CX71" s="7" t="e">
        <f>AVERAGEIFS('Data(perSeason,perCrop)'!$E:$E,'Data(perSeason,perCrop)'!$S:$S,Indicators!$B71,'Data(perSeason,perCrop)'!$O:$O,Indicators!CX$7,'Data(perSeason,perCrop)'!$C:$C,Indicators!CX$3,'Data(perSeason,perCrop)'!$R:$R,"IRRIGATED")</f>
        <v>#DIV/0!</v>
      </c>
      <c r="CY71" s="7" t="e">
        <f>AVERAGEIFS('Data(perSeason,perCrop)'!$E:$E,'Data(perSeason,perCrop)'!$S:$S,Indicators!$B71,'Data(perSeason,perCrop)'!$O:$O,Indicators!CY$7,'Data(perSeason,perCrop)'!$C:$C,Indicators!CY$3,'Data(perSeason,perCrop)'!$R:$R,"IRRIGATED")</f>
        <v>#DIV/0!</v>
      </c>
      <c r="CZ71" s="7" t="e">
        <f>AVERAGEIFS('Data(perSeason,perCrop)'!$E:$E,'Data(perSeason,perCrop)'!$S:$S,Indicators!$B71,'Data(perSeason,perCrop)'!$O:$O,Indicators!CZ$7,'Data(perSeason,perCrop)'!$C:$C,Indicators!CZ$3,'Data(perSeason,perCrop)'!$R:$R,"IRRIGATED")</f>
        <v>#DIV/0!</v>
      </c>
      <c r="DA71" s="7" t="e">
        <f>AVERAGEIFS('Data(perSeason,perCrop)'!$E:$E,'Data(perSeason,perCrop)'!$S:$S,Indicators!$B71,'Data(perSeason,perCrop)'!$O:$O,Indicators!DA$7,'Data(perSeason,perCrop)'!$C:$C,Indicators!DA$3,'Data(perSeason,perCrop)'!$R:$R,"IRRIGATED")</f>
        <v>#DIV/0!</v>
      </c>
      <c r="DB71" s="7" t="e">
        <f>AVERAGEIFS('Data(perSeason,perCrop)'!$E:$E,'Data(perSeason,perCrop)'!$S:$S,Indicators!$B71,'Data(perSeason,perCrop)'!$O:$O,Indicators!DB$7,'Data(perSeason,perCrop)'!$C:$C,Indicators!DB$3,'Data(perSeason,perCrop)'!$R:$R,"IRRIGATED")</f>
        <v>#DIV/0!</v>
      </c>
      <c r="DC71" s="7" t="e">
        <f>AVERAGEIFS('Data(perSeason,perCrop)'!$E:$E,'Data(perSeason,perCrop)'!$S:$S,Indicators!$B71,'Data(perSeason,perCrop)'!$O:$O,Indicators!DC$7,'Data(perSeason,perCrop)'!$C:$C,Indicators!DC$3,'Data(perSeason,perCrop)'!$R:$R,"IRRIGATED")</f>
        <v>#DIV/0!</v>
      </c>
      <c r="DD71" s="7" t="e">
        <f>AVERAGEIFS('Data(perSeason,perCrop)'!$E:$E,'Data(perSeason,perCrop)'!$S:$S,Indicators!$B71,'Data(perSeason,perCrop)'!$O:$O,Indicators!DD$7,'Data(perSeason,perCrop)'!$C:$C,Indicators!DD$3,'Data(perSeason,perCrop)'!$R:$R,"IRRIGATED")</f>
        <v>#DIV/0!</v>
      </c>
      <c r="DE71" s="7" t="e">
        <f>AVERAGEIFS('Data(perSeason,perCrop)'!$E:$E,'Data(perSeason,perCrop)'!$S:$S,Indicators!$B71,'Data(perSeason,perCrop)'!$O:$O,Indicators!DE$7,'Data(perSeason,perCrop)'!$C:$C,Indicators!DE$3,'Data(perSeason,perCrop)'!$R:$R,"IRRIGATED")</f>
        <v>#DIV/0!</v>
      </c>
      <c r="DF71" s="7" t="e">
        <f>AVERAGEIFS('Data(perSeason,perCrop)'!$E:$E,'Data(perSeason,perCrop)'!$S:$S,Indicators!$B71,'Data(perSeason,perCrop)'!$O:$O,Indicators!DF$7,'Data(perSeason,perCrop)'!$C:$C,Indicators!DF$3,'Data(perSeason,perCrop)'!$R:$R,"IRRIGATED")</f>
        <v>#DIV/0!</v>
      </c>
      <c r="DG71" s="7" t="e">
        <f>AVERAGEIFS('Data(perSeason,perCrop)'!$E:$E,'Data(perSeason,perCrop)'!$S:$S,Indicators!$B71,'Data(perSeason,perCrop)'!$O:$O,Indicators!DG$7,'Data(perSeason,perCrop)'!$C:$C,Indicators!DG$3,'Data(perSeason,perCrop)'!$R:$R,"IRRIGATED")</f>
        <v>#DIV/0!</v>
      </c>
    </row>
    <row r="72" spans="1:111" x14ac:dyDescent="0.25">
      <c r="B72">
        <v>2022</v>
      </c>
      <c r="C72" s="8">
        <f>IF(COUNTIFS('Data(perSeason,perCrop)'!$S:$S,Indicators!$B72)&gt;0,AVERAGEIFS('Data(perSeason,perCrop)'!$H:$H,'Data(perSeason,perCrop)'!$S:$S,Indicators!$B72,'Data(perSeason,perCrop)'!$O:$O,Indicators!C$7,'Data(perSeason,perCrop)'!$R:$R,"IRRIGATED"),"")</f>
        <v>0.131231891001617</v>
      </c>
      <c r="D72" s="8">
        <f>IF(COUNTIFS('Data(perSeason,perCrop)'!$S:$S,Indicators!$B72)&gt;0,AVERAGEIFS('Data(perSeason,perCrop)'!$H:$H,'Data(perSeason,perCrop)'!$S:$S,Indicators!$B72,'Data(perSeason,perCrop)'!$O:$O,Indicators!D$7,'Data(perSeason,perCrop)'!$R:$R,"IRRIGATED"),"")</f>
        <v>4.2348140080079998E-2</v>
      </c>
      <c r="E72" s="8">
        <f>IF(COUNTIFS('Data(perSeason,perCrop)'!$S:$S,Indicators!$B72)&gt;0,AVERAGEIFS('Data(perSeason,perCrop)'!$H:$H,'Data(perSeason,perCrop)'!$S:$S,Indicators!$B72,'Data(perSeason,perCrop)'!$O:$O,Indicators!E$7,'Data(perSeason,perCrop)'!$R:$R,"IRRIGATED"),"")</f>
        <v>0.14274506206635401</v>
      </c>
      <c r="F72" s="8">
        <f>IF(COUNTIFS('Data(perSeason,perCrop)'!$S:$S,Indicators!$B72)&gt;0,AVERAGEIFS('Data(perSeason,perCrop)'!$H:$H,'Data(perSeason,perCrop)'!$S:$S,Indicators!$B72,'Data(perSeason,perCrop)'!$O:$O,Indicators!F$7,'Data(perSeason,perCrop)'!$R:$R,"IRRIGATED"),"")</f>
        <v>9.5291979419570502E-2</v>
      </c>
      <c r="G72" s="8"/>
      <c r="H72" s="8"/>
      <c r="J72" s="2" t="s">
        <v>27</v>
      </c>
      <c r="K72" s="7" t="e">
        <f>AVERAGEIFS('Data(perSeason,perCrop)'!$E:$E,'Data(perSeason,perCrop)'!$S:$S,Indicators!$B72,'Data(perSeason,perCrop)'!$O:$O,Indicators!K$7,'Data(perSeason,perCrop)'!$C:$C,Indicators!K$3,'Data(perSeason,perCrop)'!$R:$R,"IRRIGATED")</f>
        <v>#DIV/0!</v>
      </c>
      <c r="L72" s="7" t="e">
        <f>AVERAGEIFS('Data(perSeason,perCrop)'!$E:$E,'Data(perSeason,perCrop)'!$S:$S,Indicators!$B72,'Data(perSeason,perCrop)'!$O:$O,Indicators!L$7,'Data(perSeason,perCrop)'!$C:$C,Indicators!L$3,'Data(perSeason,perCrop)'!$R:$R,"IRRIGATED")</f>
        <v>#DIV/0!</v>
      </c>
      <c r="M72" s="7" t="e">
        <f>AVERAGEIFS('Data(perSeason,perCrop)'!$E:$E,'Data(perSeason,perCrop)'!$S:$S,Indicators!$B72,'Data(perSeason,perCrop)'!$O:$O,Indicators!M$7,'Data(perSeason,perCrop)'!$C:$C,Indicators!M$3,'Data(perSeason,perCrop)'!$R:$R,"IRRIGATED")</f>
        <v>#DIV/0!</v>
      </c>
      <c r="N72" s="7">
        <f>AVERAGEIFS('Data(perSeason,perCrop)'!$E:$E,'Data(perSeason,perCrop)'!$S:$S,Indicators!$B72,'Data(perSeason,perCrop)'!$O:$O,Indicators!N$7,'Data(perSeason,perCrop)'!$C:$C,Indicators!N$3,'Data(perSeason,perCrop)'!$R:$R,"IRRIGATED")</f>
        <v>1036</v>
      </c>
      <c r="O72" s="7">
        <f>AVERAGEIFS('Data(perSeason,perCrop)'!$E:$E,'Data(perSeason,perCrop)'!$S:$S,Indicators!$B72,'Data(perSeason,perCrop)'!$O:$O,Indicators!O$7,'Data(perSeason,perCrop)'!$C:$C,Indicators!O$3,'Data(perSeason,perCrop)'!$R:$R,"IRRIGATED")</f>
        <v>448</v>
      </c>
      <c r="P72" s="7" t="e">
        <f>AVERAGEIFS('Data(perSeason,perCrop)'!$E:$E,'Data(perSeason,perCrop)'!$S:$S,Indicators!$B72,'Data(perSeason,perCrop)'!$O:$O,Indicators!P$7,'Data(perSeason,perCrop)'!$C:$C,Indicators!P$3,'Data(perSeason,perCrop)'!$R:$R,"IRRIGATED")</f>
        <v>#DIV/0!</v>
      </c>
      <c r="Q72" s="7">
        <f>AVERAGEIFS('Data(perSeason,perCrop)'!$E:$E,'Data(perSeason,perCrop)'!$S:$S,Indicators!$B72,'Data(perSeason,perCrop)'!$O:$O,Indicators!Q$7,'Data(perSeason,perCrop)'!$C:$C,Indicators!Q$3,'Data(perSeason,perCrop)'!$R:$R,"IRRIGATED")</f>
        <v>855</v>
      </c>
      <c r="R72" s="7" t="e">
        <f>AVERAGEIFS('Data(perSeason,perCrop)'!$E:$E,'Data(perSeason,perCrop)'!$S:$S,Indicators!$B72,'Data(perSeason,perCrop)'!$O:$O,Indicators!R$7,'Data(perSeason,perCrop)'!$C:$C,Indicators!R$3,'Data(perSeason,perCrop)'!$R:$R,"IRRIGATED")</f>
        <v>#DIV/0!</v>
      </c>
      <c r="S72" s="62" t="e">
        <f>AVERAGEIFS('Data(perSeason,perCrop)'!$E:$E,'Data(perSeason,perCrop)'!$S:$S,Indicators!$B72,'Data(perSeason,perCrop)'!$O:$O,Indicators!S$7,'Data(perSeason,perCrop)'!$C:$C,Indicators!S$3,'Data(perSeason,perCrop)'!$R:$R,"IRRIGATED")</f>
        <v>#DIV/0!</v>
      </c>
      <c r="T72" s="62">
        <f>AVERAGEIFS('Data(perSeason,perCrop)'!$E:$E,'Data(perSeason,perCrop)'!$S:$S,Indicators!$B72,'Data(perSeason,perCrop)'!$O:$O,Indicators!T$7,'Data(perSeason,perCrop)'!$C:$C,Indicators!T$3,'Data(perSeason,perCrop)'!$R:$R,"IRRIGATED")</f>
        <v>249</v>
      </c>
      <c r="U72" s="62" t="e">
        <f>AVERAGEIFS('Data(perSeason,perCrop)'!$E:$E,'Data(perSeason,perCrop)'!$S:$S,Indicators!$B72,'Data(perSeason,perCrop)'!$O:$O,Indicators!U$7,'Data(perSeason,perCrop)'!$C:$C,Indicators!U$3,'Data(perSeason,perCrop)'!$R:$R,"IRRIGATED")</f>
        <v>#DIV/0!</v>
      </c>
      <c r="V72" s="62" t="e">
        <f>AVERAGEIFS('Data(perSeason,perCrop)'!$E:$E,'Data(perSeason,perCrop)'!$S:$S,Indicators!$B72,'Data(perSeason,perCrop)'!$O:$O,Indicators!V$7,'Data(perSeason,perCrop)'!$C:$C,Indicators!V$3,'Data(perSeason,perCrop)'!$R:$R,"IRRIGATED")</f>
        <v>#DIV/0!</v>
      </c>
      <c r="W72" s="62" t="e">
        <f>AVERAGEIFS('Data(perSeason,perCrop)'!$E:$E,'Data(perSeason,perCrop)'!$S:$S,Indicators!$B72,'Data(perSeason,perCrop)'!$O:$O,Indicators!W$7,'Data(perSeason,perCrop)'!$C:$C,Indicators!W$3,'Data(perSeason,perCrop)'!$R:$R,"IRRIGATED")</f>
        <v>#DIV/0!</v>
      </c>
      <c r="X72" s="62" t="e">
        <f>AVERAGEIFS('Data(perSeason,perCrop)'!$E:$E,'Data(perSeason,perCrop)'!$S:$S,Indicators!$B72,'Data(perSeason,perCrop)'!$O:$O,Indicators!X$7,'Data(perSeason,perCrop)'!$C:$C,Indicators!X$3,'Data(perSeason,perCrop)'!$R:$R,"IRRIGATED")</f>
        <v>#DIV/0!</v>
      </c>
      <c r="Y72" s="62" t="e">
        <f>AVERAGEIFS('Data(perSeason,perCrop)'!$E:$E,'Data(perSeason,perCrop)'!$S:$S,Indicators!$B72,'Data(perSeason,perCrop)'!$O:$O,Indicators!Y$7,'Data(perSeason,perCrop)'!$C:$C,Indicators!Y$3,'Data(perSeason,perCrop)'!$R:$R,"IRRIGATED")</f>
        <v>#DIV/0!</v>
      </c>
      <c r="Z72" s="62" t="e">
        <f>AVERAGEIFS('Data(perSeason,perCrop)'!$E:$E,'Data(perSeason,perCrop)'!$S:$S,Indicators!$B72,'Data(perSeason,perCrop)'!$O:$O,Indicators!Z$7,'Data(perSeason,perCrop)'!$C:$C,Indicators!Z$3,'Data(perSeason,perCrop)'!$R:$R,"IRRIGATED")</f>
        <v>#DIV/0!</v>
      </c>
      <c r="AA72" s="62" t="e">
        <f>AVERAGEIFS('Data(perSeason,perCrop)'!$E:$E,'Data(perSeason,perCrop)'!$S:$S,Indicators!$B72,'Data(perSeason,perCrop)'!$O:$O,Indicators!AA$7,'Data(perSeason,perCrop)'!$C:$C,Indicators!AA$3,'Data(perSeason,perCrop)'!$R:$R,"IRRIGATED")</f>
        <v>#DIV/0!</v>
      </c>
      <c r="AB72" s="62" t="e">
        <f>AVERAGEIFS('Data(perSeason,perCrop)'!$E:$E,'Data(perSeason,perCrop)'!$S:$S,Indicators!$B72,'Data(perSeason,perCrop)'!$O:$O,Indicators!AB$7,'Data(perSeason,perCrop)'!$C:$C,Indicators!AB$3,'Data(perSeason,perCrop)'!$R:$R,"IRRIGATED")</f>
        <v>#DIV/0!</v>
      </c>
      <c r="AC72" s="62" t="e">
        <f>AVERAGEIFS('Data(perSeason,perCrop)'!$E:$E,'Data(perSeason,perCrop)'!$S:$S,Indicators!$B72,'Data(perSeason,perCrop)'!$O:$O,Indicators!AC$7,'Data(perSeason,perCrop)'!$C:$C,Indicators!AC$3,'Data(perSeason,perCrop)'!$R:$R,"IRRIGATED")</f>
        <v>#DIV/0!</v>
      </c>
      <c r="AD72" s="62" t="e">
        <f>AVERAGEIFS('Data(perSeason,perCrop)'!$E:$E,'Data(perSeason,perCrop)'!$S:$S,Indicators!$B72,'Data(perSeason,perCrop)'!$O:$O,Indicators!AD$7,'Data(perSeason,perCrop)'!$C:$C,Indicators!AD$3,'Data(perSeason,perCrop)'!$R:$R,"IRRIGATED")</f>
        <v>#DIV/0!</v>
      </c>
      <c r="AE72" s="62" t="e">
        <f>AVERAGEIFS('Data(perSeason,perCrop)'!$E:$E,'Data(perSeason,perCrop)'!$S:$S,Indicators!$B72,'Data(perSeason,perCrop)'!$O:$O,Indicators!AE$7,'Data(perSeason,perCrop)'!$C:$C,Indicators!AE$3,'Data(perSeason,perCrop)'!$R:$R,"IRRIGATED")</f>
        <v>#DIV/0!</v>
      </c>
      <c r="AF72" s="62">
        <f>AVERAGEIFS('Data(perSeason,perCrop)'!$E:$E,'Data(perSeason,perCrop)'!$S:$S,Indicators!$B72,'Data(perSeason,perCrop)'!$O:$O,Indicators!AF$7,'Data(perSeason,perCrop)'!$C:$C,Indicators!AF$3,'Data(perSeason,perCrop)'!$R:$R,"IRRIGATED")</f>
        <v>337</v>
      </c>
      <c r="AG72" s="62">
        <f>AVERAGEIFS('Data(perSeason,perCrop)'!$E:$E,'Data(perSeason,perCrop)'!$S:$S,Indicators!$B72,'Data(perSeason,perCrop)'!$O:$O,Indicators!AG$7,'Data(perSeason,perCrop)'!$C:$C,Indicators!AG$3,'Data(perSeason,perCrop)'!$R:$R,"IRRIGATED")</f>
        <v>280</v>
      </c>
      <c r="AH72" s="62" t="e">
        <f>AVERAGEIFS('Data(perSeason,perCrop)'!$E:$E,'Data(perSeason,perCrop)'!$S:$S,Indicators!$B72,'Data(perSeason,perCrop)'!$O:$O,Indicators!AH$7,'Data(perSeason,perCrop)'!$C:$C,Indicators!AH$3,'Data(perSeason,perCrop)'!$R:$R,"IRRIGATED")</f>
        <v>#DIV/0!</v>
      </c>
      <c r="AI72" s="62">
        <f>AVERAGEIFS('Data(perSeason,perCrop)'!$E:$E,'Data(perSeason,perCrop)'!$S:$S,Indicators!$B72,'Data(perSeason,perCrop)'!$O:$O,Indicators!AI$7,'Data(perSeason,perCrop)'!$C:$C,Indicators!AI$3,'Data(perSeason,perCrop)'!$R:$R,"IRRIGATED")</f>
        <v>265</v>
      </c>
      <c r="AJ72" s="62" t="e">
        <f>AVERAGEIFS('Data(perSeason,perCrop)'!$E:$E,'Data(perSeason,perCrop)'!$S:$S,Indicators!$B72,'Data(perSeason,perCrop)'!$O:$O,Indicators!AJ$7,'Data(perSeason,perCrop)'!$C:$C,Indicators!AJ$3,'Data(perSeason,perCrop)'!$R:$R,"IRRIGATED")</f>
        <v>#DIV/0!</v>
      </c>
      <c r="AK72" s="62" t="e">
        <f>AVERAGEIFS('Data(perSeason,perCrop)'!$E:$E,'Data(perSeason,perCrop)'!$S:$S,Indicators!$B72,'Data(perSeason,perCrop)'!$O:$O,Indicators!AK$7,'Data(perSeason,perCrop)'!$C:$C,Indicators!AK$3,'Data(perSeason,perCrop)'!$R:$R,"IRRIGATED")</f>
        <v>#DIV/0!</v>
      </c>
      <c r="AL72" s="62">
        <f>AVERAGEIFS('Data(perSeason,perCrop)'!$E:$E,'Data(perSeason,perCrop)'!$S:$S,Indicators!$B72,'Data(perSeason,perCrop)'!$O:$O,Indicators!AL$7,'Data(perSeason,perCrop)'!$C:$C,Indicators!AL$3,'Data(perSeason,perCrop)'!$R:$R,"IRRIGATED")</f>
        <v>274</v>
      </c>
      <c r="AM72" s="62" t="e">
        <f>AVERAGEIFS('Data(perSeason,perCrop)'!$E:$E,'Data(perSeason,perCrop)'!$S:$S,Indicators!$B72,'Data(perSeason,perCrop)'!$O:$O,Indicators!AM$7,'Data(perSeason,perCrop)'!$C:$C,Indicators!AM$3,'Data(perSeason,perCrop)'!$R:$R,"IRRIGATED")</f>
        <v>#DIV/0!</v>
      </c>
      <c r="AN72" s="62" t="e">
        <f>AVERAGEIFS('Data(perSeason,perCrop)'!$E:$E,'Data(perSeason,perCrop)'!$S:$S,Indicators!$B72,'Data(perSeason,perCrop)'!$O:$O,Indicators!AN$7,'Data(perSeason,perCrop)'!$C:$C,Indicators!AN$3,'Data(perSeason,perCrop)'!$R:$R,"IRRIGATED")</f>
        <v>#DIV/0!</v>
      </c>
      <c r="AO72" s="62" t="e">
        <f>AVERAGEIFS('Data(perSeason,perCrop)'!$E:$E,'Data(perSeason,perCrop)'!$S:$S,Indicators!$B72,'Data(perSeason,perCrop)'!$O:$O,Indicators!AO$7,'Data(perSeason,perCrop)'!$C:$C,Indicators!AO$3,'Data(perSeason,perCrop)'!$R:$R,"IRRIGATED")</f>
        <v>#DIV/0!</v>
      </c>
      <c r="AP72" s="62" t="e">
        <f>AVERAGEIFS('Data(perSeason,perCrop)'!$E:$E,'Data(perSeason,perCrop)'!$S:$S,Indicators!$B72,'Data(perSeason,perCrop)'!$O:$O,Indicators!AP$7,'Data(perSeason,perCrop)'!$C:$C,Indicators!AP$3,'Data(perSeason,perCrop)'!$R:$R,"IRRIGATED")</f>
        <v>#DIV/0!</v>
      </c>
      <c r="AQ72" s="62" t="e">
        <f>AVERAGEIFS('Data(perSeason,perCrop)'!$E:$E,'Data(perSeason,perCrop)'!$S:$S,Indicators!$B72,'Data(perSeason,perCrop)'!$O:$O,Indicators!AQ$7,'Data(perSeason,perCrop)'!$C:$C,Indicators!AQ$3,'Data(perSeason,perCrop)'!$R:$R,"IRRIGATED")</f>
        <v>#DIV/0!</v>
      </c>
      <c r="AR72" s="62" t="e">
        <f>AVERAGEIFS('Data(perSeason,perCrop)'!$E:$E,'Data(perSeason,perCrop)'!$S:$S,Indicators!$B72,'Data(perSeason,perCrop)'!$O:$O,Indicators!AR$7,'Data(perSeason,perCrop)'!$C:$C,Indicators!AR$3,'Data(perSeason,perCrop)'!$R:$R,"IRRIGATED")</f>
        <v>#DIV/0!</v>
      </c>
      <c r="AS72" s="62" t="e">
        <f>AVERAGEIFS('Data(perSeason,perCrop)'!$E:$E,'Data(perSeason,perCrop)'!$S:$S,Indicators!$B72,'Data(perSeason,perCrop)'!$O:$O,Indicators!AS$7,'Data(perSeason,perCrop)'!$C:$C,Indicators!AS$3,'Data(perSeason,perCrop)'!$R:$R,"IRRIGATED")</f>
        <v>#DIV/0!</v>
      </c>
      <c r="AT72" s="62" t="e">
        <f>AVERAGEIFS('Data(perSeason,perCrop)'!$E:$E,'Data(perSeason,perCrop)'!$S:$S,Indicators!$B72,'Data(perSeason,perCrop)'!$O:$O,Indicators!AT$7,'Data(perSeason,perCrop)'!$C:$C,Indicators!AT$3,'Data(perSeason,perCrop)'!$R:$R,"IRRIGATED")</f>
        <v>#DIV/0!</v>
      </c>
      <c r="AU72" s="62" t="e">
        <f>AVERAGEIFS('Data(perSeason,perCrop)'!$E:$E,'Data(perSeason,perCrop)'!$S:$S,Indicators!$B72,'Data(perSeason,perCrop)'!$O:$O,Indicators!AU$7,'Data(perSeason,perCrop)'!$C:$C,Indicators!AU$3,'Data(perSeason,perCrop)'!$R:$R,"IRRIGATED")</f>
        <v>#DIV/0!</v>
      </c>
      <c r="AV72" s="62" t="e">
        <f>AVERAGEIFS('Data(perSeason,perCrop)'!$E:$E,'Data(perSeason,perCrop)'!$S:$S,Indicators!$B72,'Data(perSeason,perCrop)'!$O:$O,Indicators!AV$7,'Data(perSeason,perCrop)'!$C:$C,Indicators!AV$3,'Data(perSeason,perCrop)'!$R:$R,"IRRIGATED")</f>
        <v>#DIV/0!</v>
      </c>
      <c r="AW72" s="62" t="e">
        <f>AVERAGEIFS('Data(perSeason,perCrop)'!$E:$E,'Data(perSeason,perCrop)'!$S:$S,Indicators!$B72,'Data(perSeason,perCrop)'!$O:$O,Indicators!AW$7,'Data(perSeason,perCrop)'!$C:$C,Indicators!AW$3,'Data(perSeason,perCrop)'!$R:$R,"IRRIGATED")</f>
        <v>#DIV/0!</v>
      </c>
      <c r="AX72" s="82"/>
      <c r="AY72" s="82">
        <f>IFERROR(AVERAGEIFS('Data(perSeason,perCrop)'!$E:$E,'Data(perSeason,perCrop)'!$S:$S,Indicators!$B72,'Data(perSeason,perCrop)'!$O:$O,Indicators!AY$7,'Data(perSeason,perCrop)'!$C:$C,Indicators!AY$3,'Data(perSeason,perCrop)'!$R:$R,"IRRIGATED"),"")</f>
        <v>222</v>
      </c>
      <c r="AZ72" s="82" t="str">
        <f>IFERROR(AVERAGEIFS('Data(perSeason,perCrop)'!$E:$E,'Data(perSeason,perCrop)'!$S:$S,Indicators!$B72,'Data(perSeason,perCrop)'!$O:$O,Indicators!AZ$7,'Data(perSeason,perCrop)'!$C:$C,Indicators!AZ$3,'Data(perSeason,perCrop)'!$R:$R,"IRRIGATED"),"")</f>
        <v/>
      </c>
      <c r="BA72" s="82" t="str">
        <f>IFERROR(AVERAGEIFS('Data(perSeason,perCrop)'!$E:$E,'Data(perSeason,perCrop)'!$S:$S,Indicators!$B72,'Data(perSeason,perCrop)'!$O:$O,Indicators!BA$7,'Data(perSeason,perCrop)'!$C:$C,Indicators!BA$3,'Data(perSeason,perCrop)'!$R:$R,"IRRIGATED"),"")</f>
        <v/>
      </c>
      <c r="BB72" s="82" t="str">
        <f>IFERROR(AVERAGEIFS('Data(perSeason,perCrop)'!$E:$E,'Data(perSeason,perCrop)'!$S:$S,Indicators!$B72,'Data(perSeason,perCrop)'!$O:$O,Indicators!BB$7,'Data(perSeason,perCrop)'!$C:$C,Indicators!BB$3,'Data(perSeason,perCrop)'!$R:$R,"IRRIGATED"),"")</f>
        <v/>
      </c>
      <c r="BC72" s="82" t="str">
        <f>IFERROR(AVERAGEIFS('Data(perSeason,perCrop)'!$E:$E,'Data(perSeason,perCrop)'!$S:$S,Indicators!$B72,'Data(perSeason,perCrop)'!$O:$O,Indicators!BC$7,'Data(perSeason,perCrop)'!$C:$C,Indicators!BC$3,'Data(perSeason,perCrop)'!$R:$R,"IRRIGATED"),"")</f>
        <v/>
      </c>
      <c r="BD72" s="82" t="str">
        <f>IFERROR(AVERAGEIFS('Data(perSeason,perCrop)'!$E:$E,'Data(perSeason,perCrop)'!$S:$S,Indicators!$B72,'Data(perSeason,perCrop)'!$O:$O,Indicators!BD$7,'Data(perSeason,perCrop)'!$C:$C,Indicators!BD$3,'Data(perSeason,perCrop)'!$R:$R,"IRRIGATED"),"")</f>
        <v/>
      </c>
      <c r="BE72" s="82" t="str">
        <f>IFERROR(AVERAGEIFS('Data(perSeason,perCrop)'!$E:$E,'Data(perSeason,perCrop)'!$S:$S,Indicators!$B72,'Data(perSeason,perCrop)'!$O:$O,Indicators!BE$7,'Data(perSeason,perCrop)'!$C:$C,Indicators!BE$3,'Data(perSeason,perCrop)'!$R:$R,"IRRIGATED"),"")</f>
        <v/>
      </c>
      <c r="BF72" s="82" t="str">
        <f>IFERROR(AVERAGEIFS('Data(perSeason,perCrop)'!$E:$E,'Data(perSeason,perCrop)'!$S:$S,Indicators!$B72,'Data(perSeason,perCrop)'!$O:$O,Indicators!BF$7,'Data(perSeason,perCrop)'!$C:$C,Indicators!BF$3,'Data(perSeason,perCrop)'!$R:$R,"IRRIGATED"),"")</f>
        <v/>
      </c>
      <c r="BG72" s="82" t="str">
        <f>IFERROR(AVERAGEIFS('Data(perSeason,perCrop)'!$E:$E,'Data(perSeason,perCrop)'!$S:$S,Indicators!$B72,'Data(perSeason,perCrop)'!$O:$O,Indicators!BG$7,'Data(perSeason,perCrop)'!$C:$C,Indicators!BG$3,'Data(perSeason,perCrop)'!$R:$R,"IRRIGATED"),"")</f>
        <v/>
      </c>
      <c r="BH72" s="82" t="str">
        <f>IFERROR(AVERAGEIFS('Data(perSeason,perCrop)'!$E:$E,'Data(perSeason,perCrop)'!$S:$S,Indicators!$B72,'Data(perSeason,perCrop)'!$O:$O,Indicators!BH$7,'Data(perSeason,perCrop)'!$C:$C,Indicators!BH$3,'Data(perSeason,perCrop)'!$R:$R,"IRRIGATED"),"")</f>
        <v/>
      </c>
      <c r="BI72" s="82" t="str">
        <f>IFERROR(AVERAGEIFS('Data(perSeason,perCrop)'!$E:$E,'Data(perSeason,perCrop)'!$S:$S,Indicators!$B72,'Data(perSeason,perCrop)'!$O:$O,Indicators!BI$7,'Data(perSeason,perCrop)'!$C:$C,Indicators!BI$3,'Data(perSeason,perCrop)'!$R:$R,"IRRIGATED"),"")</f>
        <v/>
      </c>
      <c r="BJ72" s="82" t="str">
        <f>IFERROR(AVERAGEIFS('Data(perSeason,perCrop)'!$E:$E,'Data(perSeason,perCrop)'!$S:$S,Indicators!$B72,'Data(perSeason,perCrop)'!$O:$O,Indicators!BJ$7,'Data(perSeason,perCrop)'!$C:$C,Indicators!BJ$3,'Data(perSeason,perCrop)'!$R:$R,"IRRIGATED"),"")</f>
        <v/>
      </c>
      <c r="BK72" s="82" t="str">
        <f>IFERROR(AVERAGEIFS('Data(perSeason,perCrop)'!$E:$E,'Data(perSeason,perCrop)'!$S:$S,Indicators!$B72,'Data(perSeason,perCrop)'!$O:$O,Indicators!BK$7,'Data(perSeason,perCrop)'!$C:$C,Indicators!BK$3,'Data(perSeason,perCrop)'!$R:$R,"IRRIGATED"),"")</f>
        <v/>
      </c>
      <c r="BL72" s="82">
        <f>IFERROR(AVERAGEIFS('Data(perSeason,perCrop)'!$E:$E,'Data(perSeason,perCrop)'!$S:$S,Indicators!$B72,'Data(perSeason,perCrop)'!$O:$O,Indicators!BL$7,'Data(perSeason,perCrop)'!$C:$C,Indicators!BL$3,'Data(perSeason,perCrop)'!$R:$R,"IRRIGATED"),"")</f>
        <v>252</v>
      </c>
      <c r="BM72" s="82" t="str">
        <f>IFERROR(AVERAGEIFS('Data(perSeason,perCrop)'!$E:$E,'Data(perSeason,perCrop)'!$S:$S,Indicators!$B72,'Data(perSeason,perCrop)'!$O:$O,Indicators!BM$7,'Data(perSeason,perCrop)'!$C:$C,Indicators!BM$3,'Data(perSeason,perCrop)'!$R:$R,"IRRIGATED"),"")</f>
        <v/>
      </c>
      <c r="BN72" s="82">
        <f>IFERROR(AVERAGEIFS('Data(perSeason,perCrop)'!$E:$E,'Data(perSeason,perCrop)'!$S:$S,Indicators!$B72,'Data(perSeason,perCrop)'!$O:$O,Indicators!BN$7,'Data(perSeason,perCrop)'!$C:$C,Indicators!BN$3,'Data(perSeason,perCrop)'!$R:$R,"IRRIGATED"),"")</f>
        <v>238</v>
      </c>
      <c r="BO72" s="82" t="str">
        <f>IFERROR(AVERAGEIFS('Data(perSeason,perCrop)'!$E:$E,'Data(perSeason,perCrop)'!$S:$S,Indicators!$B72,'Data(perSeason,perCrop)'!$O:$O,Indicators!BO$7,'Data(perSeason,perCrop)'!$C:$C,Indicators!BO$3,'Data(perSeason,perCrop)'!$R:$R,"IRRIGATED"),"")</f>
        <v/>
      </c>
      <c r="BP72" s="82" t="str">
        <f>IFERROR(AVERAGEIFS('Data(perSeason,perCrop)'!$E:$E,'Data(perSeason,perCrop)'!$S:$S,Indicators!$B72,'Data(perSeason,perCrop)'!$O:$O,Indicators!BP$7,'Data(perSeason,perCrop)'!$C:$C,Indicators!BP$3,'Data(perSeason,perCrop)'!$R:$R,"IRRIGATED"),"")</f>
        <v/>
      </c>
      <c r="BQ72" s="82">
        <f>IFERROR(AVERAGEIFS('Data(perSeason,perCrop)'!$E:$E,'Data(perSeason,perCrop)'!$S:$S,Indicators!$B72,'Data(perSeason,perCrop)'!$O:$O,Indicators!BQ$7,'Data(perSeason,perCrop)'!$C:$C,Indicators!BQ$3,'Data(perSeason,perCrop)'!$R:$R,"IRRIGATED"),"")</f>
        <v>285</v>
      </c>
      <c r="BR72" s="82" t="str">
        <f>IFERROR(AVERAGEIFS('Data(perSeason,perCrop)'!$E:$E,'Data(perSeason,perCrop)'!$S:$S,Indicators!$B72,'Data(perSeason,perCrop)'!$O:$O,Indicators!BR$7,'Data(perSeason,perCrop)'!$C:$C,Indicators!BR$3,'Data(perSeason,perCrop)'!$R:$R,"IRRIGATED"),"")</f>
        <v/>
      </c>
      <c r="BS72" s="82" t="str">
        <f>IFERROR(AVERAGEIFS('Data(perSeason,perCrop)'!$E:$E,'Data(perSeason,perCrop)'!$S:$S,Indicators!$B72,'Data(perSeason,perCrop)'!$O:$O,Indicators!BS$7,'Data(perSeason,perCrop)'!$C:$C,Indicators!BS$3,'Data(perSeason,perCrop)'!$R:$R,"IRRIGATED"),"")</f>
        <v/>
      </c>
      <c r="BT72" s="82" t="str">
        <f>IFERROR(AVERAGEIFS('Data(perSeason,perCrop)'!$E:$E,'Data(perSeason,perCrop)'!$S:$S,Indicators!$B72,'Data(perSeason,perCrop)'!$O:$O,Indicators!BT$7,'Data(perSeason,perCrop)'!$C:$C,Indicators!BT$3,'Data(perSeason,perCrop)'!$R:$R,"IRRIGATED"),"")</f>
        <v/>
      </c>
      <c r="BU72" s="82" t="str">
        <f>IFERROR(AVERAGEIFS('Data(perSeason,perCrop)'!$E:$E,'Data(perSeason,perCrop)'!$S:$S,Indicators!$B72,'Data(perSeason,perCrop)'!$O:$O,Indicators!BU$7,'Data(perSeason,perCrop)'!$C:$C,Indicators!BU$3,'Data(perSeason,perCrop)'!$R:$R,"IRRIGATED"),"")</f>
        <v/>
      </c>
      <c r="BV72" s="82" t="str">
        <f>IFERROR(AVERAGEIFS('Data(perSeason,perCrop)'!$E:$E,'Data(perSeason,perCrop)'!$S:$S,Indicators!$B72,'Data(perSeason,perCrop)'!$O:$O,Indicators!BV$7,'Data(perSeason,perCrop)'!$C:$C,Indicators!BV$3,'Data(perSeason,perCrop)'!$R:$R,"IRRIGATED"),"")</f>
        <v/>
      </c>
      <c r="BW72" s="82" t="str">
        <f>IFERROR(AVERAGEIFS('Data(perSeason,perCrop)'!$E:$E,'Data(perSeason,perCrop)'!$S:$S,Indicators!$B72,'Data(perSeason,perCrop)'!$O:$O,Indicators!BW$7,'Data(perSeason,perCrop)'!$C:$C,Indicators!BW$3,'Data(perSeason,perCrop)'!$R:$R,"IRRIGATED"),"")</f>
        <v/>
      </c>
      <c r="BX72" s="82" t="str">
        <f>IFERROR(AVERAGEIFS('Data(perSeason,perCrop)'!$E:$E,'Data(perSeason,perCrop)'!$S:$S,Indicators!$B72,'Data(perSeason,perCrop)'!$O:$O,Indicators!BX$7,'Data(perSeason,perCrop)'!$C:$C,Indicators!BX$3,'Data(perSeason,perCrop)'!$R:$R,"IRRIGATED"),"")</f>
        <v/>
      </c>
      <c r="BY72" s="82" t="str">
        <f>IFERROR(AVERAGEIFS('Data(perSeason,perCrop)'!$E:$E,'Data(perSeason,perCrop)'!$S:$S,Indicators!$B72,'Data(perSeason,perCrop)'!$O:$O,Indicators!BY$7,'Data(perSeason,perCrop)'!$C:$C,Indicators!BY$3,'Data(perSeason,perCrop)'!$R:$R,"IRRIGATED"),"")</f>
        <v/>
      </c>
      <c r="BZ72" s="82" t="str">
        <f>IFERROR(AVERAGEIFS('Data(perSeason,perCrop)'!$E:$E,'Data(perSeason,perCrop)'!$S:$S,Indicators!$B72,'Data(perSeason,perCrop)'!$O:$O,Indicators!BZ$7,'Data(perSeason,perCrop)'!$C:$C,Indicators!BZ$3,'Data(perSeason,perCrop)'!$R:$R,"IRRIGATED"),"")</f>
        <v/>
      </c>
      <c r="CA72" s="82" t="str">
        <f>IFERROR(AVERAGEIFS('Data(perSeason,perCrop)'!$E:$E,'Data(perSeason,perCrop)'!$S:$S,Indicators!$B72,'Data(perSeason,perCrop)'!$O:$O,Indicators!CA$7,'Data(perSeason,perCrop)'!$C:$C,Indicators!CA$3,'Data(perSeason,perCrop)'!$R:$R,"IRRIGATED"),"")</f>
        <v/>
      </c>
      <c r="CB72" s="82" t="str">
        <f>IFERROR(AVERAGEIFS('Data(perSeason,perCrop)'!$E:$E,'Data(perSeason,perCrop)'!$S:$S,Indicators!$B72,'Data(perSeason,perCrop)'!$O:$O,Indicators!CB$7,'Data(perSeason,perCrop)'!$C:$C,Indicators!CB$3,'Data(perSeason,perCrop)'!$R:$R,"IRRIGATED"),"")</f>
        <v/>
      </c>
      <c r="CC72" s="7" t="e">
        <f>AVERAGEIFS('Data(perSeason,perCrop)'!$E:$E,'Data(perSeason,perCrop)'!$S:$S,Indicators!$B72,'Data(perSeason,perCrop)'!$O:$O,Indicators!CC$7,'Data(perSeason,perCrop)'!$C:$C,Indicators!CC$3,'Data(perSeason,perCrop)'!$R:$R,"IRRIGATED")</f>
        <v>#DIV/0!</v>
      </c>
      <c r="CD72" s="7" t="e">
        <f>AVERAGEIFS('Data(perSeason,perCrop)'!$E:$E,'Data(perSeason,perCrop)'!$S:$S,Indicators!$B72,'Data(perSeason,perCrop)'!$O:$O,Indicators!CD$7,'Data(perSeason,perCrop)'!$C:$C,Indicators!CD$3,'Data(perSeason,perCrop)'!$R:$R,"IRRIGATED")</f>
        <v>#DIV/0!</v>
      </c>
      <c r="CE72" s="7" t="e">
        <f>AVERAGEIFS('Data(perSeason,perCrop)'!$E:$E,'Data(perSeason,perCrop)'!$S:$S,Indicators!$B72,'Data(perSeason,perCrop)'!$O:$O,Indicators!CE$7,'Data(perSeason,perCrop)'!$C:$C,Indicators!CE$3,'Data(perSeason,perCrop)'!$R:$R,"IRRIGATED")</f>
        <v>#DIV/0!</v>
      </c>
      <c r="CF72" s="7" t="e">
        <f>AVERAGEIFS('Data(perSeason,perCrop)'!$E:$E,'Data(perSeason,perCrop)'!$S:$S,Indicators!$B72,'Data(perSeason,perCrop)'!$O:$O,Indicators!CF$7,'Data(perSeason,perCrop)'!$C:$C,Indicators!CF$3,'Data(perSeason,perCrop)'!$R:$R,"IRRIGATED")</f>
        <v>#DIV/0!</v>
      </c>
      <c r="CG72" s="7" t="e">
        <f>AVERAGEIFS('Data(perSeason,perCrop)'!$E:$E,'Data(perSeason,perCrop)'!$S:$S,Indicators!$B72,'Data(perSeason,perCrop)'!$O:$O,Indicators!CG$7,'Data(perSeason,perCrop)'!$C:$C,Indicators!CG$3,'Data(perSeason,perCrop)'!$R:$R,"IRRIGATED")</f>
        <v>#DIV/0!</v>
      </c>
      <c r="CH72" s="7" t="e">
        <f>AVERAGEIFS('Data(perSeason,perCrop)'!$E:$E,'Data(perSeason,perCrop)'!$S:$S,Indicators!$B72,'Data(perSeason,perCrop)'!$O:$O,Indicators!CH$7,'Data(perSeason,perCrop)'!$C:$C,Indicators!CH$3,'Data(perSeason,perCrop)'!$R:$R,"IRRIGATED")</f>
        <v>#DIV/0!</v>
      </c>
      <c r="CI72" s="7" t="e">
        <f>AVERAGEIFS('Data(perSeason,perCrop)'!$E:$E,'Data(perSeason,perCrop)'!$S:$S,Indicators!$B72,'Data(perSeason,perCrop)'!$O:$O,Indicators!CI$7,'Data(perSeason,perCrop)'!$C:$C,Indicators!CI$3,'Data(perSeason,perCrop)'!$R:$R,"IRRIGATED")</f>
        <v>#DIV/0!</v>
      </c>
      <c r="CJ72" s="7" t="e">
        <f>AVERAGEIFS('Data(perSeason,perCrop)'!$E:$E,'Data(perSeason,perCrop)'!$S:$S,Indicators!$B72,'Data(perSeason,perCrop)'!$O:$O,Indicators!CJ$7,'Data(perSeason,perCrop)'!$C:$C,Indicators!CJ$3,'Data(perSeason,perCrop)'!$R:$R,"IRRIGATED")</f>
        <v>#DIV/0!</v>
      </c>
      <c r="CK72" s="7" t="e">
        <f>AVERAGEIFS('Data(perSeason,perCrop)'!$E:$E,'Data(perSeason,perCrop)'!$S:$S,Indicators!$B72,'Data(perSeason,perCrop)'!$O:$O,Indicators!CK$7,'Data(perSeason,perCrop)'!$C:$C,Indicators!CK$3,'Data(perSeason,perCrop)'!$R:$R,"IRRIGATED")</f>
        <v>#DIV/0!</v>
      </c>
      <c r="CL72" s="7" t="e">
        <f>AVERAGEIFS('Data(perSeason,perCrop)'!$E:$E,'Data(perSeason,perCrop)'!$S:$S,Indicators!$B72,'Data(perSeason,perCrop)'!$O:$O,Indicators!CL$7,'Data(perSeason,perCrop)'!$C:$C,Indicators!CL$3,'Data(perSeason,perCrop)'!$R:$R,"IRRIGATED")</f>
        <v>#DIV/0!</v>
      </c>
      <c r="CM72" s="7" t="e">
        <f>AVERAGEIFS('Data(perSeason,perCrop)'!$E:$E,'Data(perSeason,perCrop)'!$S:$S,Indicators!$B72,'Data(perSeason,perCrop)'!$O:$O,Indicators!CM$7,'Data(perSeason,perCrop)'!$C:$C,Indicators!CM$3,'Data(perSeason,perCrop)'!$R:$R,"IRRIGATED")</f>
        <v>#DIV/0!</v>
      </c>
      <c r="CN72" s="7" t="e">
        <f>AVERAGEIFS('Data(perSeason,perCrop)'!$E:$E,'Data(perSeason,perCrop)'!$S:$S,Indicators!$B72,'Data(perSeason,perCrop)'!$O:$O,Indicators!CN$7,'Data(perSeason,perCrop)'!$C:$C,Indicators!CN$3,'Data(perSeason,perCrop)'!$R:$R,"IRRIGATED")</f>
        <v>#DIV/0!</v>
      </c>
      <c r="CO72" s="7" t="e">
        <f>AVERAGEIFS('Data(perSeason,perCrop)'!$E:$E,'Data(perSeason,perCrop)'!$S:$S,Indicators!$B72,'Data(perSeason,perCrop)'!$O:$O,Indicators!CO$7,'Data(perSeason,perCrop)'!$C:$C,Indicators!CO$3,'Data(perSeason,perCrop)'!$R:$R,"IRRIGATED")</f>
        <v>#DIV/0!</v>
      </c>
      <c r="CP72" s="7">
        <f>AVERAGEIFS('Data(perSeason,perCrop)'!$E:$E,'Data(perSeason,perCrop)'!$S:$S,Indicators!$B72,'Data(perSeason,perCrop)'!$O:$O,Indicators!CP$7,'Data(perSeason,perCrop)'!$C:$C,Indicators!CP$3,'Data(perSeason,perCrop)'!$R:$R,"IRRIGATED")</f>
        <v>450</v>
      </c>
      <c r="CQ72" s="7">
        <f>AVERAGEIFS('Data(perSeason,perCrop)'!$E:$E,'Data(perSeason,perCrop)'!$S:$S,Indicators!$B72,'Data(perSeason,perCrop)'!$O:$O,Indicators!CQ$7,'Data(perSeason,perCrop)'!$C:$C,Indicators!CQ$3,'Data(perSeason,perCrop)'!$R:$R,"IRRIGATED")</f>
        <v>284</v>
      </c>
      <c r="CR72" s="7" t="e">
        <f>AVERAGEIFS('Data(perSeason,perCrop)'!$E:$E,'Data(perSeason,perCrop)'!$S:$S,Indicators!$B72,'Data(perSeason,perCrop)'!$O:$O,Indicators!CR$7,'Data(perSeason,perCrop)'!$C:$C,Indicators!CR$3,'Data(perSeason,perCrop)'!$R:$R,"IRRIGATED")</f>
        <v>#DIV/0!</v>
      </c>
      <c r="CS72" s="7">
        <f>AVERAGEIFS('Data(perSeason,perCrop)'!$E:$E,'Data(perSeason,perCrop)'!$S:$S,Indicators!$B72,'Data(perSeason,perCrop)'!$O:$O,Indicators!CS$7,'Data(perSeason,perCrop)'!$C:$C,Indicators!CS$3,'Data(perSeason,perCrop)'!$R:$R,"IRRIGATED")</f>
        <v>318</v>
      </c>
      <c r="CT72" s="7" t="e">
        <f>AVERAGEIFS('Data(perSeason,perCrop)'!$E:$E,'Data(perSeason,perCrop)'!$S:$S,Indicators!$B72,'Data(perSeason,perCrop)'!$O:$O,Indicators!CT$7,'Data(perSeason,perCrop)'!$C:$C,Indicators!CT$3,'Data(perSeason,perCrop)'!$R:$R,"IRRIGATED")</f>
        <v>#DIV/0!</v>
      </c>
      <c r="CU72" s="7" t="e">
        <f>AVERAGEIFS('Data(perSeason,perCrop)'!$E:$E,'Data(perSeason,perCrop)'!$S:$S,Indicators!$B72,'Data(perSeason,perCrop)'!$O:$O,Indicators!CU$7,'Data(perSeason,perCrop)'!$C:$C,Indicators!CU$3,'Data(perSeason,perCrop)'!$R:$R,"IRRIGATED")</f>
        <v>#DIV/0!</v>
      </c>
      <c r="CV72" s="7">
        <f>AVERAGEIFS('Data(perSeason,perCrop)'!$E:$E,'Data(perSeason,perCrop)'!$S:$S,Indicators!$B72,'Data(perSeason,perCrop)'!$O:$O,Indicators!CV$7,'Data(perSeason,perCrop)'!$C:$C,Indicators!CV$3,'Data(perSeason,perCrop)'!$R:$R,"IRRIGATED")</f>
        <v>393</v>
      </c>
      <c r="CW72" s="7" t="e">
        <f>AVERAGEIFS('Data(perSeason,perCrop)'!$E:$E,'Data(perSeason,perCrop)'!$S:$S,Indicators!$B72,'Data(perSeason,perCrop)'!$O:$O,Indicators!CW$7,'Data(perSeason,perCrop)'!$C:$C,Indicators!CW$3,'Data(perSeason,perCrop)'!$R:$R,"IRRIGATED")</f>
        <v>#DIV/0!</v>
      </c>
      <c r="CX72" s="7" t="e">
        <f>AVERAGEIFS('Data(perSeason,perCrop)'!$E:$E,'Data(perSeason,perCrop)'!$S:$S,Indicators!$B72,'Data(perSeason,perCrop)'!$O:$O,Indicators!CX$7,'Data(perSeason,perCrop)'!$C:$C,Indicators!CX$3,'Data(perSeason,perCrop)'!$R:$R,"IRRIGATED")</f>
        <v>#DIV/0!</v>
      </c>
      <c r="CY72" s="7" t="e">
        <f>AVERAGEIFS('Data(perSeason,perCrop)'!$E:$E,'Data(perSeason,perCrop)'!$S:$S,Indicators!$B72,'Data(perSeason,perCrop)'!$O:$O,Indicators!CY$7,'Data(perSeason,perCrop)'!$C:$C,Indicators!CY$3,'Data(perSeason,perCrop)'!$R:$R,"IRRIGATED")</f>
        <v>#DIV/0!</v>
      </c>
      <c r="CZ72" s="7" t="e">
        <f>AVERAGEIFS('Data(perSeason,perCrop)'!$E:$E,'Data(perSeason,perCrop)'!$S:$S,Indicators!$B72,'Data(perSeason,perCrop)'!$O:$O,Indicators!CZ$7,'Data(perSeason,perCrop)'!$C:$C,Indicators!CZ$3,'Data(perSeason,perCrop)'!$R:$R,"IRRIGATED")</f>
        <v>#DIV/0!</v>
      </c>
      <c r="DA72" s="7" t="e">
        <f>AVERAGEIFS('Data(perSeason,perCrop)'!$E:$E,'Data(perSeason,perCrop)'!$S:$S,Indicators!$B72,'Data(perSeason,perCrop)'!$O:$O,Indicators!DA$7,'Data(perSeason,perCrop)'!$C:$C,Indicators!DA$3,'Data(perSeason,perCrop)'!$R:$R,"IRRIGATED")</f>
        <v>#DIV/0!</v>
      </c>
      <c r="DB72" s="7" t="e">
        <f>AVERAGEIFS('Data(perSeason,perCrop)'!$E:$E,'Data(perSeason,perCrop)'!$S:$S,Indicators!$B72,'Data(perSeason,perCrop)'!$O:$O,Indicators!DB$7,'Data(perSeason,perCrop)'!$C:$C,Indicators!DB$3,'Data(perSeason,perCrop)'!$R:$R,"IRRIGATED")</f>
        <v>#DIV/0!</v>
      </c>
      <c r="DC72" s="7" t="e">
        <f>AVERAGEIFS('Data(perSeason,perCrop)'!$E:$E,'Data(perSeason,perCrop)'!$S:$S,Indicators!$B72,'Data(perSeason,perCrop)'!$O:$O,Indicators!DC$7,'Data(perSeason,perCrop)'!$C:$C,Indicators!DC$3,'Data(perSeason,perCrop)'!$R:$R,"IRRIGATED")</f>
        <v>#DIV/0!</v>
      </c>
      <c r="DD72" s="7" t="e">
        <f>AVERAGEIFS('Data(perSeason,perCrop)'!$E:$E,'Data(perSeason,perCrop)'!$S:$S,Indicators!$B72,'Data(perSeason,perCrop)'!$O:$O,Indicators!DD$7,'Data(perSeason,perCrop)'!$C:$C,Indicators!DD$3,'Data(perSeason,perCrop)'!$R:$R,"IRRIGATED")</f>
        <v>#DIV/0!</v>
      </c>
      <c r="DE72" s="7" t="e">
        <f>AVERAGEIFS('Data(perSeason,perCrop)'!$E:$E,'Data(perSeason,perCrop)'!$S:$S,Indicators!$B72,'Data(perSeason,perCrop)'!$O:$O,Indicators!DE$7,'Data(perSeason,perCrop)'!$C:$C,Indicators!DE$3,'Data(perSeason,perCrop)'!$R:$R,"IRRIGATED")</f>
        <v>#DIV/0!</v>
      </c>
      <c r="DF72" s="7" t="e">
        <f>AVERAGEIFS('Data(perSeason,perCrop)'!$E:$E,'Data(perSeason,perCrop)'!$S:$S,Indicators!$B72,'Data(perSeason,perCrop)'!$O:$O,Indicators!DF$7,'Data(perSeason,perCrop)'!$C:$C,Indicators!DF$3,'Data(perSeason,perCrop)'!$R:$R,"IRRIGATED")</f>
        <v>#DIV/0!</v>
      </c>
      <c r="DG72" s="7" t="e">
        <f>AVERAGEIFS('Data(perSeason,perCrop)'!$E:$E,'Data(perSeason,perCrop)'!$S:$S,Indicators!$B72,'Data(perSeason,perCrop)'!$O:$O,Indicators!DG$7,'Data(perSeason,perCrop)'!$C:$C,Indicators!DG$3,'Data(perSeason,perCrop)'!$R:$R,"IRRIGATED")</f>
        <v>#DIV/0!</v>
      </c>
    </row>
    <row r="73" spans="1:111" ht="18.75" x14ac:dyDescent="0.3">
      <c r="B73" s="5" t="s">
        <v>66</v>
      </c>
      <c r="C73" s="11">
        <f t="shared" ref="C73:E73" si="40">AVERAGE(C68:C72)</f>
        <v>0.16114461490249521</v>
      </c>
      <c r="D73" s="11">
        <f t="shared" si="40"/>
        <v>4.2476905215442055E-2</v>
      </c>
      <c r="E73" s="11">
        <f t="shared" si="40"/>
        <v>0.12016232005766044</v>
      </c>
      <c r="F73" s="11">
        <f>AVERAGE(F68:F72)</f>
        <v>0.10352414477276457</v>
      </c>
      <c r="G73" s="11"/>
      <c r="H73" s="11"/>
      <c r="I73" s="5"/>
      <c r="J73" s="2" t="s">
        <v>27</v>
      </c>
      <c r="K73" s="9" t="e">
        <f t="shared" ref="K73:AW73" si="41">AVERAGE(K68:K72)</f>
        <v>#DIV/0!</v>
      </c>
      <c r="L73" s="9" t="e">
        <f t="shared" si="41"/>
        <v>#DIV/0!</v>
      </c>
      <c r="M73" s="9" t="e">
        <f t="shared" si="41"/>
        <v>#DIV/0!</v>
      </c>
      <c r="N73" s="9">
        <f t="shared" si="41"/>
        <v>990.6</v>
      </c>
      <c r="O73" s="9">
        <f t="shared" si="41"/>
        <v>455.2</v>
      </c>
      <c r="P73" s="9" t="e">
        <f t="shared" si="41"/>
        <v>#DIV/0!</v>
      </c>
      <c r="Q73" s="9">
        <f t="shared" si="41"/>
        <v>869</v>
      </c>
      <c r="R73" s="9" t="e">
        <f t="shared" si="41"/>
        <v>#DIV/0!</v>
      </c>
      <c r="S73" s="63" t="e">
        <f t="shared" si="41"/>
        <v>#DIV/0!</v>
      </c>
      <c r="T73" s="63">
        <f t="shared" si="41"/>
        <v>256</v>
      </c>
      <c r="U73" s="63" t="e">
        <f t="shared" ref="U73:AF73" si="42">AVERAGE(U68:U72)</f>
        <v>#DIV/0!</v>
      </c>
      <c r="V73" s="63" t="e">
        <f t="shared" si="42"/>
        <v>#DIV/0!</v>
      </c>
      <c r="W73" s="63" t="e">
        <f t="shared" si="42"/>
        <v>#DIV/0!</v>
      </c>
      <c r="X73" s="63" t="e">
        <f t="shared" si="42"/>
        <v>#DIV/0!</v>
      </c>
      <c r="Y73" s="63" t="e">
        <f t="shared" si="42"/>
        <v>#DIV/0!</v>
      </c>
      <c r="Z73" s="63" t="e">
        <f t="shared" si="42"/>
        <v>#DIV/0!</v>
      </c>
      <c r="AA73" s="63" t="e">
        <f t="shared" si="42"/>
        <v>#DIV/0!</v>
      </c>
      <c r="AB73" s="63" t="e">
        <f t="shared" si="42"/>
        <v>#DIV/0!</v>
      </c>
      <c r="AC73" s="63" t="e">
        <f t="shared" si="42"/>
        <v>#DIV/0!</v>
      </c>
      <c r="AD73" s="63" t="e">
        <f t="shared" si="42"/>
        <v>#DIV/0!</v>
      </c>
      <c r="AE73" s="63" t="e">
        <f t="shared" si="42"/>
        <v>#DIV/0!</v>
      </c>
      <c r="AF73" s="63">
        <f t="shared" si="42"/>
        <v>330.8</v>
      </c>
      <c r="AG73" s="63">
        <f t="shared" si="41"/>
        <v>271.2</v>
      </c>
      <c r="AH73" s="63" t="e">
        <f t="shared" si="41"/>
        <v>#DIV/0!</v>
      </c>
      <c r="AI73" s="63">
        <f t="shared" si="41"/>
        <v>265.60000000000002</v>
      </c>
      <c r="AJ73" s="63" t="e">
        <f t="shared" si="41"/>
        <v>#DIV/0!</v>
      </c>
      <c r="AK73" s="63" t="e">
        <f t="shared" si="41"/>
        <v>#DIV/0!</v>
      </c>
      <c r="AL73" s="63">
        <f t="shared" si="41"/>
        <v>279.8</v>
      </c>
      <c r="AM73" s="63" t="e">
        <f t="shared" si="41"/>
        <v>#DIV/0!</v>
      </c>
      <c r="AN73" s="63" t="e">
        <f t="shared" si="41"/>
        <v>#DIV/0!</v>
      </c>
      <c r="AO73" s="63" t="e">
        <f t="shared" si="41"/>
        <v>#DIV/0!</v>
      </c>
      <c r="AP73" s="63" t="e">
        <f t="shared" si="41"/>
        <v>#DIV/0!</v>
      </c>
      <c r="AQ73" s="63" t="e">
        <f t="shared" si="41"/>
        <v>#DIV/0!</v>
      </c>
      <c r="AR73" s="63" t="e">
        <f t="shared" si="41"/>
        <v>#DIV/0!</v>
      </c>
      <c r="AS73" s="63" t="e">
        <f t="shared" si="41"/>
        <v>#DIV/0!</v>
      </c>
      <c r="AT73" s="63" t="e">
        <f t="shared" si="41"/>
        <v>#DIV/0!</v>
      </c>
      <c r="AU73" s="63" t="e">
        <f t="shared" si="41"/>
        <v>#DIV/0!</v>
      </c>
      <c r="AV73" s="63" t="e">
        <f t="shared" si="41"/>
        <v>#DIV/0!</v>
      </c>
      <c r="AW73" s="63" t="e">
        <f t="shared" si="41"/>
        <v>#DIV/0!</v>
      </c>
      <c r="AX73" s="83" t="str">
        <f>IFERROR(AVERAGE(AX68:AX72),"")</f>
        <v/>
      </c>
      <c r="AY73" s="83">
        <f t="shared" ref="AY73:CB73" si="43">IFERROR(AVERAGE(AY68:AY72),"")</f>
        <v>222.2</v>
      </c>
      <c r="AZ73" s="83" t="str">
        <f t="shared" si="43"/>
        <v/>
      </c>
      <c r="BA73" s="83" t="str">
        <f t="shared" si="43"/>
        <v/>
      </c>
      <c r="BB73" s="83" t="str">
        <f t="shared" si="43"/>
        <v/>
      </c>
      <c r="BC73" s="83" t="str">
        <f t="shared" si="43"/>
        <v/>
      </c>
      <c r="BD73" s="83" t="str">
        <f t="shared" si="43"/>
        <v/>
      </c>
      <c r="BE73" s="83" t="str">
        <f t="shared" si="43"/>
        <v/>
      </c>
      <c r="BF73" s="83" t="str">
        <f t="shared" si="43"/>
        <v/>
      </c>
      <c r="BG73" s="83" t="str">
        <f t="shared" si="43"/>
        <v/>
      </c>
      <c r="BH73" s="83" t="str">
        <f t="shared" si="43"/>
        <v/>
      </c>
      <c r="BI73" s="83" t="str">
        <f t="shared" si="43"/>
        <v/>
      </c>
      <c r="BJ73" s="83" t="str">
        <f t="shared" si="43"/>
        <v/>
      </c>
      <c r="BK73" s="83" t="str">
        <f t="shared" si="43"/>
        <v/>
      </c>
      <c r="BL73" s="83">
        <f t="shared" si="43"/>
        <v>238.4</v>
      </c>
      <c r="BM73" s="83" t="str">
        <f t="shared" si="43"/>
        <v/>
      </c>
      <c r="BN73" s="83">
        <f t="shared" si="43"/>
        <v>233</v>
      </c>
      <c r="BO73" s="83" t="str">
        <f t="shared" si="43"/>
        <v/>
      </c>
      <c r="BP73" s="83" t="str">
        <f t="shared" si="43"/>
        <v/>
      </c>
      <c r="BQ73" s="83">
        <f t="shared" si="43"/>
        <v>274</v>
      </c>
      <c r="BR73" s="83" t="str">
        <f t="shared" si="43"/>
        <v/>
      </c>
      <c r="BS73" s="83" t="str">
        <f t="shared" si="43"/>
        <v/>
      </c>
      <c r="BT73" s="83" t="str">
        <f t="shared" si="43"/>
        <v/>
      </c>
      <c r="BU73" s="83" t="str">
        <f t="shared" si="43"/>
        <v/>
      </c>
      <c r="BV73" s="83" t="str">
        <f t="shared" si="43"/>
        <v/>
      </c>
      <c r="BW73" s="83" t="str">
        <f t="shared" si="43"/>
        <v/>
      </c>
      <c r="BX73" s="83" t="str">
        <f t="shared" si="43"/>
        <v/>
      </c>
      <c r="BY73" s="83" t="str">
        <f t="shared" si="43"/>
        <v/>
      </c>
      <c r="BZ73" s="83" t="str">
        <f t="shared" si="43"/>
        <v/>
      </c>
      <c r="CA73" s="83" t="str">
        <f t="shared" si="43"/>
        <v/>
      </c>
      <c r="CB73" s="83" t="str">
        <f t="shared" si="43"/>
        <v/>
      </c>
      <c r="CC73" s="9" t="e">
        <f t="shared" ref="CC73:CO73" si="44">AVERAGE(CC68:CC72)</f>
        <v>#DIV/0!</v>
      </c>
      <c r="CD73" s="9" t="e">
        <f t="shared" si="44"/>
        <v>#DIV/0!</v>
      </c>
      <c r="CE73" s="9" t="e">
        <f t="shared" si="44"/>
        <v>#DIV/0!</v>
      </c>
      <c r="CF73" s="9" t="e">
        <f t="shared" si="44"/>
        <v>#DIV/0!</v>
      </c>
      <c r="CG73" s="9" t="e">
        <f t="shared" si="44"/>
        <v>#DIV/0!</v>
      </c>
      <c r="CH73" s="9" t="e">
        <f t="shared" si="44"/>
        <v>#DIV/0!</v>
      </c>
      <c r="CI73" s="9" t="e">
        <f t="shared" si="44"/>
        <v>#DIV/0!</v>
      </c>
      <c r="CJ73" s="9" t="e">
        <f t="shared" si="44"/>
        <v>#DIV/0!</v>
      </c>
      <c r="CK73" s="9" t="e">
        <f t="shared" si="44"/>
        <v>#DIV/0!</v>
      </c>
      <c r="CL73" s="9" t="e">
        <f t="shared" si="44"/>
        <v>#DIV/0!</v>
      </c>
      <c r="CM73" s="9" t="e">
        <f t="shared" si="44"/>
        <v>#DIV/0!</v>
      </c>
      <c r="CN73" s="9" t="e">
        <f t="shared" si="44"/>
        <v>#DIV/0!</v>
      </c>
      <c r="CO73" s="9" t="e">
        <f t="shared" si="44"/>
        <v>#DIV/0!</v>
      </c>
      <c r="CP73" s="9">
        <f t="shared" ref="CP73:DG73" si="45">AVERAGE(CP68:CP72)</f>
        <v>465.4</v>
      </c>
      <c r="CQ73" s="9">
        <f t="shared" si="45"/>
        <v>297</v>
      </c>
      <c r="CR73" s="9" t="e">
        <f t="shared" si="45"/>
        <v>#DIV/0!</v>
      </c>
      <c r="CS73" s="9">
        <f t="shared" si="45"/>
        <v>327.60000000000002</v>
      </c>
      <c r="CT73" s="9" t="e">
        <f t="shared" si="45"/>
        <v>#DIV/0!</v>
      </c>
      <c r="CU73" s="9" t="e">
        <f t="shared" si="45"/>
        <v>#DIV/0!</v>
      </c>
      <c r="CV73" s="9">
        <f t="shared" si="45"/>
        <v>416.6</v>
      </c>
      <c r="CW73" s="9" t="e">
        <f t="shared" si="45"/>
        <v>#DIV/0!</v>
      </c>
      <c r="CX73" s="9" t="e">
        <f t="shared" si="45"/>
        <v>#DIV/0!</v>
      </c>
      <c r="CY73" s="9" t="e">
        <f t="shared" si="45"/>
        <v>#DIV/0!</v>
      </c>
      <c r="CZ73" s="9" t="e">
        <f t="shared" si="45"/>
        <v>#DIV/0!</v>
      </c>
      <c r="DA73" s="9" t="e">
        <f t="shared" si="45"/>
        <v>#DIV/0!</v>
      </c>
      <c r="DB73" s="9" t="e">
        <f t="shared" si="45"/>
        <v>#DIV/0!</v>
      </c>
      <c r="DC73" s="9" t="e">
        <f t="shared" si="45"/>
        <v>#DIV/0!</v>
      </c>
      <c r="DD73" s="9" t="e">
        <f t="shared" si="45"/>
        <v>#DIV/0!</v>
      </c>
      <c r="DE73" s="9" t="e">
        <f t="shared" si="45"/>
        <v>#DIV/0!</v>
      </c>
      <c r="DF73" s="9" t="e">
        <f t="shared" si="45"/>
        <v>#DIV/0!</v>
      </c>
      <c r="DG73" s="9" t="e">
        <f t="shared" si="45"/>
        <v>#DIV/0!</v>
      </c>
    </row>
    <row r="74" spans="1:111" ht="18.75" x14ac:dyDescent="0.3">
      <c r="A74" s="12" t="s">
        <v>2</v>
      </c>
      <c r="B74">
        <v>2018</v>
      </c>
      <c r="C74" s="8">
        <f>IF(COUNTIFS('Data(perSeason,perCrop)'!$S:$S,Indicators!$B68)&gt;0,AVERAGEIFS('Data(perSeason,perCrop)'!$I:$I,'Data(perSeason,perCrop)'!$S:$S,Indicators!$B74,'Data(perSeason,perCrop)'!$O:$O,Indicators!C$7,'Data(perSeason,perCrop)'!$R:$R,"IRRIGATED"),"")</f>
        <v>0.52725009227184905</v>
      </c>
      <c r="D74" s="8">
        <f>IF(COUNTIFS('Data(perSeason,perCrop)'!$S:$S,Indicators!$B68)&gt;0,AVERAGEIFS('Data(perSeason,perCrop)'!$I:$I,'Data(perSeason,perCrop)'!$S:$S,Indicators!$B74,'Data(perSeason,perCrop)'!$O:$O,Indicators!D$7,'Data(perSeason,perCrop)'!$R:$R,"IRRIGATED"),"")</f>
        <v>0.38562955986719799</v>
      </c>
      <c r="E74" s="8">
        <f>IF(COUNTIFS('Data(perSeason,perCrop)'!$S:$S,Indicators!$B68)&gt;0,AVERAGEIFS('Data(perSeason,perCrop)'!$I:$I,'Data(perSeason,perCrop)'!$S:$S,Indicators!$B74,'Data(perSeason,perCrop)'!$O:$O,Indicators!E$7,'Data(perSeason,perCrop)'!$R:$R,"IRRIGATED"),"")</f>
        <v>0.33488716120267398</v>
      </c>
      <c r="F74" s="8">
        <f>IF(COUNTIFS('Data(perSeason,perCrop)'!$S:$S,Indicators!$B68)&gt;0,AVERAGEIFS('Data(perSeason,perCrop)'!$I:$I,'Data(perSeason,perCrop)'!$S:$S,Indicators!$B74,'Data(perSeason,perCrop)'!$O:$O,Indicators!F$7,'Data(perSeason,perCrop)'!$R:$R,"IRRIGATED"),"")</f>
        <v>0.75002358981967299</v>
      </c>
      <c r="J74" s="2" t="s">
        <v>36</v>
      </c>
      <c r="K74" s="7">
        <f>AVERAGEIFS('Data(perSeason,perCrop)'!$P:$P,'Data(perSeason,perCrop)'!$S:$S,Indicators!$B80,'Data(perSeason,perCrop)'!$O:$O,Indicators!K$7,'Data(perSeason,perCrop)'!$C:$C,Indicators!K$3,'Data(perSeason,perCrop)'!$R:$R,"IRRIGATED")</f>
        <v>15645</v>
      </c>
      <c r="L74" s="7" t="e">
        <f>AVERAGEIFS('Data(perSeason,perCrop)'!$P:$P,'Data(perSeason,perCrop)'!$S:$S,Indicators!$B80,'Data(perSeason,perCrop)'!$O:$O,Indicators!L$7,'Data(perSeason,perCrop)'!$C:$C,Indicators!L$3,'Data(perSeason,perCrop)'!$R:$R,"IRRIGATED")</f>
        <v>#DIV/0!</v>
      </c>
      <c r="M74" s="7" t="e">
        <f>AVERAGEIFS('Data(perSeason,perCrop)'!$P:$P,'Data(perSeason,perCrop)'!$S:$S,Indicators!$B80,'Data(perSeason,perCrop)'!$O:$O,Indicators!M$7,'Data(perSeason,perCrop)'!$C:$C,Indicators!M$3,'Data(perSeason,perCrop)'!$R:$R,"IRRIGATED")</f>
        <v>#DIV/0!</v>
      </c>
      <c r="N74" s="7">
        <f>AVERAGEIFS('Data(perSeason,perCrop)'!$P:$P,'Data(perSeason,perCrop)'!$S:$S,Indicators!$B80,'Data(perSeason,perCrop)'!$O:$O,Indicators!N$7,'Data(perSeason,perCrop)'!$C:$C,Indicators!N$3,'Data(perSeason,perCrop)'!$R:$R,"IRRIGATED")</f>
        <v>19377</v>
      </c>
      <c r="O74" s="7">
        <f>AVERAGEIFS('Data(perSeason,perCrop)'!$P:$P,'Data(perSeason,perCrop)'!$S:$S,Indicators!$B80,'Data(perSeason,perCrop)'!$O:$O,Indicators!O$7,'Data(perSeason,perCrop)'!$C:$C,Indicators!O$3,'Data(perSeason,perCrop)'!$R:$R,"IRRIGATED")</f>
        <v>11892</v>
      </c>
      <c r="P74" s="7" t="e">
        <f>AVERAGEIFS('Data(perSeason,perCrop)'!$P:$P,'Data(perSeason,perCrop)'!$S:$S,Indicators!$B80,'Data(perSeason,perCrop)'!$O:$O,Indicators!P$7,'Data(perSeason,perCrop)'!$C:$C,Indicators!P$3,'Data(perSeason,perCrop)'!$R:$R,"IRRIGATED")</f>
        <v>#DIV/0!</v>
      </c>
      <c r="Q74" s="7">
        <f>AVERAGEIFS('Data(perSeason,perCrop)'!$P:$P,'Data(perSeason,perCrop)'!$S:$S,Indicators!$B80,'Data(perSeason,perCrop)'!$O:$O,Indicators!Q$7,'Data(perSeason,perCrop)'!$C:$C,Indicators!Q$3,'Data(perSeason,perCrop)'!$R:$R,"IRRIGATED")</f>
        <v>14847</v>
      </c>
      <c r="R74" s="7" t="e">
        <f>AVERAGEIFS('Data(perSeason,perCrop)'!$P:$P,'Data(perSeason,perCrop)'!$S:$S,Indicators!$B80,'Data(perSeason,perCrop)'!$O:$O,Indicators!R$7,'Data(perSeason,perCrop)'!$C:$C,Indicators!R$3,'Data(perSeason,perCrop)'!$R:$R,"IRRIGATED")</f>
        <v>#DIV/0!</v>
      </c>
      <c r="S74" s="62" t="e">
        <f>AVERAGEIFS('Data(perSeason,perCrop)'!$P:$P,'Data(perSeason,perCrop)'!$S:$S,Indicators!$B80,'Data(perSeason,perCrop)'!$O:$O,Indicators!S$7,'Data(perSeason,perCrop)'!$C:$C,Indicators!S$3,'Data(perSeason,perCrop)'!$R:$R,"IRRIGATED")</f>
        <v>#DIV/0!</v>
      </c>
      <c r="T74" s="62">
        <f>AVERAGEIFS('Data(perSeason,perCrop)'!$P:$P,'Data(perSeason,perCrop)'!$S:$S,Indicators!$B80,'Data(perSeason,perCrop)'!$O:$O,Indicators!T$7,'Data(perSeason,perCrop)'!$C:$C,Indicators!T$3,'Data(perSeason,perCrop)'!$R:$R,"IRRIGATED")</f>
        <v>6299</v>
      </c>
      <c r="U74" s="62" t="e">
        <f>AVERAGEIFS('Data(perSeason,perCrop)'!$P:$P,'Data(perSeason,perCrop)'!$S:$S,Indicators!$B80,'Data(perSeason,perCrop)'!$O:$O,Indicators!U$7,'Data(perSeason,perCrop)'!$C:$C,Indicators!U$3,'Data(perSeason,perCrop)'!$R:$R,"IRRIGATED")</f>
        <v>#DIV/0!</v>
      </c>
      <c r="V74" s="62" t="e">
        <f>AVERAGEIFS('Data(perSeason,perCrop)'!$P:$P,'Data(perSeason,perCrop)'!$S:$S,Indicators!$B80,'Data(perSeason,perCrop)'!$O:$O,Indicators!V$7,'Data(perSeason,perCrop)'!$C:$C,Indicators!V$3,'Data(perSeason,perCrop)'!$R:$R,"IRRIGATED")</f>
        <v>#DIV/0!</v>
      </c>
      <c r="W74" s="62" t="e">
        <f>AVERAGEIFS('Data(perSeason,perCrop)'!$P:$P,'Data(perSeason,perCrop)'!$S:$S,Indicators!$B80,'Data(perSeason,perCrop)'!$O:$O,Indicators!W$7,'Data(perSeason,perCrop)'!$C:$C,Indicators!W$3,'Data(perSeason,perCrop)'!$R:$R,"IRRIGATED")</f>
        <v>#DIV/0!</v>
      </c>
      <c r="X74" s="62" t="e">
        <f>AVERAGEIFS('Data(perSeason,perCrop)'!$P:$P,'Data(perSeason,perCrop)'!$S:$S,Indicators!$B80,'Data(perSeason,perCrop)'!$O:$O,Indicators!X$7,'Data(perSeason,perCrop)'!$C:$C,Indicators!X$3,'Data(perSeason,perCrop)'!$R:$R,"IRRIGATED")</f>
        <v>#DIV/0!</v>
      </c>
      <c r="Y74" s="62" t="e">
        <f>AVERAGEIFS('Data(perSeason,perCrop)'!$P:$P,'Data(perSeason,perCrop)'!$S:$S,Indicators!$B80,'Data(perSeason,perCrop)'!$O:$O,Indicators!Y$7,'Data(perSeason,perCrop)'!$C:$C,Indicators!Y$3,'Data(perSeason,perCrop)'!$R:$R,"IRRIGATED")</f>
        <v>#DIV/0!</v>
      </c>
      <c r="Z74" s="62" t="e">
        <f>AVERAGEIFS('Data(perSeason,perCrop)'!$P:$P,'Data(perSeason,perCrop)'!$S:$S,Indicators!$B80,'Data(perSeason,perCrop)'!$O:$O,Indicators!Z$7,'Data(perSeason,perCrop)'!$C:$C,Indicators!Z$3,'Data(perSeason,perCrop)'!$R:$R,"IRRIGATED")</f>
        <v>#DIV/0!</v>
      </c>
      <c r="AA74" s="62" t="e">
        <f>AVERAGEIFS('Data(perSeason,perCrop)'!$P:$P,'Data(perSeason,perCrop)'!$S:$S,Indicators!$B80,'Data(perSeason,perCrop)'!$O:$O,Indicators!AA$7,'Data(perSeason,perCrop)'!$C:$C,Indicators!AA$3,'Data(perSeason,perCrop)'!$R:$R,"IRRIGATED")</f>
        <v>#DIV/0!</v>
      </c>
      <c r="AB74" s="62" t="e">
        <f>AVERAGEIFS('Data(perSeason,perCrop)'!$P:$P,'Data(perSeason,perCrop)'!$S:$S,Indicators!$B80,'Data(perSeason,perCrop)'!$O:$O,Indicators!AB$7,'Data(perSeason,perCrop)'!$C:$C,Indicators!AB$3,'Data(perSeason,perCrop)'!$R:$R,"IRRIGATED")</f>
        <v>#DIV/0!</v>
      </c>
      <c r="AC74" s="62" t="e">
        <f>AVERAGEIFS('Data(perSeason,perCrop)'!$P:$P,'Data(perSeason,perCrop)'!$S:$S,Indicators!$B80,'Data(perSeason,perCrop)'!$O:$O,Indicators!AC$7,'Data(perSeason,perCrop)'!$C:$C,Indicators!AC$3,'Data(perSeason,perCrop)'!$R:$R,"IRRIGATED")</f>
        <v>#DIV/0!</v>
      </c>
      <c r="AD74" s="62" t="e">
        <f>AVERAGEIFS('Data(perSeason,perCrop)'!$P:$P,'Data(perSeason,perCrop)'!$S:$S,Indicators!$B80,'Data(perSeason,perCrop)'!$O:$O,Indicators!AD$7,'Data(perSeason,perCrop)'!$C:$C,Indicators!AD$3,'Data(perSeason,perCrop)'!$R:$R,"IRRIGATED")</f>
        <v>#DIV/0!</v>
      </c>
      <c r="AE74" s="62" t="e">
        <f>AVERAGEIFS('Data(perSeason,perCrop)'!$P:$P,'Data(perSeason,perCrop)'!$S:$S,Indicators!$B80,'Data(perSeason,perCrop)'!$O:$O,Indicators!AE$7,'Data(perSeason,perCrop)'!$C:$C,Indicators!AE$3,'Data(perSeason,perCrop)'!$R:$R,"IRRIGATED")</f>
        <v>#DIV/0!</v>
      </c>
      <c r="AF74" s="62">
        <f>AVERAGEIFS('Data(perSeason,perCrop)'!$P:$P,'Data(perSeason,perCrop)'!$S:$S,Indicators!$B80,'Data(perSeason,perCrop)'!$O:$O,Indicators!AF$7,'Data(perSeason,perCrop)'!$C:$C,Indicators!AF$3,'Data(perSeason,perCrop)'!$R:$R,"IRRIGATED")</f>
        <v>6652</v>
      </c>
      <c r="AG74" s="62">
        <f>AVERAGEIFS('Data(perSeason,perCrop)'!$P:$P,'Data(perSeason,perCrop)'!$S:$S,Indicators!$B80,'Data(perSeason,perCrop)'!$O:$O,Indicators!AG$7,'Data(perSeason,perCrop)'!$C:$C,Indicators!AG$3,'Data(perSeason,perCrop)'!$R:$R,"IRRIGATED")</f>
        <v>6208</v>
      </c>
      <c r="AH74" s="62" t="e">
        <f>AVERAGEIFS('Data(perSeason,perCrop)'!$P:$P,'Data(perSeason,perCrop)'!$S:$S,Indicators!$B80,'Data(perSeason,perCrop)'!$O:$O,Indicators!AH$7,'Data(perSeason,perCrop)'!$C:$C,Indicators!AH$3,'Data(perSeason,perCrop)'!$R:$R,"IRRIGATED")</f>
        <v>#DIV/0!</v>
      </c>
      <c r="AI74" s="62">
        <f>AVERAGEIFS('Data(perSeason,perCrop)'!$P:$P,'Data(perSeason,perCrop)'!$S:$S,Indicators!$B80,'Data(perSeason,perCrop)'!$O:$O,Indicators!AI$7,'Data(perSeason,perCrop)'!$C:$C,Indicators!AI$3,'Data(perSeason,perCrop)'!$R:$R,"IRRIGATED")</f>
        <v>6243</v>
      </c>
      <c r="AJ74" s="62" t="e">
        <f>AVERAGEIFS('Data(perSeason,perCrop)'!$P:$P,'Data(perSeason,perCrop)'!$S:$S,Indicators!$B80,'Data(perSeason,perCrop)'!$O:$O,Indicators!AJ$7,'Data(perSeason,perCrop)'!$C:$C,Indicators!AJ$3,'Data(perSeason,perCrop)'!$R:$R,"IRRIGATED")</f>
        <v>#DIV/0!</v>
      </c>
      <c r="AK74" s="62" t="e">
        <f>AVERAGEIFS('Data(perSeason,perCrop)'!$P:$P,'Data(perSeason,perCrop)'!$S:$S,Indicators!$B80,'Data(perSeason,perCrop)'!$O:$O,Indicators!AK$7,'Data(perSeason,perCrop)'!$C:$C,Indicators!AK$3,'Data(perSeason,perCrop)'!$R:$R,"IRRIGATED")</f>
        <v>#DIV/0!</v>
      </c>
      <c r="AL74" s="62">
        <f>AVERAGEIFS('Data(perSeason,perCrop)'!$P:$P,'Data(perSeason,perCrop)'!$S:$S,Indicators!$B80,'Data(perSeason,perCrop)'!$O:$O,Indicators!AL$7,'Data(perSeason,perCrop)'!$C:$C,Indicators!AL$3,'Data(perSeason,perCrop)'!$R:$R,"IRRIGATED")</f>
        <v>6380</v>
      </c>
      <c r="AM74" s="62" t="e">
        <f>AVERAGEIFS('Data(perSeason,perCrop)'!$P:$P,'Data(perSeason,perCrop)'!$S:$S,Indicators!$B80,'Data(perSeason,perCrop)'!$O:$O,Indicators!AM$7,'Data(perSeason,perCrop)'!$C:$C,Indicators!AM$3,'Data(perSeason,perCrop)'!$R:$R,"IRRIGATED")</f>
        <v>#DIV/0!</v>
      </c>
      <c r="AN74" s="62" t="e">
        <f>AVERAGEIFS('Data(perSeason,perCrop)'!$P:$P,'Data(perSeason,perCrop)'!$S:$S,Indicators!$B80,'Data(perSeason,perCrop)'!$O:$O,Indicators!AN$7,'Data(perSeason,perCrop)'!$C:$C,Indicators!AN$3,'Data(perSeason,perCrop)'!$R:$R,"IRRIGATED")</f>
        <v>#DIV/0!</v>
      </c>
      <c r="AO74" s="62" t="e">
        <f>AVERAGEIFS('Data(perSeason,perCrop)'!$P:$P,'Data(perSeason,perCrop)'!$S:$S,Indicators!$B80,'Data(perSeason,perCrop)'!$O:$O,Indicators!AO$7,'Data(perSeason,perCrop)'!$C:$C,Indicators!AO$3,'Data(perSeason,perCrop)'!$R:$R,"IRRIGATED")</f>
        <v>#DIV/0!</v>
      </c>
      <c r="AP74" s="62" t="e">
        <f>AVERAGEIFS('Data(perSeason,perCrop)'!$P:$P,'Data(perSeason,perCrop)'!$S:$S,Indicators!$B80,'Data(perSeason,perCrop)'!$O:$O,Indicators!AP$7,'Data(perSeason,perCrop)'!$C:$C,Indicators!AP$3,'Data(perSeason,perCrop)'!$R:$R,"IRRIGATED")</f>
        <v>#DIV/0!</v>
      </c>
      <c r="AQ74" s="62" t="e">
        <f>AVERAGEIFS('Data(perSeason,perCrop)'!$P:$P,'Data(perSeason,perCrop)'!$S:$S,Indicators!$B80,'Data(perSeason,perCrop)'!$O:$O,Indicators!AQ$7,'Data(perSeason,perCrop)'!$C:$C,Indicators!AQ$3,'Data(perSeason,perCrop)'!$R:$R,"IRRIGATED")</f>
        <v>#DIV/0!</v>
      </c>
      <c r="AR74" s="62" t="e">
        <f>AVERAGEIFS('Data(perSeason,perCrop)'!$P:$P,'Data(perSeason,perCrop)'!$S:$S,Indicators!$B80,'Data(perSeason,perCrop)'!$O:$O,Indicators!AR$7,'Data(perSeason,perCrop)'!$C:$C,Indicators!AR$3,'Data(perSeason,perCrop)'!$R:$R,"IRRIGATED")</f>
        <v>#DIV/0!</v>
      </c>
      <c r="AS74" s="62" t="e">
        <f>AVERAGEIFS('Data(perSeason,perCrop)'!$P:$P,'Data(perSeason,perCrop)'!$S:$S,Indicators!$B80,'Data(perSeason,perCrop)'!$O:$O,Indicators!AS$7,'Data(perSeason,perCrop)'!$C:$C,Indicators!AS$3,'Data(perSeason,perCrop)'!$R:$R,"IRRIGATED")</f>
        <v>#DIV/0!</v>
      </c>
      <c r="AT74" s="62" t="e">
        <f>AVERAGEIFS('Data(perSeason,perCrop)'!$P:$P,'Data(perSeason,perCrop)'!$S:$S,Indicators!$B80,'Data(perSeason,perCrop)'!$O:$O,Indicators!AT$7,'Data(perSeason,perCrop)'!$C:$C,Indicators!AT$3,'Data(perSeason,perCrop)'!$R:$R,"IRRIGATED")</f>
        <v>#DIV/0!</v>
      </c>
      <c r="AU74" s="62" t="e">
        <f>AVERAGEIFS('Data(perSeason,perCrop)'!$P:$P,'Data(perSeason,perCrop)'!$S:$S,Indicators!$B80,'Data(perSeason,perCrop)'!$O:$O,Indicators!AU$7,'Data(perSeason,perCrop)'!$C:$C,Indicators!AU$3,'Data(perSeason,perCrop)'!$R:$R,"IRRIGATED")</f>
        <v>#DIV/0!</v>
      </c>
      <c r="AV74" s="62" t="e">
        <f>AVERAGEIFS('Data(perSeason,perCrop)'!$P:$P,'Data(perSeason,perCrop)'!$S:$S,Indicators!$B80,'Data(perSeason,perCrop)'!$O:$O,Indicators!AV$7,'Data(perSeason,perCrop)'!$C:$C,Indicators!AV$3,'Data(perSeason,perCrop)'!$R:$R,"IRRIGATED")</f>
        <v>#DIV/0!</v>
      </c>
      <c r="AW74" s="62" t="e">
        <f>AVERAGEIFS('Data(perSeason,perCrop)'!$P:$P,'Data(perSeason,perCrop)'!$S:$S,Indicators!$B80,'Data(perSeason,perCrop)'!$O:$O,Indicators!AW$7,'Data(perSeason,perCrop)'!$C:$C,Indicators!AW$3,'Data(perSeason,perCrop)'!$R:$R,"IRRIGATED")</f>
        <v>#DIV/0!</v>
      </c>
      <c r="AX74" s="7"/>
      <c r="AY74" s="7">
        <f>AVERAGEIFS('Data(perSeason,perCrop)'!$P:$P,'Data(perSeason,perCrop)'!$S:$S,Indicators!$B80,'Data(perSeason,perCrop)'!$O:$O,Indicators!AY$7,'Data(perSeason,perCrop)'!$C:$C,Indicators!AY$3,'Data(perSeason,perCrop)'!$R:$R,"IRRIGATED")</f>
        <v>6299</v>
      </c>
      <c r="AZ74" s="7" t="e">
        <f>AVERAGEIFS('Data(perSeason,perCrop)'!$P:$P,'Data(perSeason,perCrop)'!$S:$S,Indicators!$B80,'Data(perSeason,perCrop)'!$O:$O,Indicators!AZ$7,'Data(perSeason,perCrop)'!$C:$C,Indicators!AZ$3,'Data(perSeason,perCrop)'!$R:$R,"IRRIGATED")</f>
        <v>#DIV/0!</v>
      </c>
      <c r="BA74" s="7"/>
      <c r="BB74" s="7" t="e">
        <f>AVERAGEIFS('Data(perSeason,perCrop)'!$P:$P,'Data(perSeason,perCrop)'!$S:$S,Indicators!$B80,'Data(perSeason,perCrop)'!$O:$O,Indicators!BB$7,'Data(perSeason,perCrop)'!$C:$C,Indicators!BB$3,'Data(perSeason,perCrop)'!$R:$R,"IRRIGATED")</f>
        <v>#DIV/0!</v>
      </c>
      <c r="BC74" s="7" t="e">
        <f>AVERAGEIFS('Data(perSeason,perCrop)'!$P:$P,'Data(perSeason,perCrop)'!$S:$S,Indicators!$B80,'Data(perSeason,perCrop)'!$O:$O,Indicators!BC$7,'Data(perSeason,perCrop)'!$C:$C,Indicators!BC$3,'Data(perSeason,perCrop)'!$R:$R,"IRRIGATED")</f>
        <v>#DIV/0!</v>
      </c>
      <c r="BD74" s="7" t="e">
        <f>AVERAGEIFS('Data(perSeason,perCrop)'!$P:$P,'Data(perSeason,perCrop)'!$S:$S,Indicators!$B80,'Data(perSeason,perCrop)'!$O:$O,Indicators!BD$7,'Data(perSeason,perCrop)'!$C:$C,Indicators!BD$3,'Data(perSeason,perCrop)'!$R:$R,"IRRIGATED")</f>
        <v>#DIV/0!</v>
      </c>
      <c r="BE74" s="7" t="e">
        <f>AVERAGEIFS('Data(perSeason,perCrop)'!$P:$P,'Data(perSeason,perCrop)'!$S:$S,Indicators!$B80,'Data(perSeason,perCrop)'!$O:$O,Indicators!BE$7,'Data(perSeason,perCrop)'!$C:$C,Indicators!BE$3,'Data(perSeason,perCrop)'!$R:$R,"IRRIGATED")</f>
        <v>#DIV/0!</v>
      </c>
      <c r="BF74" s="7"/>
      <c r="BG74" s="7" t="e">
        <f>AVERAGEIFS('Data(perSeason,perCrop)'!$P:$P,'Data(perSeason,perCrop)'!$S:$S,Indicators!$B80,'Data(perSeason,perCrop)'!$O:$O,Indicators!BG$7,'Data(perSeason,perCrop)'!$C:$C,Indicators!BG$3,'Data(perSeason,perCrop)'!$R:$R,"IRRIGATED")</f>
        <v>#DIV/0!</v>
      </c>
      <c r="BH74" s="7"/>
      <c r="BI74" s="7" t="e">
        <f>AVERAGEIFS('Data(perSeason,perCrop)'!$P:$P,'Data(perSeason,perCrop)'!$S:$S,Indicators!$B80,'Data(perSeason,perCrop)'!$O:$O,Indicators!BI$7,'Data(perSeason,perCrop)'!$C:$C,Indicators!BI$3,'Data(perSeason,perCrop)'!$R:$R,"IRRIGATED")</f>
        <v>#DIV/0!</v>
      </c>
      <c r="BJ74" s="7" t="e">
        <f>AVERAGEIFS('Data(perSeason,perCrop)'!$P:$P,'Data(perSeason,perCrop)'!$S:$S,Indicators!$B80,'Data(perSeason,perCrop)'!$O:$O,Indicators!BJ$7,'Data(perSeason,perCrop)'!$C:$C,Indicators!BJ$3,'Data(perSeason,perCrop)'!$R:$R,"IRRIGATED")</f>
        <v>#DIV/0!</v>
      </c>
      <c r="BK74" s="7" t="e">
        <f>AVERAGEIFS('Data(perSeason,perCrop)'!$P:$P,'Data(perSeason,perCrop)'!$S:$S,Indicators!$B80,'Data(perSeason,perCrop)'!$O:$O,Indicators!BK$7,'Data(perSeason,perCrop)'!$C:$C,Indicators!BK$3,'Data(perSeason,perCrop)'!$R:$R,"IRRIGATED")</f>
        <v>#DIV/0!</v>
      </c>
      <c r="BL74" s="7">
        <f>AVERAGEIFS('Data(perSeason,perCrop)'!$P:$P,'Data(perSeason,perCrop)'!$S:$S,Indicators!$B80,'Data(perSeason,perCrop)'!$O:$O,Indicators!BL$7,'Data(perSeason,perCrop)'!$C:$C,Indicators!BL$3,'Data(perSeason,perCrop)'!$R:$R,"IRRIGATED")</f>
        <v>6293</v>
      </c>
      <c r="BM74" s="7" t="e">
        <f>AVERAGEIFS('Data(perSeason,perCrop)'!$P:$P,'Data(perSeason,perCrop)'!$S:$S,Indicators!$B80,'Data(perSeason,perCrop)'!$O:$O,Indicators!BM$7,'Data(perSeason,perCrop)'!$C:$C,Indicators!BM$3,'Data(perSeason,perCrop)'!$R:$R,"IRRIGATED")</f>
        <v>#DIV/0!</v>
      </c>
      <c r="BN74" s="7">
        <f>AVERAGEIFS('Data(perSeason,perCrop)'!$P:$P,'Data(perSeason,perCrop)'!$S:$S,Indicators!$B80,'Data(perSeason,perCrop)'!$O:$O,Indicators!BN$7,'Data(perSeason,perCrop)'!$C:$C,Indicators!BN$3,'Data(perSeason,perCrop)'!$R:$R,"IRRIGATED")</f>
        <v>5782</v>
      </c>
      <c r="BO74" s="7" t="e">
        <f>AVERAGEIFS('Data(perSeason,perCrop)'!$P:$P,'Data(perSeason,perCrop)'!$S:$S,Indicators!$B80,'Data(perSeason,perCrop)'!$O:$O,Indicators!BO$7,'Data(perSeason,perCrop)'!$C:$C,Indicators!BO$3,'Data(perSeason,perCrop)'!$R:$R,"IRRIGATED")</f>
        <v>#DIV/0!</v>
      </c>
      <c r="BP74" s="7" t="e">
        <f>AVERAGEIFS('Data(perSeason,perCrop)'!$P:$P,'Data(perSeason,perCrop)'!$S:$S,Indicators!$B80,'Data(perSeason,perCrop)'!$O:$O,Indicators!BP$7,'Data(perSeason,perCrop)'!$C:$C,Indicators!BP$3,'Data(perSeason,perCrop)'!$R:$R,"IRRIGATED")</f>
        <v>#DIV/0!</v>
      </c>
      <c r="BQ74" s="7">
        <f>AVERAGEIFS('Data(perSeason,perCrop)'!$P:$P,'Data(perSeason,perCrop)'!$S:$S,Indicators!$B80,'Data(perSeason,perCrop)'!$O:$O,Indicators!BQ$7,'Data(perSeason,perCrop)'!$C:$C,Indicators!BQ$3,'Data(perSeason,perCrop)'!$R:$R,"IRRIGATED")</f>
        <v>7535</v>
      </c>
      <c r="BR74" s="7" t="e">
        <f>AVERAGEIFS('Data(perSeason,perCrop)'!$P:$P,'Data(perSeason,perCrop)'!$S:$S,Indicators!$B80,'Data(perSeason,perCrop)'!$O:$O,Indicators!BR$7,'Data(perSeason,perCrop)'!$C:$C,Indicators!BR$3,'Data(perSeason,perCrop)'!$R:$R,"IRRIGATED")</f>
        <v>#DIV/0!</v>
      </c>
      <c r="BS74" s="7" t="e">
        <f>AVERAGEIFS('Data(perSeason,perCrop)'!$P:$P,'Data(perSeason,perCrop)'!$S:$S,Indicators!$B80,'Data(perSeason,perCrop)'!$O:$O,Indicators!BS$7,'Data(perSeason,perCrop)'!$C:$C,Indicators!BS$3,'Data(perSeason,perCrop)'!$R:$R,"IRRIGATED")</f>
        <v>#DIV/0!</v>
      </c>
      <c r="BT74" s="7" t="e">
        <f>AVERAGEIFS('Data(perSeason,perCrop)'!$P:$P,'Data(perSeason,perCrop)'!$S:$S,Indicators!$B80,'Data(perSeason,perCrop)'!$O:$O,Indicators!BT$7,'Data(perSeason,perCrop)'!$C:$C,Indicators!BT$3,'Data(perSeason,perCrop)'!$R:$R,"IRRIGATED")</f>
        <v>#DIV/0!</v>
      </c>
      <c r="BU74" s="7" t="e">
        <f>AVERAGEIFS('Data(perSeason,perCrop)'!$P:$P,'Data(perSeason,perCrop)'!$S:$S,Indicators!$B80,'Data(perSeason,perCrop)'!$O:$O,Indicators!BU$7,'Data(perSeason,perCrop)'!$C:$C,Indicators!BU$3,'Data(perSeason,perCrop)'!$R:$R,"IRRIGATED")</f>
        <v>#DIV/0!</v>
      </c>
      <c r="BV74" s="7" t="e">
        <f>AVERAGEIFS('Data(perSeason,perCrop)'!$P:$P,'Data(perSeason,perCrop)'!$S:$S,Indicators!$B80,'Data(perSeason,perCrop)'!$O:$O,Indicators!BV$7,'Data(perSeason,perCrop)'!$C:$C,Indicators!BV$3,'Data(perSeason,perCrop)'!$R:$R,"IRRIGATED")</f>
        <v>#DIV/0!</v>
      </c>
      <c r="BW74" s="7" t="e">
        <f>AVERAGEIFS('Data(perSeason,perCrop)'!$P:$P,'Data(perSeason,perCrop)'!$S:$S,Indicators!$B80,'Data(perSeason,perCrop)'!$O:$O,Indicators!BW$7,'Data(perSeason,perCrop)'!$C:$C,Indicators!BW$3,'Data(perSeason,perCrop)'!$R:$R,"IRRIGATED")</f>
        <v>#DIV/0!</v>
      </c>
      <c r="BX74" s="7" t="e">
        <f>AVERAGEIFS('Data(perSeason,perCrop)'!$P:$P,'Data(perSeason,perCrop)'!$S:$S,Indicators!$B80,'Data(perSeason,perCrop)'!$O:$O,Indicators!BX$7,'Data(perSeason,perCrop)'!$C:$C,Indicators!BX$3,'Data(perSeason,perCrop)'!$R:$R,"IRRIGATED")</f>
        <v>#DIV/0!</v>
      </c>
      <c r="BY74" s="7" t="e">
        <f>AVERAGEIFS('Data(perSeason,perCrop)'!$P:$P,'Data(perSeason,perCrop)'!$S:$S,Indicators!$B80,'Data(perSeason,perCrop)'!$O:$O,Indicators!BY$7,'Data(perSeason,perCrop)'!$C:$C,Indicators!BY$3,'Data(perSeason,perCrop)'!$R:$R,"IRRIGATED")</f>
        <v>#DIV/0!</v>
      </c>
      <c r="BZ74" s="7" t="e">
        <f>AVERAGEIFS('Data(perSeason,perCrop)'!$P:$P,'Data(perSeason,perCrop)'!$S:$S,Indicators!$B80,'Data(perSeason,perCrop)'!$O:$O,Indicators!BZ$7,'Data(perSeason,perCrop)'!$C:$C,Indicators!BZ$3,'Data(perSeason,perCrop)'!$R:$R,"IRRIGATED")</f>
        <v>#DIV/0!</v>
      </c>
      <c r="CA74" s="7" t="e">
        <f>AVERAGEIFS('Data(perSeason,perCrop)'!$P:$P,'Data(perSeason,perCrop)'!$S:$S,Indicators!$B80,'Data(perSeason,perCrop)'!$O:$O,Indicators!CA$7,'Data(perSeason,perCrop)'!$C:$C,Indicators!CA$3,'Data(perSeason,perCrop)'!$R:$R,"IRRIGATED")</f>
        <v>#DIV/0!</v>
      </c>
      <c r="CB74" s="7" t="e">
        <f>AVERAGEIFS('Data(perSeason,perCrop)'!$P:$P,'Data(perSeason,perCrop)'!$S:$S,Indicators!$B80,'Data(perSeason,perCrop)'!$O:$O,Indicators!CB$7,'Data(perSeason,perCrop)'!$C:$C,Indicators!CB$3,'Data(perSeason,perCrop)'!$R:$R,"IRRIGATED")</f>
        <v>#DIV/0!</v>
      </c>
      <c r="CC74" s="7" t="e">
        <f>AVERAGEIFS('Data(perSeason,perCrop)'!$P:$P,'Data(perSeason,perCrop)'!$S:$S,Indicators!$B80,'Data(perSeason,perCrop)'!$O:$O,Indicators!CC$7,'Data(perSeason,perCrop)'!$C:$C,Indicators!CC$3,'Data(perSeason,perCrop)'!$R:$R,"IRRIGATED")</f>
        <v>#DIV/0!</v>
      </c>
      <c r="CD74" s="7" t="e">
        <f>AVERAGEIFS('Data(perSeason,perCrop)'!$P:$P,'Data(perSeason,perCrop)'!$S:$S,Indicators!$B80,'Data(perSeason,perCrop)'!$O:$O,Indicators!CD$7,'Data(perSeason,perCrop)'!$C:$C,Indicators!CD$3,'Data(perSeason,perCrop)'!$R:$R,"IRRIGATED")</f>
        <v>#DIV/0!</v>
      </c>
      <c r="CE74" s="7" t="e">
        <f>AVERAGEIFS('Data(perSeason,perCrop)'!$P:$P,'Data(perSeason,perCrop)'!$S:$S,Indicators!$B80,'Data(perSeason,perCrop)'!$O:$O,Indicators!CE$7,'Data(perSeason,perCrop)'!$C:$C,Indicators!CE$3,'Data(perSeason,perCrop)'!$R:$R,"IRRIGATED")</f>
        <v>#DIV/0!</v>
      </c>
      <c r="CF74" s="7" t="e">
        <f>AVERAGEIFS('Data(perSeason,perCrop)'!$P:$P,'Data(perSeason,perCrop)'!$S:$S,Indicators!$B80,'Data(perSeason,perCrop)'!$O:$O,Indicators!CF$7,'Data(perSeason,perCrop)'!$C:$C,Indicators!CF$3,'Data(perSeason,perCrop)'!$R:$R,"IRRIGATED")</f>
        <v>#DIV/0!</v>
      </c>
      <c r="CG74" s="7" t="e">
        <f>AVERAGEIFS('Data(perSeason,perCrop)'!$P:$P,'Data(perSeason,perCrop)'!$S:$S,Indicators!$B80,'Data(perSeason,perCrop)'!$O:$O,Indicators!CG$7,'Data(perSeason,perCrop)'!$C:$C,Indicators!CG$3,'Data(perSeason,perCrop)'!$R:$R,"IRRIGATED")</f>
        <v>#DIV/0!</v>
      </c>
      <c r="CH74" s="7" t="e">
        <f>AVERAGEIFS('Data(perSeason,perCrop)'!$P:$P,'Data(perSeason,perCrop)'!$S:$S,Indicators!$B80,'Data(perSeason,perCrop)'!$O:$O,Indicators!CH$7,'Data(perSeason,perCrop)'!$C:$C,Indicators!CH$3,'Data(perSeason,perCrop)'!$R:$R,"IRRIGATED")</f>
        <v>#DIV/0!</v>
      </c>
      <c r="CI74" s="7" t="e">
        <f>AVERAGEIFS('Data(perSeason,perCrop)'!$P:$P,'Data(perSeason,perCrop)'!$S:$S,Indicators!$B80,'Data(perSeason,perCrop)'!$O:$O,Indicators!CI$7,'Data(perSeason,perCrop)'!$C:$C,Indicators!CI$3,'Data(perSeason,perCrop)'!$R:$R,"IRRIGATED")</f>
        <v>#DIV/0!</v>
      </c>
      <c r="CJ74" s="7" t="e">
        <f>AVERAGEIFS('Data(perSeason,perCrop)'!$P:$P,'Data(perSeason,perCrop)'!$S:$S,Indicators!$B80,'Data(perSeason,perCrop)'!$O:$O,Indicators!CJ$7,'Data(perSeason,perCrop)'!$C:$C,Indicators!CJ$3,'Data(perSeason,perCrop)'!$R:$R,"IRRIGATED")</f>
        <v>#DIV/0!</v>
      </c>
      <c r="CK74" s="7" t="e">
        <f>AVERAGEIFS('Data(perSeason,perCrop)'!$P:$P,'Data(perSeason,perCrop)'!$S:$S,Indicators!$B80,'Data(perSeason,perCrop)'!$O:$O,Indicators!CK$7,'Data(perSeason,perCrop)'!$C:$C,Indicators!CK$3,'Data(perSeason,perCrop)'!$R:$R,"IRRIGATED")</f>
        <v>#DIV/0!</v>
      </c>
      <c r="CL74" s="7" t="e">
        <f>AVERAGEIFS('Data(perSeason,perCrop)'!$P:$P,'Data(perSeason,perCrop)'!$S:$S,Indicators!$B80,'Data(perSeason,perCrop)'!$O:$O,Indicators!CL$7,'Data(perSeason,perCrop)'!$C:$C,Indicators!CL$3,'Data(perSeason,perCrop)'!$R:$R,"IRRIGATED")</f>
        <v>#DIV/0!</v>
      </c>
      <c r="CM74" s="7" t="e">
        <f>AVERAGEIFS('Data(perSeason,perCrop)'!$P:$P,'Data(perSeason,perCrop)'!$S:$S,Indicators!$B80,'Data(perSeason,perCrop)'!$O:$O,Indicators!CM$7,'Data(perSeason,perCrop)'!$C:$C,Indicators!CM$3,'Data(perSeason,perCrop)'!$R:$R,"IRRIGATED")</f>
        <v>#DIV/0!</v>
      </c>
      <c r="CN74" s="7" t="e">
        <f>AVERAGEIFS('Data(perSeason,perCrop)'!$P:$P,'Data(perSeason,perCrop)'!$S:$S,Indicators!$B80,'Data(perSeason,perCrop)'!$O:$O,Indicators!CN$7,'Data(perSeason,perCrop)'!$C:$C,Indicators!CN$3,'Data(perSeason,perCrop)'!$R:$R,"IRRIGATED")</f>
        <v>#DIV/0!</v>
      </c>
      <c r="CO74" s="7" t="e">
        <f>AVERAGEIFS('Data(perSeason,perCrop)'!$P:$P,'Data(perSeason,perCrop)'!$S:$S,Indicators!$B80,'Data(perSeason,perCrop)'!$O:$O,Indicators!CO$7,'Data(perSeason,perCrop)'!$C:$C,Indicators!CO$3,'Data(perSeason,perCrop)'!$R:$R,"IRRIGATED")</f>
        <v>#DIV/0!</v>
      </c>
      <c r="CP74" s="7">
        <f>AVERAGEIFS('Data(perSeason,perCrop)'!$P:$P,'Data(perSeason,perCrop)'!$S:$S,Indicators!$B80,'Data(perSeason,perCrop)'!$O:$O,Indicators!CP$7,'Data(perSeason,perCrop)'!$C:$C,Indicators!CP$3,'Data(perSeason,perCrop)'!$R:$R,"IRRIGATED")</f>
        <v>3385</v>
      </c>
      <c r="CQ74" s="7">
        <f>AVERAGEIFS('Data(perSeason,perCrop)'!$P:$P,'Data(perSeason,perCrop)'!$S:$S,Indicators!$B80,'Data(perSeason,perCrop)'!$O:$O,Indicators!CQ$7,'Data(perSeason,perCrop)'!$C:$C,Indicators!CQ$3,'Data(perSeason,perCrop)'!$R:$R,"IRRIGATED")</f>
        <v>2729</v>
      </c>
      <c r="CR74" s="7" t="e">
        <f>AVERAGEIFS('Data(perSeason,perCrop)'!$P:$P,'Data(perSeason,perCrop)'!$S:$S,Indicators!$B80,'Data(perSeason,perCrop)'!$O:$O,Indicators!CR$7,'Data(perSeason,perCrop)'!$C:$C,Indicators!CR$3,'Data(perSeason,perCrop)'!$R:$R,"IRRIGATED")</f>
        <v>#DIV/0!</v>
      </c>
      <c r="CS74" s="7">
        <f>AVERAGEIFS('Data(perSeason,perCrop)'!$P:$P,'Data(perSeason,perCrop)'!$S:$S,Indicators!$B80,'Data(perSeason,perCrop)'!$O:$O,Indicators!CS$7,'Data(perSeason,perCrop)'!$C:$C,Indicators!CS$3,'Data(perSeason,perCrop)'!$R:$R,"IRRIGATED")</f>
        <v>2846</v>
      </c>
      <c r="CT74" s="7" t="e">
        <f>AVERAGEIFS('Data(perSeason,perCrop)'!$P:$P,'Data(perSeason,perCrop)'!$S:$S,Indicators!$B80,'Data(perSeason,perCrop)'!$O:$O,Indicators!CT$7,'Data(perSeason,perCrop)'!$C:$C,Indicators!CT$3,'Data(perSeason,perCrop)'!$R:$R,"IRRIGATED")</f>
        <v>#DIV/0!</v>
      </c>
      <c r="CU74" s="7" t="e">
        <f>AVERAGEIFS('Data(perSeason,perCrop)'!$P:$P,'Data(perSeason,perCrop)'!$S:$S,Indicators!$B80,'Data(perSeason,perCrop)'!$O:$O,Indicators!CU$7,'Data(perSeason,perCrop)'!$C:$C,Indicators!CU$3,'Data(perSeason,perCrop)'!$R:$R,"IRRIGATED")</f>
        <v>#DIV/0!</v>
      </c>
      <c r="CV74" s="7">
        <f>AVERAGEIFS('Data(perSeason,perCrop)'!$P:$P,'Data(perSeason,perCrop)'!$S:$S,Indicators!$B80,'Data(perSeason,perCrop)'!$O:$O,Indicators!CV$7,'Data(perSeason,perCrop)'!$C:$C,Indicators!CV$3,'Data(perSeason,perCrop)'!$R:$R,"IRRIGATED")</f>
        <v>3435</v>
      </c>
      <c r="CW74" s="7" t="e">
        <f>AVERAGEIFS('Data(perSeason,perCrop)'!$P:$P,'Data(perSeason,perCrop)'!$S:$S,Indicators!$B80,'Data(perSeason,perCrop)'!$O:$O,Indicators!CW$7,'Data(perSeason,perCrop)'!$C:$C,Indicators!CW$3,'Data(perSeason,perCrop)'!$R:$R,"IRRIGATED")</f>
        <v>#DIV/0!</v>
      </c>
      <c r="CX74" s="7" t="e">
        <f>AVERAGEIFS('Data(perSeason,perCrop)'!$P:$P,'Data(perSeason,perCrop)'!$S:$S,Indicators!$B80,'Data(perSeason,perCrop)'!$O:$O,Indicators!CX$7,'Data(perSeason,perCrop)'!$C:$C,Indicators!CX$3,'Data(perSeason,perCrop)'!$R:$R,"IRRIGATED")</f>
        <v>#DIV/0!</v>
      </c>
      <c r="CY74" s="7" t="e">
        <f>AVERAGEIFS('Data(perSeason,perCrop)'!$P:$P,'Data(perSeason,perCrop)'!$S:$S,Indicators!$B80,'Data(perSeason,perCrop)'!$O:$O,Indicators!CY$7,'Data(perSeason,perCrop)'!$C:$C,Indicators!CY$3,'Data(perSeason,perCrop)'!$R:$R,"IRRIGATED")</f>
        <v>#DIV/0!</v>
      </c>
      <c r="CZ74" s="7" t="e">
        <f>AVERAGEIFS('Data(perSeason,perCrop)'!$P:$P,'Data(perSeason,perCrop)'!$S:$S,Indicators!$B80,'Data(perSeason,perCrop)'!$O:$O,Indicators!CZ$7,'Data(perSeason,perCrop)'!$C:$C,Indicators!CZ$3,'Data(perSeason,perCrop)'!$R:$R,"IRRIGATED")</f>
        <v>#DIV/0!</v>
      </c>
      <c r="DA74" s="7" t="e">
        <f>AVERAGEIFS('Data(perSeason,perCrop)'!$P:$P,'Data(perSeason,perCrop)'!$S:$S,Indicators!$B80,'Data(perSeason,perCrop)'!$O:$O,Indicators!DA$7,'Data(perSeason,perCrop)'!$C:$C,Indicators!DA$3,'Data(perSeason,perCrop)'!$R:$R,"IRRIGATED")</f>
        <v>#DIV/0!</v>
      </c>
      <c r="DB74" s="7" t="e">
        <f>AVERAGEIFS('Data(perSeason,perCrop)'!$P:$P,'Data(perSeason,perCrop)'!$S:$S,Indicators!$B80,'Data(perSeason,perCrop)'!$O:$O,Indicators!DB$7,'Data(perSeason,perCrop)'!$C:$C,Indicators!DB$3,'Data(perSeason,perCrop)'!$R:$R,"IRRIGATED")</f>
        <v>#DIV/0!</v>
      </c>
      <c r="DC74" s="7" t="e">
        <f>AVERAGEIFS('Data(perSeason,perCrop)'!$P:$P,'Data(perSeason,perCrop)'!$S:$S,Indicators!$B80,'Data(perSeason,perCrop)'!$O:$O,Indicators!DC$7,'Data(perSeason,perCrop)'!$C:$C,Indicators!DC$3,'Data(perSeason,perCrop)'!$R:$R,"IRRIGATED")</f>
        <v>#DIV/0!</v>
      </c>
      <c r="DD74" s="7" t="e">
        <f>AVERAGEIFS('Data(perSeason,perCrop)'!$P:$P,'Data(perSeason,perCrop)'!$S:$S,Indicators!$B80,'Data(perSeason,perCrop)'!$O:$O,Indicators!DD$7,'Data(perSeason,perCrop)'!$C:$C,Indicators!DD$3,'Data(perSeason,perCrop)'!$R:$R,"IRRIGATED")</f>
        <v>#DIV/0!</v>
      </c>
      <c r="DE74" s="7" t="e">
        <f>AVERAGEIFS('Data(perSeason,perCrop)'!$P:$P,'Data(perSeason,perCrop)'!$S:$S,Indicators!$B80,'Data(perSeason,perCrop)'!$O:$O,Indicators!DE$7,'Data(perSeason,perCrop)'!$C:$C,Indicators!DE$3,'Data(perSeason,perCrop)'!$R:$R,"IRRIGATED")</f>
        <v>#DIV/0!</v>
      </c>
      <c r="DF74" s="7" t="e">
        <f>AVERAGEIFS('Data(perSeason,perCrop)'!$P:$P,'Data(perSeason,perCrop)'!$S:$S,Indicators!$B80,'Data(perSeason,perCrop)'!$O:$O,Indicators!DF$7,'Data(perSeason,perCrop)'!$C:$C,Indicators!DF$3,'Data(perSeason,perCrop)'!$R:$R,"IRRIGATED")</f>
        <v>#DIV/0!</v>
      </c>
      <c r="DG74" s="7" t="e">
        <f>AVERAGEIFS('Data(perSeason,perCrop)'!$P:$P,'Data(perSeason,perCrop)'!$S:$S,Indicators!$B80,'Data(perSeason,perCrop)'!$O:$O,Indicators!DG$7,'Data(perSeason,perCrop)'!$C:$C,Indicators!DG$3,'Data(perSeason,perCrop)'!$R:$R,"IRRIGATED")</f>
        <v>#DIV/0!</v>
      </c>
    </row>
    <row r="75" spans="1:111" x14ac:dyDescent="0.25">
      <c r="A75" t="s">
        <v>122</v>
      </c>
      <c r="B75">
        <v>2019</v>
      </c>
      <c r="C75" s="8">
        <f>IF(COUNTIFS('Data(perSeason,perCrop)'!$S:$S,Indicators!$B69)&gt;0,AVERAGEIFS('Data(perSeason,perCrop)'!$I:$I,'Data(perSeason,perCrop)'!$S:$S,Indicators!$B75,'Data(perSeason,perCrop)'!$O:$O,Indicators!C$7,'Data(perSeason,perCrop)'!$R:$R,"IRRIGATED"),"")</f>
        <v>0.89136114588304005</v>
      </c>
      <c r="D75" s="8">
        <f>IF(COUNTIFS('Data(perSeason,perCrop)'!$S:$S,Indicators!$B69)&gt;0,AVERAGEIFS('Data(perSeason,perCrop)'!$I:$I,'Data(perSeason,perCrop)'!$S:$S,Indicators!$B75,'Data(perSeason,perCrop)'!$O:$O,Indicators!D$7,'Data(perSeason,perCrop)'!$R:$R,"IRRIGATED"),"")</f>
        <v>0.54302631415500702</v>
      </c>
      <c r="E75" s="8">
        <f>IF(COUNTIFS('Data(perSeason,perCrop)'!$S:$S,Indicators!$B69)&gt;0,AVERAGEIFS('Data(perSeason,perCrop)'!$I:$I,'Data(perSeason,perCrop)'!$S:$S,Indicators!$B75,'Data(perSeason,perCrop)'!$O:$O,Indicators!E$7,'Data(perSeason,perCrop)'!$R:$R,"IRRIGATED"),"")</f>
        <v>0.41887680066525901</v>
      </c>
      <c r="F75" s="8">
        <f>IF(COUNTIFS('Data(perSeason,perCrop)'!$S:$S,Indicators!$B69)&gt;0,AVERAGEIFS('Data(perSeason,perCrop)'!$I:$I,'Data(perSeason,perCrop)'!$S:$S,Indicators!$B75,'Data(perSeason,perCrop)'!$O:$O,Indicators!F$7,'Data(perSeason,perCrop)'!$R:$R,"IRRIGATED"),"")</f>
        <v>0.664382019266052</v>
      </c>
      <c r="J75" s="2" t="s">
        <v>36</v>
      </c>
      <c r="K75" s="7">
        <f>AVERAGEIFS('Data(perSeason,perCrop)'!$P:$P,'Data(perSeason,perCrop)'!$S:$S,Indicators!$B81,'Data(perSeason,perCrop)'!$O:$O,Indicators!K$7,'Data(perSeason,perCrop)'!$C:$C,Indicators!K$3,'Data(perSeason,perCrop)'!$R:$R,"IRRIGATED")</f>
        <v>8449</v>
      </c>
      <c r="L75" s="7">
        <f>AVERAGEIFS('Data(perSeason,perCrop)'!$P:$P,'Data(perSeason,perCrop)'!$S:$S,Indicators!$B81,'Data(perSeason,perCrop)'!$O:$O,Indicators!L$7,'Data(perSeason,perCrop)'!$C:$C,Indicators!L$3,'Data(perSeason,perCrop)'!$R:$R,"IRRIGATED")</f>
        <v>10544</v>
      </c>
      <c r="M75" s="7">
        <f>AVERAGEIFS('Data(perSeason,perCrop)'!$P:$P,'Data(perSeason,perCrop)'!$S:$S,Indicators!$B81,'Data(perSeason,perCrop)'!$O:$O,Indicators!M$7,'Data(perSeason,perCrop)'!$C:$C,Indicators!M$3,'Data(perSeason,perCrop)'!$R:$R,"IRRIGATED")</f>
        <v>11293</v>
      </c>
      <c r="N75" s="7">
        <f>AVERAGEIFS('Data(perSeason,perCrop)'!$P:$P,'Data(perSeason,perCrop)'!$S:$S,Indicators!$B81,'Data(perSeason,perCrop)'!$O:$O,Indicators!N$7,'Data(perSeason,perCrop)'!$C:$C,Indicators!N$3,'Data(perSeason,perCrop)'!$R:$R,"IRRIGATED")</f>
        <v>18931</v>
      </c>
      <c r="O75" s="7">
        <f>AVERAGEIFS('Data(perSeason,perCrop)'!$P:$P,'Data(perSeason,perCrop)'!$S:$S,Indicators!$B81,'Data(perSeason,perCrop)'!$O:$O,Indicators!O$7,'Data(perSeason,perCrop)'!$C:$C,Indicators!O$3,'Data(perSeason,perCrop)'!$R:$R,"IRRIGATED")</f>
        <v>9937</v>
      </c>
      <c r="P75" s="7">
        <f>AVERAGEIFS('Data(perSeason,perCrop)'!$P:$P,'Data(perSeason,perCrop)'!$S:$S,Indicators!$B81,'Data(perSeason,perCrop)'!$O:$O,Indicators!P$7,'Data(perSeason,perCrop)'!$C:$C,Indicators!P$3,'Data(perSeason,perCrop)'!$R:$R,"IRRIGATED")</f>
        <v>10100</v>
      </c>
      <c r="Q75" s="7">
        <f>AVERAGEIFS('Data(perSeason,perCrop)'!$P:$P,'Data(perSeason,perCrop)'!$S:$S,Indicators!$B81,'Data(perSeason,perCrop)'!$O:$O,Indicators!Q$7,'Data(perSeason,perCrop)'!$C:$C,Indicators!Q$3,'Data(perSeason,perCrop)'!$R:$R,"IRRIGATED")</f>
        <v>14289</v>
      </c>
      <c r="R75" s="7">
        <f>AVERAGEIFS('Data(perSeason,perCrop)'!$P:$P,'Data(perSeason,perCrop)'!$S:$S,Indicators!$B81,'Data(perSeason,perCrop)'!$O:$O,Indicators!R$7,'Data(perSeason,perCrop)'!$C:$C,Indicators!R$3,'Data(perSeason,perCrop)'!$R:$R,"IRRIGATED")</f>
        <v>4467</v>
      </c>
      <c r="S75" s="62" t="e">
        <f>AVERAGEIFS('Data(perSeason,perCrop)'!$P:$P,'Data(perSeason,perCrop)'!$S:$S,Indicators!$B81,'Data(perSeason,perCrop)'!$O:$O,Indicators!S$7,'Data(perSeason,perCrop)'!$C:$C,Indicators!S$3,'Data(perSeason,perCrop)'!$R:$R,"IRRIGATED")</f>
        <v>#DIV/0!</v>
      </c>
      <c r="T75" s="62">
        <f>AVERAGEIFS('Data(perSeason,perCrop)'!$P:$P,'Data(perSeason,perCrop)'!$S:$S,Indicators!$B81,'Data(perSeason,perCrop)'!$O:$O,Indicators!T$7,'Data(perSeason,perCrop)'!$C:$C,Indicators!T$3,'Data(perSeason,perCrop)'!$R:$R,"IRRIGATED")</f>
        <v>4178</v>
      </c>
      <c r="U75" s="62" t="e">
        <f>AVERAGEIFS('Data(perSeason,perCrop)'!$P:$P,'Data(perSeason,perCrop)'!$S:$S,Indicators!$B81,'Data(perSeason,perCrop)'!$O:$O,Indicators!U$7,'Data(perSeason,perCrop)'!$C:$C,Indicators!U$3,'Data(perSeason,perCrop)'!$R:$R,"IRRIGATED")</f>
        <v>#DIV/0!</v>
      </c>
      <c r="V75" s="62" t="e">
        <f>AVERAGEIFS('Data(perSeason,perCrop)'!$P:$P,'Data(perSeason,perCrop)'!$S:$S,Indicators!$B81,'Data(perSeason,perCrop)'!$O:$O,Indicators!V$7,'Data(perSeason,perCrop)'!$C:$C,Indicators!V$3,'Data(perSeason,perCrop)'!$R:$R,"IRRIGATED")</f>
        <v>#DIV/0!</v>
      </c>
      <c r="W75" s="62" t="e">
        <f>AVERAGEIFS('Data(perSeason,perCrop)'!$P:$P,'Data(perSeason,perCrop)'!$S:$S,Indicators!$B81,'Data(perSeason,perCrop)'!$O:$O,Indicators!W$7,'Data(perSeason,perCrop)'!$C:$C,Indicators!W$3,'Data(perSeason,perCrop)'!$R:$R,"IRRIGATED")</f>
        <v>#DIV/0!</v>
      </c>
      <c r="X75" s="62" t="e">
        <f>AVERAGEIFS('Data(perSeason,perCrop)'!$P:$P,'Data(perSeason,perCrop)'!$S:$S,Indicators!$B81,'Data(perSeason,perCrop)'!$O:$O,Indicators!X$7,'Data(perSeason,perCrop)'!$C:$C,Indicators!X$3,'Data(perSeason,perCrop)'!$R:$R,"IRRIGATED")</f>
        <v>#DIV/0!</v>
      </c>
      <c r="Y75" s="62" t="e">
        <f>AVERAGEIFS('Data(perSeason,perCrop)'!$P:$P,'Data(perSeason,perCrop)'!$S:$S,Indicators!$B81,'Data(perSeason,perCrop)'!$O:$O,Indicators!Y$7,'Data(perSeason,perCrop)'!$C:$C,Indicators!Y$3,'Data(perSeason,perCrop)'!$R:$R,"IRRIGATED")</f>
        <v>#DIV/0!</v>
      </c>
      <c r="Z75" s="62" t="e">
        <f>AVERAGEIFS('Data(perSeason,perCrop)'!$P:$P,'Data(perSeason,perCrop)'!$S:$S,Indicators!$B81,'Data(perSeason,perCrop)'!$O:$O,Indicators!Z$7,'Data(perSeason,perCrop)'!$C:$C,Indicators!Z$3,'Data(perSeason,perCrop)'!$R:$R,"IRRIGATED")</f>
        <v>#DIV/0!</v>
      </c>
      <c r="AA75" s="62" t="e">
        <f>AVERAGEIFS('Data(perSeason,perCrop)'!$P:$P,'Data(perSeason,perCrop)'!$S:$S,Indicators!$B81,'Data(perSeason,perCrop)'!$O:$O,Indicators!AA$7,'Data(perSeason,perCrop)'!$C:$C,Indicators!AA$3,'Data(perSeason,perCrop)'!$R:$R,"IRRIGATED")</f>
        <v>#DIV/0!</v>
      </c>
      <c r="AB75" s="62" t="e">
        <f>AVERAGEIFS('Data(perSeason,perCrop)'!$P:$P,'Data(perSeason,perCrop)'!$S:$S,Indicators!$B81,'Data(perSeason,perCrop)'!$O:$O,Indicators!AB$7,'Data(perSeason,perCrop)'!$C:$C,Indicators!AB$3,'Data(perSeason,perCrop)'!$R:$R,"IRRIGATED")</f>
        <v>#DIV/0!</v>
      </c>
      <c r="AC75" s="62" t="e">
        <f>AVERAGEIFS('Data(perSeason,perCrop)'!$P:$P,'Data(perSeason,perCrop)'!$S:$S,Indicators!$B81,'Data(perSeason,perCrop)'!$O:$O,Indicators!AC$7,'Data(perSeason,perCrop)'!$C:$C,Indicators!AC$3,'Data(perSeason,perCrop)'!$R:$R,"IRRIGATED")</f>
        <v>#DIV/0!</v>
      </c>
      <c r="AD75" s="62" t="e">
        <f>AVERAGEIFS('Data(perSeason,perCrop)'!$P:$P,'Data(perSeason,perCrop)'!$S:$S,Indicators!$B81,'Data(perSeason,perCrop)'!$O:$O,Indicators!AD$7,'Data(perSeason,perCrop)'!$C:$C,Indicators!AD$3,'Data(perSeason,perCrop)'!$R:$R,"IRRIGATED")</f>
        <v>#DIV/0!</v>
      </c>
      <c r="AE75" s="62" t="e">
        <f>AVERAGEIFS('Data(perSeason,perCrop)'!$P:$P,'Data(perSeason,perCrop)'!$S:$S,Indicators!$B81,'Data(perSeason,perCrop)'!$O:$O,Indicators!AE$7,'Data(perSeason,perCrop)'!$C:$C,Indicators!AE$3,'Data(perSeason,perCrop)'!$R:$R,"IRRIGATED")</f>
        <v>#DIV/0!</v>
      </c>
      <c r="AF75" s="62">
        <f>AVERAGEIFS('Data(perSeason,perCrop)'!$P:$P,'Data(perSeason,perCrop)'!$S:$S,Indicators!$B81,'Data(perSeason,perCrop)'!$O:$O,Indicators!AF$7,'Data(perSeason,perCrop)'!$C:$C,Indicators!AF$3,'Data(perSeason,perCrop)'!$R:$R,"IRRIGATED")</f>
        <v>4626</v>
      </c>
      <c r="AG75" s="62">
        <f>AVERAGEIFS('Data(perSeason,perCrop)'!$P:$P,'Data(perSeason,perCrop)'!$S:$S,Indicators!$B81,'Data(perSeason,perCrop)'!$O:$O,Indicators!AG$7,'Data(perSeason,perCrop)'!$C:$C,Indicators!AG$3,'Data(perSeason,perCrop)'!$R:$R,"IRRIGATED")</f>
        <v>4023</v>
      </c>
      <c r="AH75" s="62" t="e">
        <f>AVERAGEIFS('Data(perSeason,perCrop)'!$P:$P,'Data(perSeason,perCrop)'!$S:$S,Indicators!$B81,'Data(perSeason,perCrop)'!$O:$O,Indicators!AH$7,'Data(perSeason,perCrop)'!$C:$C,Indicators!AH$3,'Data(perSeason,perCrop)'!$R:$R,"IRRIGATED")</f>
        <v>#DIV/0!</v>
      </c>
      <c r="AI75" s="62">
        <f>AVERAGEIFS('Data(perSeason,perCrop)'!$P:$P,'Data(perSeason,perCrop)'!$S:$S,Indicators!$B81,'Data(perSeason,perCrop)'!$O:$O,Indicators!AI$7,'Data(perSeason,perCrop)'!$C:$C,Indicators!AI$3,'Data(perSeason,perCrop)'!$R:$R,"IRRIGATED")</f>
        <v>4175</v>
      </c>
      <c r="AJ75" s="62" t="e">
        <f>AVERAGEIFS('Data(perSeason,perCrop)'!$P:$P,'Data(perSeason,perCrop)'!$S:$S,Indicators!$B81,'Data(perSeason,perCrop)'!$O:$O,Indicators!AJ$7,'Data(perSeason,perCrop)'!$C:$C,Indicators!AJ$3,'Data(perSeason,perCrop)'!$R:$R,"IRRIGATED")</f>
        <v>#DIV/0!</v>
      </c>
      <c r="AK75" s="62" t="e">
        <f>AVERAGEIFS('Data(perSeason,perCrop)'!$P:$P,'Data(perSeason,perCrop)'!$S:$S,Indicators!$B81,'Data(perSeason,perCrop)'!$O:$O,Indicators!AK$7,'Data(perSeason,perCrop)'!$C:$C,Indicators!AK$3,'Data(perSeason,perCrop)'!$R:$R,"IRRIGATED")</f>
        <v>#DIV/0!</v>
      </c>
      <c r="AL75" s="62">
        <f>AVERAGEIFS('Data(perSeason,perCrop)'!$P:$P,'Data(perSeason,perCrop)'!$S:$S,Indicators!$B81,'Data(perSeason,perCrop)'!$O:$O,Indicators!AL$7,'Data(perSeason,perCrop)'!$C:$C,Indicators!AL$3,'Data(perSeason,perCrop)'!$R:$R,"IRRIGATED")</f>
        <v>4294</v>
      </c>
      <c r="AM75" s="62" t="e">
        <f>AVERAGEIFS('Data(perSeason,perCrop)'!$P:$P,'Data(perSeason,perCrop)'!$S:$S,Indicators!$B81,'Data(perSeason,perCrop)'!$O:$O,Indicators!AM$7,'Data(perSeason,perCrop)'!$C:$C,Indicators!AM$3,'Data(perSeason,perCrop)'!$R:$R,"IRRIGATED")</f>
        <v>#DIV/0!</v>
      </c>
      <c r="AN75" s="62" t="e">
        <f>AVERAGEIFS('Data(perSeason,perCrop)'!$P:$P,'Data(perSeason,perCrop)'!$S:$S,Indicators!$B81,'Data(perSeason,perCrop)'!$O:$O,Indicators!AN$7,'Data(perSeason,perCrop)'!$C:$C,Indicators!AN$3,'Data(perSeason,perCrop)'!$R:$R,"IRRIGATED")</f>
        <v>#DIV/0!</v>
      </c>
      <c r="AO75" s="62" t="e">
        <f>AVERAGEIFS('Data(perSeason,perCrop)'!$P:$P,'Data(perSeason,perCrop)'!$S:$S,Indicators!$B81,'Data(perSeason,perCrop)'!$O:$O,Indicators!AO$7,'Data(perSeason,perCrop)'!$C:$C,Indicators!AO$3,'Data(perSeason,perCrop)'!$R:$R,"IRRIGATED")</f>
        <v>#DIV/0!</v>
      </c>
      <c r="AP75" s="62" t="e">
        <f>AVERAGEIFS('Data(perSeason,perCrop)'!$P:$P,'Data(perSeason,perCrop)'!$S:$S,Indicators!$B81,'Data(perSeason,perCrop)'!$O:$O,Indicators!AP$7,'Data(perSeason,perCrop)'!$C:$C,Indicators!AP$3,'Data(perSeason,perCrop)'!$R:$R,"IRRIGATED")</f>
        <v>#DIV/0!</v>
      </c>
      <c r="AQ75" s="62" t="e">
        <f>AVERAGEIFS('Data(perSeason,perCrop)'!$P:$P,'Data(perSeason,perCrop)'!$S:$S,Indicators!$B81,'Data(perSeason,perCrop)'!$O:$O,Indicators!AQ$7,'Data(perSeason,perCrop)'!$C:$C,Indicators!AQ$3,'Data(perSeason,perCrop)'!$R:$R,"IRRIGATED")</f>
        <v>#DIV/0!</v>
      </c>
      <c r="AR75" s="62" t="e">
        <f>AVERAGEIFS('Data(perSeason,perCrop)'!$P:$P,'Data(perSeason,perCrop)'!$S:$S,Indicators!$B81,'Data(perSeason,perCrop)'!$O:$O,Indicators!AR$7,'Data(perSeason,perCrop)'!$C:$C,Indicators!AR$3,'Data(perSeason,perCrop)'!$R:$R,"IRRIGATED")</f>
        <v>#DIV/0!</v>
      </c>
      <c r="AS75" s="62" t="e">
        <f>AVERAGEIFS('Data(perSeason,perCrop)'!$P:$P,'Data(perSeason,perCrop)'!$S:$S,Indicators!$B81,'Data(perSeason,perCrop)'!$O:$O,Indicators!AS$7,'Data(perSeason,perCrop)'!$C:$C,Indicators!AS$3,'Data(perSeason,perCrop)'!$R:$R,"IRRIGATED")</f>
        <v>#DIV/0!</v>
      </c>
      <c r="AT75" s="62" t="e">
        <f>AVERAGEIFS('Data(perSeason,perCrop)'!$P:$P,'Data(perSeason,perCrop)'!$S:$S,Indicators!$B81,'Data(perSeason,perCrop)'!$O:$O,Indicators!AT$7,'Data(perSeason,perCrop)'!$C:$C,Indicators!AT$3,'Data(perSeason,perCrop)'!$R:$R,"IRRIGATED")</f>
        <v>#DIV/0!</v>
      </c>
      <c r="AU75" s="62" t="e">
        <f>AVERAGEIFS('Data(perSeason,perCrop)'!$P:$P,'Data(perSeason,perCrop)'!$S:$S,Indicators!$B81,'Data(perSeason,perCrop)'!$O:$O,Indicators!AU$7,'Data(perSeason,perCrop)'!$C:$C,Indicators!AU$3,'Data(perSeason,perCrop)'!$R:$R,"IRRIGATED")</f>
        <v>#DIV/0!</v>
      </c>
      <c r="AV75" s="62" t="e">
        <f>AVERAGEIFS('Data(perSeason,perCrop)'!$P:$P,'Data(perSeason,perCrop)'!$S:$S,Indicators!$B81,'Data(perSeason,perCrop)'!$O:$O,Indicators!AV$7,'Data(perSeason,perCrop)'!$C:$C,Indicators!AV$3,'Data(perSeason,perCrop)'!$R:$R,"IRRIGATED")</f>
        <v>#DIV/0!</v>
      </c>
      <c r="AW75" s="62" t="e">
        <f>AVERAGEIFS('Data(perSeason,perCrop)'!$P:$P,'Data(perSeason,perCrop)'!$S:$S,Indicators!$B81,'Data(perSeason,perCrop)'!$O:$O,Indicators!AW$7,'Data(perSeason,perCrop)'!$C:$C,Indicators!AW$3,'Data(perSeason,perCrop)'!$R:$R,"IRRIGATED")</f>
        <v>#DIV/0!</v>
      </c>
      <c r="AX75" s="7"/>
      <c r="AY75" s="7">
        <f>AVERAGEIFS('Data(perSeason,perCrop)'!$P:$P,'Data(perSeason,perCrop)'!$S:$S,Indicators!$B81,'Data(perSeason,perCrop)'!$O:$O,Indicators!AY$7,'Data(perSeason,perCrop)'!$C:$C,Indicators!AY$3,'Data(perSeason,perCrop)'!$R:$R,"IRRIGATED")</f>
        <v>6266</v>
      </c>
      <c r="AZ75" s="7" t="e">
        <f>AVERAGEIFS('Data(perSeason,perCrop)'!$P:$P,'Data(perSeason,perCrop)'!$S:$S,Indicators!$B81,'Data(perSeason,perCrop)'!$O:$O,Indicators!AZ$7,'Data(perSeason,perCrop)'!$C:$C,Indicators!AZ$3,'Data(perSeason,perCrop)'!$R:$R,"IRRIGATED")</f>
        <v>#DIV/0!</v>
      </c>
      <c r="BA75" s="7"/>
      <c r="BB75" s="7" t="e">
        <f>AVERAGEIFS('Data(perSeason,perCrop)'!$P:$P,'Data(perSeason,perCrop)'!$S:$S,Indicators!$B81,'Data(perSeason,perCrop)'!$O:$O,Indicators!BB$7,'Data(perSeason,perCrop)'!$C:$C,Indicators!BB$3,'Data(perSeason,perCrop)'!$R:$R,"IRRIGATED")</f>
        <v>#DIV/0!</v>
      </c>
      <c r="BC75" s="7" t="e">
        <f>AVERAGEIFS('Data(perSeason,perCrop)'!$P:$P,'Data(perSeason,perCrop)'!$S:$S,Indicators!$B81,'Data(perSeason,perCrop)'!$O:$O,Indicators!BC$7,'Data(perSeason,perCrop)'!$C:$C,Indicators!BC$3,'Data(perSeason,perCrop)'!$R:$R,"IRRIGATED")</f>
        <v>#DIV/0!</v>
      </c>
      <c r="BD75" s="7" t="e">
        <f>AVERAGEIFS('Data(perSeason,perCrop)'!$P:$P,'Data(perSeason,perCrop)'!$S:$S,Indicators!$B81,'Data(perSeason,perCrop)'!$O:$O,Indicators!BD$7,'Data(perSeason,perCrop)'!$C:$C,Indicators!BD$3,'Data(perSeason,perCrop)'!$R:$R,"IRRIGATED")</f>
        <v>#DIV/0!</v>
      </c>
      <c r="BE75" s="7" t="e">
        <f>AVERAGEIFS('Data(perSeason,perCrop)'!$P:$P,'Data(perSeason,perCrop)'!$S:$S,Indicators!$B81,'Data(perSeason,perCrop)'!$O:$O,Indicators!BE$7,'Data(perSeason,perCrop)'!$C:$C,Indicators!BE$3,'Data(perSeason,perCrop)'!$R:$R,"IRRIGATED")</f>
        <v>#DIV/0!</v>
      </c>
      <c r="BF75" s="7"/>
      <c r="BG75" s="7" t="e">
        <f>AVERAGEIFS('Data(perSeason,perCrop)'!$P:$P,'Data(perSeason,perCrop)'!$S:$S,Indicators!$B81,'Data(perSeason,perCrop)'!$O:$O,Indicators!BG$7,'Data(perSeason,perCrop)'!$C:$C,Indicators!BG$3,'Data(perSeason,perCrop)'!$R:$R,"IRRIGATED")</f>
        <v>#DIV/0!</v>
      </c>
      <c r="BH75" s="7"/>
      <c r="BI75" s="7" t="e">
        <f>AVERAGEIFS('Data(perSeason,perCrop)'!$P:$P,'Data(perSeason,perCrop)'!$S:$S,Indicators!$B81,'Data(perSeason,perCrop)'!$O:$O,Indicators!BI$7,'Data(perSeason,perCrop)'!$C:$C,Indicators!BI$3,'Data(perSeason,perCrop)'!$R:$R,"IRRIGATED")</f>
        <v>#DIV/0!</v>
      </c>
      <c r="BJ75" s="7" t="e">
        <f>AVERAGEIFS('Data(perSeason,perCrop)'!$P:$P,'Data(perSeason,perCrop)'!$S:$S,Indicators!$B81,'Data(perSeason,perCrop)'!$O:$O,Indicators!BJ$7,'Data(perSeason,perCrop)'!$C:$C,Indicators!BJ$3,'Data(perSeason,perCrop)'!$R:$R,"IRRIGATED")</f>
        <v>#DIV/0!</v>
      </c>
      <c r="BK75" s="7" t="e">
        <f>AVERAGEIFS('Data(perSeason,perCrop)'!$P:$P,'Data(perSeason,perCrop)'!$S:$S,Indicators!$B81,'Data(perSeason,perCrop)'!$O:$O,Indicators!BK$7,'Data(perSeason,perCrop)'!$C:$C,Indicators!BK$3,'Data(perSeason,perCrop)'!$R:$R,"IRRIGATED")</f>
        <v>#DIV/0!</v>
      </c>
      <c r="BL75" s="7">
        <f>AVERAGEIFS('Data(perSeason,perCrop)'!$P:$P,'Data(perSeason,perCrop)'!$S:$S,Indicators!$B81,'Data(perSeason,perCrop)'!$O:$O,Indicators!BL$7,'Data(perSeason,perCrop)'!$C:$C,Indicators!BL$3,'Data(perSeason,perCrop)'!$R:$R,"IRRIGATED")</f>
        <v>6490</v>
      </c>
      <c r="BM75" s="7" t="e">
        <f>AVERAGEIFS('Data(perSeason,perCrop)'!$P:$P,'Data(perSeason,perCrop)'!$S:$S,Indicators!$B81,'Data(perSeason,perCrop)'!$O:$O,Indicators!BM$7,'Data(perSeason,perCrop)'!$C:$C,Indicators!BM$3,'Data(perSeason,perCrop)'!$R:$R,"IRRIGATED")</f>
        <v>#DIV/0!</v>
      </c>
      <c r="BN75" s="7">
        <f>AVERAGEIFS('Data(perSeason,perCrop)'!$P:$P,'Data(perSeason,perCrop)'!$S:$S,Indicators!$B81,'Data(perSeason,perCrop)'!$O:$O,Indicators!BN$7,'Data(perSeason,perCrop)'!$C:$C,Indicators!BN$3,'Data(perSeason,perCrop)'!$R:$R,"IRRIGATED")</f>
        <v>6349</v>
      </c>
      <c r="BO75" s="7" t="e">
        <f>AVERAGEIFS('Data(perSeason,perCrop)'!$P:$P,'Data(perSeason,perCrop)'!$S:$S,Indicators!$B81,'Data(perSeason,perCrop)'!$O:$O,Indicators!BO$7,'Data(perSeason,perCrop)'!$C:$C,Indicators!BO$3,'Data(perSeason,perCrop)'!$R:$R,"IRRIGATED")</f>
        <v>#DIV/0!</v>
      </c>
      <c r="BP75" s="7" t="e">
        <f>AVERAGEIFS('Data(perSeason,perCrop)'!$P:$P,'Data(perSeason,perCrop)'!$S:$S,Indicators!$B81,'Data(perSeason,perCrop)'!$O:$O,Indicators!BP$7,'Data(perSeason,perCrop)'!$C:$C,Indicators!BP$3,'Data(perSeason,perCrop)'!$R:$R,"IRRIGATED")</f>
        <v>#DIV/0!</v>
      </c>
      <c r="BQ75" s="7">
        <f>AVERAGEIFS('Data(perSeason,perCrop)'!$P:$P,'Data(perSeason,perCrop)'!$S:$S,Indicators!$B81,'Data(perSeason,perCrop)'!$O:$O,Indicators!BQ$7,'Data(perSeason,perCrop)'!$C:$C,Indicators!BQ$3,'Data(perSeason,perCrop)'!$R:$R,"IRRIGATED")</f>
        <v>7819</v>
      </c>
      <c r="BR75" s="7" t="e">
        <f>AVERAGEIFS('Data(perSeason,perCrop)'!$P:$P,'Data(perSeason,perCrop)'!$S:$S,Indicators!$B81,'Data(perSeason,perCrop)'!$O:$O,Indicators!BR$7,'Data(perSeason,perCrop)'!$C:$C,Indicators!BR$3,'Data(perSeason,perCrop)'!$R:$R,"IRRIGATED")</f>
        <v>#DIV/0!</v>
      </c>
      <c r="BS75" s="7" t="e">
        <f>AVERAGEIFS('Data(perSeason,perCrop)'!$P:$P,'Data(perSeason,perCrop)'!$S:$S,Indicators!$B81,'Data(perSeason,perCrop)'!$O:$O,Indicators!BS$7,'Data(perSeason,perCrop)'!$C:$C,Indicators!BS$3,'Data(perSeason,perCrop)'!$R:$R,"IRRIGATED")</f>
        <v>#DIV/0!</v>
      </c>
      <c r="BT75" s="7" t="e">
        <f>AVERAGEIFS('Data(perSeason,perCrop)'!$P:$P,'Data(perSeason,perCrop)'!$S:$S,Indicators!$B81,'Data(perSeason,perCrop)'!$O:$O,Indicators!BT$7,'Data(perSeason,perCrop)'!$C:$C,Indicators!BT$3,'Data(perSeason,perCrop)'!$R:$R,"IRRIGATED")</f>
        <v>#DIV/0!</v>
      </c>
      <c r="BU75" s="7" t="e">
        <f>AVERAGEIFS('Data(perSeason,perCrop)'!$P:$P,'Data(perSeason,perCrop)'!$S:$S,Indicators!$B81,'Data(perSeason,perCrop)'!$O:$O,Indicators!BU$7,'Data(perSeason,perCrop)'!$C:$C,Indicators!BU$3,'Data(perSeason,perCrop)'!$R:$R,"IRRIGATED")</f>
        <v>#DIV/0!</v>
      </c>
      <c r="BV75" s="7" t="e">
        <f>AVERAGEIFS('Data(perSeason,perCrop)'!$P:$P,'Data(perSeason,perCrop)'!$S:$S,Indicators!$B81,'Data(perSeason,perCrop)'!$O:$O,Indicators!BV$7,'Data(perSeason,perCrop)'!$C:$C,Indicators!BV$3,'Data(perSeason,perCrop)'!$R:$R,"IRRIGATED")</f>
        <v>#DIV/0!</v>
      </c>
      <c r="BW75" s="7" t="e">
        <f>AVERAGEIFS('Data(perSeason,perCrop)'!$P:$P,'Data(perSeason,perCrop)'!$S:$S,Indicators!$B81,'Data(perSeason,perCrop)'!$O:$O,Indicators!BW$7,'Data(perSeason,perCrop)'!$C:$C,Indicators!BW$3,'Data(perSeason,perCrop)'!$R:$R,"IRRIGATED")</f>
        <v>#DIV/0!</v>
      </c>
      <c r="BX75" s="7" t="e">
        <f>AVERAGEIFS('Data(perSeason,perCrop)'!$P:$P,'Data(perSeason,perCrop)'!$S:$S,Indicators!$B81,'Data(perSeason,perCrop)'!$O:$O,Indicators!BX$7,'Data(perSeason,perCrop)'!$C:$C,Indicators!BX$3,'Data(perSeason,perCrop)'!$R:$R,"IRRIGATED")</f>
        <v>#DIV/0!</v>
      </c>
      <c r="BY75" s="7" t="e">
        <f>AVERAGEIFS('Data(perSeason,perCrop)'!$P:$P,'Data(perSeason,perCrop)'!$S:$S,Indicators!$B81,'Data(perSeason,perCrop)'!$O:$O,Indicators!BY$7,'Data(perSeason,perCrop)'!$C:$C,Indicators!BY$3,'Data(perSeason,perCrop)'!$R:$R,"IRRIGATED")</f>
        <v>#DIV/0!</v>
      </c>
      <c r="BZ75" s="7" t="e">
        <f>AVERAGEIFS('Data(perSeason,perCrop)'!$P:$P,'Data(perSeason,perCrop)'!$S:$S,Indicators!$B81,'Data(perSeason,perCrop)'!$O:$O,Indicators!BZ$7,'Data(perSeason,perCrop)'!$C:$C,Indicators!BZ$3,'Data(perSeason,perCrop)'!$R:$R,"IRRIGATED")</f>
        <v>#DIV/0!</v>
      </c>
      <c r="CA75" s="7" t="e">
        <f>AVERAGEIFS('Data(perSeason,perCrop)'!$P:$P,'Data(perSeason,perCrop)'!$S:$S,Indicators!$B81,'Data(perSeason,perCrop)'!$O:$O,Indicators!CA$7,'Data(perSeason,perCrop)'!$C:$C,Indicators!CA$3,'Data(perSeason,perCrop)'!$R:$R,"IRRIGATED")</f>
        <v>#DIV/0!</v>
      </c>
      <c r="CB75" s="7" t="e">
        <f>AVERAGEIFS('Data(perSeason,perCrop)'!$P:$P,'Data(perSeason,perCrop)'!$S:$S,Indicators!$B81,'Data(perSeason,perCrop)'!$O:$O,Indicators!CB$7,'Data(perSeason,perCrop)'!$C:$C,Indicators!CB$3,'Data(perSeason,perCrop)'!$R:$R,"IRRIGATED")</f>
        <v>#DIV/0!</v>
      </c>
      <c r="CC75" s="7" t="e">
        <f>AVERAGEIFS('Data(perSeason,perCrop)'!$P:$P,'Data(perSeason,perCrop)'!$S:$S,Indicators!$B81,'Data(perSeason,perCrop)'!$O:$O,Indicators!CC$7,'Data(perSeason,perCrop)'!$C:$C,Indicators!CC$3,'Data(perSeason,perCrop)'!$R:$R,"IRRIGATED")</f>
        <v>#DIV/0!</v>
      </c>
      <c r="CD75" s="7" t="e">
        <f>AVERAGEIFS('Data(perSeason,perCrop)'!$P:$P,'Data(perSeason,perCrop)'!$S:$S,Indicators!$B81,'Data(perSeason,perCrop)'!$O:$O,Indicators!CD$7,'Data(perSeason,perCrop)'!$C:$C,Indicators!CD$3,'Data(perSeason,perCrop)'!$R:$R,"IRRIGATED")</f>
        <v>#DIV/0!</v>
      </c>
      <c r="CE75" s="7" t="e">
        <f>AVERAGEIFS('Data(perSeason,perCrop)'!$P:$P,'Data(perSeason,perCrop)'!$S:$S,Indicators!$B81,'Data(perSeason,perCrop)'!$O:$O,Indicators!CE$7,'Data(perSeason,perCrop)'!$C:$C,Indicators!CE$3,'Data(perSeason,perCrop)'!$R:$R,"IRRIGATED")</f>
        <v>#DIV/0!</v>
      </c>
      <c r="CF75" s="7" t="e">
        <f>AVERAGEIFS('Data(perSeason,perCrop)'!$P:$P,'Data(perSeason,perCrop)'!$S:$S,Indicators!$B81,'Data(perSeason,perCrop)'!$O:$O,Indicators!CF$7,'Data(perSeason,perCrop)'!$C:$C,Indicators!CF$3,'Data(perSeason,perCrop)'!$R:$R,"IRRIGATED")</f>
        <v>#DIV/0!</v>
      </c>
      <c r="CG75" s="7" t="e">
        <f>AVERAGEIFS('Data(perSeason,perCrop)'!$P:$P,'Data(perSeason,perCrop)'!$S:$S,Indicators!$B81,'Data(perSeason,perCrop)'!$O:$O,Indicators!CG$7,'Data(perSeason,perCrop)'!$C:$C,Indicators!CG$3,'Data(perSeason,perCrop)'!$R:$R,"IRRIGATED")</f>
        <v>#DIV/0!</v>
      </c>
      <c r="CH75" s="7" t="e">
        <f>AVERAGEIFS('Data(perSeason,perCrop)'!$P:$P,'Data(perSeason,perCrop)'!$S:$S,Indicators!$B81,'Data(perSeason,perCrop)'!$O:$O,Indicators!CH$7,'Data(perSeason,perCrop)'!$C:$C,Indicators!CH$3,'Data(perSeason,perCrop)'!$R:$R,"IRRIGATED")</f>
        <v>#DIV/0!</v>
      </c>
      <c r="CI75" s="7" t="e">
        <f>AVERAGEIFS('Data(perSeason,perCrop)'!$P:$P,'Data(perSeason,perCrop)'!$S:$S,Indicators!$B81,'Data(perSeason,perCrop)'!$O:$O,Indicators!CI$7,'Data(perSeason,perCrop)'!$C:$C,Indicators!CI$3,'Data(perSeason,perCrop)'!$R:$R,"IRRIGATED")</f>
        <v>#DIV/0!</v>
      </c>
      <c r="CJ75" s="7" t="e">
        <f>AVERAGEIFS('Data(perSeason,perCrop)'!$P:$P,'Data(perSeason,perCrop)'!$S:$S,Indicators!$B81,'Data(perSeason,perCrop)'!$O:$O,Indicators!CJ$7,'Data(perSeason,perCrop)'!$C:$C,Indicators!CJ$3,'Data(perSeason,perCrop)'!$R:$R,"IRRIGATED")</f>
        <v>#DIV/0!</v>
      </c>
      <c r="CK75" s="7" t="e">
        <f>AVERAGEIFS('Data(perSeason,perCrop)'!$P:$P,'Data(perSeason,perCrop)'!$S:$S,Indicators!$B81,'Data(perSeason,perCrop)'!$O:$O,Indicators!CK$7,'Data(perSeason,perCrop)'!$C:$C,Indicators!CK$3,'Data(perSeason,perCrop)'!$R:$R,"IRRIGATED")</f>
        <v>#DIV/0!</v>
      </c>
      <c r="CL75" s="7" t="e">
        <f>AVERAGEIFS('Data(perSeason,perCrop)'!$P:$P,'Data(perSeason,perCrop)'!$S:$S,Indicators!$B81,'Data(perSeason,perCrop)'!$O:$O,Indicators!CL$7,'Data(perSeason,perCrop)'!$C:$C,Indicators!CL$3,'Data(perSeason,perCrop)'!$R:$R,"IRRIGATED")</f>
        <v>#DIV/0!</v>
      </c>
      <c r="CM75" s="7" t="e">
        <f>AVERAGEIFS('Data(perSeason,perCrop)'!$P:$P,'Data(perSeason,perCrop)'!$S:$S,Indicators!$B81,'Data(perSeason,perCrop)'!$O:$O,Indicators!CM$7,'Data(perSeason,perCrop)'!$C:$C,Indicators!CM$3,'Data(perSeason,perCrop)'!$R:$R,"IRRIGATED")</f>
        <v>#DIV/0!</v>
      </c>
      <c r="CN75" s="7" t="e">
        <f>AVERAGEIFS('Data(perSeason,perCrop)'!$P:$P,'Data(perSeason,perCrop)'!$S:$S,Indicators!$B81,'Data(perSeason,perCrop)'!$O:$O,Indicators!CN$7,'Data(perSeason,perCrop)'!$C:$C,Indicators!CN$3,'Data(perSeason,perCrop)'!$R:$R,"IRRIGATED")</f>
        <v>#DIV/0!</v>
      </c>
      <c r="CO75" s="7" t="e">
        <f>AVERAGEIFS('Data(perSeason,perCrop)'!$P:$P,'Data(perSeason,perCrop)'!$S:$S,Indicators!$B81,'Data(perSeason,perCrop)'!$O:$O,Indicators!CO$7,'Data(perSeason,perCrop)'!$C:$C,Indicators!CO$3,'Data(perSeason,perCrop)'!$R:$R,"IRRIGATED")</f>
        <v>#DIV/0!</v>
      </c>
      <c r="CP75" s="7">
        <f>AVERAGEIFS('Data(perSeason,perCrop)'!$P:$P,'Data(perSeason,perCrop)'!$S:$S,Indicators!$B81,'Data(perSeason,perCrop)'!$O:$O,Indicators!CP$7,'Data(perSeason,perCrop)'!$C:$C,Indicators!CP$3,'Data(perSeason,perCrop)'!$R:$R,"IRRIGATED")</f>
        <v>5503</v>
      </c>
      <c r="CQ75" s="7">
        <f>AVERAGEIFS('Data(perSeason,perCrop)'!$P:$P,'Data(perSeason,perCrop)'!$S:$S,Indicators!$B81,'Data(perSeason,perCrop)'!$O:$O,Indicators!CQ$7,'Data(perSeason,perCrop)'!$C:$C,Indicators!CQ$3,'Data(perSeason,perCrop)'!$R:$R,"IRRIGATED")</f>
        <v>4107</v>
      </c>
      <c r="CR75" s="7" t="e">
        <f>AVERAGEIFS('Data(perSeason,perCrop)'!$P:$P,'Data(perSeason,perCrop)'!$S:$S,Indicators!$B81,'Data(perSeason,perCrop)'!$O:$O,Indicators!CR$7,'Data(perSeason,perCrop)'!$C:$C,Indicators!CR$3,'Data(perSeason,perCrop)'!$R:$R,"IRRIGATED")</f>
        <v>#DIV/0!</v>
      </c>
      <c r="CS75" s="7">
        <f>AVERAGEIFS('Data(perSeason,perCrop)'!$P:$P,'Data(perSeason,perCrop)'!$S:$S,Indicators!$B81,'Data(perSeason,perCrop)'!$O:$O,Indicators!CS$7,'Data(perSeason,perCrop)'!$C:$C,Indicators!CS$3,'Data(perSeason,perCrop)'!$R:$R,"IRRIGATED")</f>
        <v>4055</v>
      </c>
      <c r="CT75" s="7" t="e">
        <f>AVERAGEIFS('Data(perSeason,perCrop)'!$P:$P,'Data(perSeason,perCrop)'!$S:$S,Indicators!$B81,'Data(perSeason,perCrop)'!$O:$O,Indicators!CT$7,'Data(perSeason,perCrop)'!$C:$C,Indicators!CT$3,'Data(perSeason,perCrop)'!$R:$R,"IRRIGATED")</f>
        <v>#DIV/0!</v>
      </c>
      <c r="CU75" s="7" t="e">
        <f>AVERAGEIFS('Data(perSeason,perCrop)'!$P:$P,'Data(perSeason,perCrop)'!$S:$S,Indicators!$B81,'Data(perSeason,perCrop)'!$O:$O,Indicators!CU$7,'Data(perSeason,perCrop)'!$C:$C,Indicators!CU$3,'Data(perSeason,perCrop)'!$R:$R,"IRRIGATED")</f>
        <v>#DIV/0!</v>
      </c>
      <c r="CV75" s="7">
        <f>AVERAGEIFS('Data(perSeason,perCrop)'!$P:$P,'Data(perSeason,perCrop)'!$S:$S,Indicators!$B81,'Data(perSeason,perCrop)'!$O:$O,Indicators!CV$7,'Data(perSeason,perCrop)'!$C:$C,Indicators!CV$3,'Data(perSeason,perCrop)'!$R:$R,"IRRIGATED")</f>
        <v>5210</v>
      </c>
      <c r="CW75" s="7" t="e">
        <f>AVERAGEIFS('Data(perSeason,perCrop)'!$P:$P,'Data(perSeason,perCrop)'!$S:$S,Indicators!$B81,'Data(perSeason,perCrop)'!$O:$O,Indicators!CW$7,'Data(perSeason,perCrop)'!$C:$C,Indicators!CW$3,'Data(perSeason,perCrop)'!$R:$R,"IRRIGATED")</f>
        <v>#DIV/0!</v>
      </c>
      <c r="CX75" s="7" t="e">
        <f>AVERAGEIFS('Data(perSeason,perCrop)'!$P:$P,'Data(perSeason,perCrop)'!$S:$S,Indicators!$B81,'Data(perSeason,perCrop)'!$O:$O,Indicators!CX$7,'Data(perSeason,perCrop)'!$C:$C,Indicators!CX$3,'Data(perSeason,perCrop)'!$R:$R,"IRRIGATED")</f>
        <v>#DIV/0!</v>
      </c>
      <c r="CY75" s="7" t="e">
        <f>AVERAGEIFS('Data(perSeason,perCrop)'!$P:$P,'Data(perSeason,perCrop)'!$S:$S,Indicators!$B81,'Data(perSeason,perCrop)'!$O:$O,Indicators!CY$7,'Data(perSeason,perCrop)'!$C:$C,Indicators!CY$3,'Data(perSeason,perCrop)'!$R:$R,"IRRIGATED")</f>
        <v>#DIV/0!</v>
      </c>
      <c r="CZ75" s="7" t="e">
        <f>AVERAGEIFS('Data(perSeason,perCrop)'!$P:$P,'Data(perSeason,perCrop)'!$S:$S,Indicators!$B81,'Data(perSeason,perCrop)'!$O:$O,Indicators!CZ$7,'Data(perSeason,perCrop)'!$C:$C,Indicators!CZ$3,'Data(perSeason,perCrop)'!$R:$R,"IRRIGATED")</f>
        <v>#DIV/0!</v>
      </c>
      <c r="DA75" s="7" t="e">
        <f>AVERAGEIFS('Data(perSeason,perCrop)'!$P:$P,'Data(perSeason,perCrop)'!$S:$S,Indicators!$B81,'Data(perSeason,perCrop)'!$O:$O,Indicators!DA$7,'Data(perSeason,perCrop)'!$C:$C,Indicators!DA$3,'Data(perSeason,perCrop)'!$R:$R,"IRRIGATED")</f>
        <v>#DIV/0!</v>
      </c>
      <c r="DB75" s="7" t="e">
        <f>AVERAGEIFS('Data(perSeason,perCrop)'!$P:$P,'Data(perSeason,perCrop)'!$S:$S,Indicators!$B81,'Data(perSeason,perCrop)'!$O:$O,Indicators!DB$7,'Data(perSeason,perCrop)'!$C:$C,Indicators!DB$3,'Data(perSeason,perCrop)'!$R:$R,"IRRIGATED")</f>
        <v>#DIV/0!</v>
      </c>
      <c r="DC75" s="7" t="e">
        <f>AVERAGEIFS('Data(perSeason,perCrop)'!$P:$P,'Data(perSeason,perCrop)'!$S:$S,Indicators!$B81,'Data(perSeason,perCrop)'!$O:$O,Indicators!DC$7,'Data(perSeason,perCrop)'!$C:$C,Indicators!DC$3,'Data(perSeason,perCrop)'!$R:$R,"IRRIGATED")</f>
        <v>#DIV/0!</v>
      </c>
      <c r="DD75" s="7" t="e">
        <f>AVERAGEIFS('Data(perSeason,perCrop)'!$P:$P,'Data(perSeason,perCrop)'!$S:$S,Indicators!$B81,'Data(perSeason,perCrop)'!$O:$O,Indicators!DD$7,'Data(perSeason,perCrop)'!$C:$C,Indicators!DD$3,'Data(perSeason,perCrop)'!$R:$R,"IRRIGATED")</f>
        <v>#DIV/0!</v>
      </c>
      <c r="DE75" s="7" t="e">
        <f>AVERAGEIFS('Data(perSeason,perCrop)'!$P:$P,'Data(perSeason,perCrop)'!$S:$S,Indicators!$B81,'Data(perSeason,perCrop)'!$O:$O,Indicators!DE$7,'Data(perSeason,perCrop)'!$C:$C,Indicators!DE$3,'Data(perSeason,perCrop)'!$R:$R,"IRRIGATED")</f>
        <v>#DIV/0!</v>
      </c>
      <c r="DF75" s="7" t="e">
        <f>AVERAGEIFS('Data(perSeason,perCrop)'!$P:$P,'Data(perSeason,perCrop)'!$S:$S,Indicators!$B81,'Data(perSeason,perCrop)'!$O:$O,Indicators!DF$7,'Data(perSeason,perCrop)'!$C:$C,Indicators!DF$3,'Data(perSeason,perCrop)'!$R:$R,"IRRIGATED")</f>
        <v>#DIV/0!</v>
      </c>
      <c r="DG75" s="7" t="e">
        <f>AVERAGEIFS('Data(perSeason,perCrop)'!$P:$P,'Data(perSeason,perCrop)'!$S:$S,Indicators!$B81,'Data(perSeason,perCrop)'!$O:$O,Indicators!DG$7,'Data(perSeason,perCrop)'!$C:$C,Indicators!DG$3,'Data(perSeason,perCrop)'!$R:$R,"IRRIGATED")</f>
        <v>#DIV/0!</v>
      </c>
    </row>
    <row r="76" spans="1:111" x14ac:dyDescent="0.25">
      <c r="A76" t="s">
        <v>75</v>
      </c>
      <c r="B76">
        <v>2020</v>
      </c>
      <c r="C76" s="8">
        <f>IF(COUNTIFS('Data(perSeason,perCrop)'!$S:$S,Indicators!$B70)&gt;0,AVERAGEIFS('Data(perSeason,perCrop)'!$I:$I,'Data(perSeason,perCrop)'!$S:$S,Indicators!$B76,'Data(perSeason,perCrop)'!$O:$O,Indicators!C$7,'Data(perSeason,perCrop)'!$R:$R,"IRRIGATED"),"")</f>
        <v>0.485414820537721</v>
      </c>
      <c r="D76" s="8">
        <f>IF(COUNTIFS('Data(perSeason,perCrop)'!$S:$S,Indicators!$B70)&gt;0,AVERAGEIFS('Data(perSeason,perCrop)'!$I:$I,'Data(perSeason,perCrop)'!$S:$S,Indicators!$B76,'Data(perSeason,perCrop)'!$O:$O,Indicators!D$7,'Data(perSeason,perCrop)'!$R:$R,"IRRIGATED"),"")</f>
        <v>0.44241038492330598</v>
      </c>
      <c r="E76" s="8">
        <f>IF(COUNTIFS('Data(perSeason,perCrop)'!$S:$S,Indicators!$B70)&gt;0,AVERAGEIFS('Data(perSeason,perCrop)'!$I:$I,'Data(perSeason,perCrop)'!$S:$S,Indicators!$B76,'Data(perSeason,perCrop)'!$O:$O,Indicators!E$7,'Data(perSeason,perCrop)'!$R:$R,"IRRIGATED"),"")</f>
        <v>0.33515564576896401</v>
      </c>
      <c r="F76" s="8">
        <f>IF(COUNTIFS('Data(perSeason,perCrop)'!$S:$S,Indicators!$B70)&gt;0,AVERAGEIFS('Data(perSeason,perCrop)'!$I:$I,'Data(perSeason,perCrop)'!$S:$S,Indicators!$B76,'Data(perSeason,perCrop)'!$O:$O,Indicators!F$7,'Data(perSeason,perCrop)'!$R:$R,"IRRIGATED"),"")</f>
        <v>0.7909522409439721</v>
      </c>
      <c r="J76" s="2" t="s">
        <v>36</v>
      </c>
      <c r="K76" s="7">
        <f>AVERAGEIFS('Data(perSeason,perCrop)'!$P:$P,'Data(perSeason,perCrop)'!$S:$S,Indicators!$B82,'Data(perSeason,perCrop)'!$O:$O,Indicators!K$7,'Data(perSeason,perCrop)'!$C:$C,Indicators!K$3,'Data(perSeason,perCrop)'!$R:$R,"IRRIGATED")</f>
        <v>8161</v>
      </c>
      <c r="L76" s="7">
        <f>AVERAGEIFS('Data(perSeason,perCrop)'!$P:$P,'Data(perSeason,perCrop)'!$S:$S,Indicators!$B82,'Data(perSeason,perCrop)'!$O:$O,Indicators!L$7,'Data(perSeason,perCrop)'!$C:$C,Indicators!L$3,'Data(perSeason,perCrop)'!$R:$R,"IRRIGATED")</f>
        <v>8783</v>
      </c>
      <c r="M76" s="7">
        <f>AVERAGEIFS('Data(perSeason,perCrop)'!$P:$P,'Data(perSeason,perCrop)'!$S:$S,Indicators!$B82,'Data(perSeason,perCrop)'!$O:$O,Indicators!M$7,'Data(perSeason,perCrop)'!$C:$C,Indicators!M$3,'Data(perSeason,perCrop)'!$R:$R,"IRRIGATED")</f>
        <v>9935</v>
      </c>
      <c r="N76" s="7">
        <f>AVERAGEIFS('Data(perSeason,perCrop)'!$P:$P,'Data(perSeason,perCrop)'!$S:$S,Indicators!$B82,'Data(perSeason,perCrop)'!$O:$O,Indicators!N$7,'Data(perSeason,perCrop)'!$C:$C,Indicators!N$3,'Data(perSeason,perCrop)'!$R:$R,"IRRIGATED")</f>
        <v>16052</v>
      </c>
      <c r="O76" s="7">
        <f>AVERAGEIFS('Data(perSeason,perCrop)'!$P:$P,'Data(perSeason,perCrop)'!$S:$S,Indicators!$B82,'Data(perSeason,perCrop)'!$O:$O,Indicators!O$7,'Data(perSeason,perCrop)'!$C:$C,Indicators!O$3,'Data(perSeason,perCrop)'!$R:$R,"IRRIGATED")</f>
        <v>8876</v>
      </c>
      <c r="P76" s="7" t="e">
        <f>AVERAGEIFS('Data(perSeason,perCrop)'!$P:$P,'Data(perSeason,perCrop)'!$S:$S,Indicators!$B82,'Data(perSeason,perCrop)'!$O:$O,Indicators!P$7,'Data(perSeason,perCrop)'!$C:$C,Indicators!P$3,'Data(perSeason,perCrop)'!$R:$R,"IRRIGATED")</f>
        <v>#DIV/0!</v>
      </c>
      <c r="Q76" s="7">
        <f>AVERAGEIFS('Data(perSeason,perCrop)'!$P:$P,'Data(perSeason,perCrop)'!$S:$S,Indicators!$B82,'Data(perSeason,perCrop)'!$O:$O,Indicators!Q$7,'Data(perSeason,perCrop)'!$C:$C,Indicators!Q$3,'Data(perSeason,perCrop)'!$R:$R,"IRRIGATED")</f>
        <v>12185</v>
      </c>
      <c r="R76" s="7" t="e">
        <f>AVERAGEIFS('Data(perSeason,perCrop)'!$P:$P,'Data(perSeason,perCrop)'!$S:$S,Indicators!$B82,'Data(perSeason,perCrop)'!$O:$O,Indicators!R$7,'Data(perSeason,perCrop)'!$C:$C,Indicators!R$3,'Data(perSeason,perCrop)'!$R:$R,"IRRIGATED")</f>
        <v>#DIV/0!</v>
      </c>
      <c r="S76" s="62" t="e">
        <f>AVERAGEIFS('Data(perSeason,perCrop)'!$P:$P,'Data(perSeason,perCrop)'!$S:$S,Indicators!$B82,'Data(perSeason,perCrop)'!$O:$O,Indicators!S$7,'Data(perSeason,perCrop)'!$C:$C,Indicators!S$3,'Data(perSeason,perCrop)'!$R:$R,"IRRIGATED")</f>
        <v>#DIV/0!</v>
      </c>
      <c r="T76" s="62">
        <f>AVERAGEIFS('Data(perSeason,perCrop)'!$P:$P,'Data(perSeason,perCrop)'!$S:$S,Indicators!$B82,'Data(perSeason,perCrop)'!$O:$O,Indicators!T$7,'Data(perSeason,perCrop)'!$C:$C,Indicators!T$3,'Data(perSeason,perCrop)'!$R:$R,"IRRIGATED")</f>
        <v>4441</v>
      </c>
      <c r="U76" s="62" t="e">
        <f>AVERAGEIFS('Data(perSeason,perCrop)'!$P:$P,'Data(perSeason,perCrop)'!$S:$S,Indicators!$B82,'Data(perSeason,perCrop)'!$O:$O,Indicators!U$7,'Data(perSeason,perCrop)'!$C:$C,Indicators!U$3,'Data(perSeason,perCrop)'!$R:$R,"IRRIGATED")</f>
        <v>#DIV/0!</v>
      </c>
      <c r="V76" s="62" t="e">
        <f>AVERAGEIFS('Data(perSeason,perCrop)'!$P:$P,'Data(perSeason,perCrop)'!$S:$S,Indicators!$B82,'Data(perSeason,perCrop)'!$O:$O,Indicators!V$7,'Data(perSeason,perCrop)'!$C:$C,Indicators!V$3,'Data(perSeason,perCrop)'!$R:$R,"IRRIGATED")</f>
        <v>#DIV/0!</v>
      </c>
      <c r="W76" s="62" t="e">
        <f>AVERAGEIFS('Data(perSeason,perCrop)'!$P:$P,'Data(perSeason,perCrop)'!$S:$S,Indicators!$B82,'Data(perSeason,perCrop)'!$O:$O,Indicators!W$7,'Data(perSeason,perCrop)'!$C:$C,Indicators!W$3,'Data(perSeason,perCrop)'!$R:$R,"IRRIGATED")</f>
        <v>#DIV/0!</v>
      </c>
      <c r="X76" s="62" t="e">
        <f>AVERAGEIFS('Data(perSeason,perCrop)'!$P:$P,'Data(perSeason,perCrop)'!$S:$S,Indicators!$B82,'Data(perSeason,perCrop)'!$O:$O,Indicators!X$7,'Data(perSeason,perCrop)'!$C:$C,Indicators!X$3,'Data(perSeason,perCrop)'!$R:$R,"IRRIGATED")</f>
        <v>#DIV/0!</v>
      </c>
      <c r="Y76" s="62" t="e">
        <f>AVERAGEIFS('Data(perSeason,perCrop)'!$P:$P,'Data(perSeason,perCrop)'!$S:$S,Indicators!$B82,'Data(perSeason,perCrop)'!$O:$O,Indicators!Y$7,'Data(perSeason,perCrop)'!$C:$C,Indicators!Y$3,'Data(perSeason,perCrop)'!$R:$R,"IRRIGATED")</f>
        <v>#DIV/0!</v>
      </c>
      <c r="Z76" s="62" t="e">
        <f>AVERAGEIFS('Data(perSeason,perCrop)'!$P:$P,'Data(perSeason,perCrop)'!$S:$S,Indicators!$B82,'Data(perSeason,perCrop)'!$O:$O,Indicators!Z$7,'Data(perSeason,perCrop)'!$C:$C,Indicators!Z$3,'Data(perSeason,perCrop)'!$R:$R,"IRRIGATED")</f>
        <v>#DIV/0!</v>
      </c>
      <c r="AA76" s="62" t="e">
        <f>AVERAGEIFS('Data(perSeason,perCrop)'!$P:$P,'Data(perSeason,perCrop)'!$S:$S,Indicators!$B82,'Data(perSeason,perCrop)'!$O:$O,Indicators!AA$7,'Data(perSeason,perCrop)'!$C:$C,Indicators!AA$3,'Data(perSeason,perCrop)'!$R:$R,"IRRIGATED")</f>
        <v>#DIV/0!</v>
      </c>
      <c r="AB76" s="62" t="e">
        <f>AVERAGEIFS('Data(perSeason,perCrop)'!$P:$P,'Data(perSeason,perCrop)'!$S:$S,Indicators!$B82,'Data(perSeason,perCrop)'!$O:$O,Indicators!AB$7,'Data(perSeason,perCrop)'!$C:$C,Indicators!AB$3,'Data(perSeason,perCrop)'!$R:$R,"IRRIGATED")</f>
        <v>#DIV/0!</v>
      </c>
      <c r="AC76" s="62" t="e">
        <f>AVERAGEIFS('Data(perSeason,perCrop)'!$P:$P,'Data(perSeason,perCrop)'!$S:$S,Indicators!$B82,'Data(perSeason,perCrop)'!$O:$O,Indicators!AC$7,'Data(perSeason,perCrop)'!$C:$C,Indicators!AC$3,'Data(perSeason,perCrop)'!$R:$R,"IRRIGATED")</f>
        <v>#DIV/0!</v>
      </c>
      <c r="AD76" s="62" t="e">
        <f>AVERAGEIFS('Data(perSeason,perCrop)'!$P:$P,'Data(perSeason,perCrop)'!$S:$S,Indicators!$B82,'Data(perSeason,perCrop)'!$O:$O,Indicators!AD$7,'Data(perSeason,perCrop)'!$C:$C,Indicators!AD$3,'Data(perSeason,perCrop)'!$R:$R,"IRRIGATED")</f>
        <v>#DIV/0!</v>
      </c>
      <c r="AE76" s="62" t="e">
        <f>AVERAGEIFS('Data(perSeason,perCrop)'!$P:$P,'Data(perSeason,perCrop)'!$S:$S,Indicators!$B82,'Data(perSeason,perCrop)'!$O:$O,Indicators!AE$7,'Data(perSeason,perCrop)'!$C:$C,Indicators!AE$3,'Data(perSeason,perCrop)'!$R:$R,"IRRIGATED")</f>
        <v>#DIV/0!</v>
      </c>
      <c r="AF76" s="62">
        <f>AVERAGEIFS('Data(perSeason,perCrop)'!$P:$P,'Data(perSeason,perCrop)'!$S:$S,Indicators!$B82,'Data(perSeason,perCrop)'!$O:$O,Indicators!AF$7,'Data(perSeason,perCrop)'!$C:$C,Indicators!AF$3,'Data(perSeason,perCrop)'!$R:$R,"IRRIGATED")</f>
        <v>5696</v>
      </c>
      <c r="AG76" s="62">
        <f>AVERAGEIFS('Data(perSeason,perCrop)'!$P:$P,'Data(perSeason,perCrop)'!$S:$S,Indicators!$B82,'Data(perSeason,perCrop)'!$O:$O,Indicators!AG$7,'Data(perSeason,perCrop)'!$C:$C,Indicators!AG$3,'Data(perSeason,perCrop)'!$R:$R,"IRRIGATED")</f>
        <v>4695</v>
      </c>
      <c r="AH76" s="62" t="e">
        <f>AVERAGEIFS('Data(perSeason,perCrop)'!$P:$P,'Data(perSeason,perCrop)'!$S:$S,Indicators!$B82,'Data(perSeason,perCrop)'!$O:$O,Indicators!AH$7,'Data(perSeason,perCrop)'!$C:$C,Indicators!AH$3,'Data(perSeason,perCrop)'!$R:$R,"IRRIGATED")</f>
        <v>#DIV/0!</v>
      </c>
      <c r="AI76" s="62">
        <f>AVERAGEIFS('Data(perSeason,perCrop)'!$P:$P,'Data(perSeason,perCrop)'!$S:$S,Indicators!$B82,'Data(perSeason,perCrop)'!$O:$O,Indicators!AI$7,'Data(perSeason,perCrop)'!$C:$C,Indicators!AI$3,'Data(perSeason,perCrop)'!$R:$R,"IRRIGATED")</f>
        <v>4863</v>
      </c>
      <c r="AJ76" s="62" t="e">
        <f>AVERAGEIFS('Data(perSeason,perCrop)'!$P:$P,'Data(perSeason,perCrop)'!$S:$S,Indicators!$B82,'Data(perSeason,perCrop)'!$O:$O,Indicators!AJ$7,'Data(perSeason,perCrop)'!$C:$C,Indicators!AJ$3,'Data(perSeason,perCrop)'!$R:$R,"IRRIGATED")</f>
        <v>#DIV/0!</v>
      </c>
      <c r="AK76" s="62" t="e">
        <f>AVERAGEIFS('Data(perSeason,perCrop)'!$P:$P,'Data(perSeason,perCrop)'!$S:$S,Indicators!$B82,'Data(perSeason,perCrop)'!$O:$O,Indicators!AK$7,'Data(perSeason,perCrop)'!$C:$C,Indicators!AK$3,'Data(perSeason,perCrop)'!$R:$R,"IRRIGATED")</f>
        <v>#DIV/0!</v>
      </c>
      <c r="AL76" s="62">
        <f>AVERAGEIFS('Data(perSeason,perCrop)'!$P:$P,'Data(perSeason,perCrop)'!$S:$S,Indicators!$B82,'Data(perSeason,perCrop)'!$O:$O,Indicators!AL$7,'Data(perSeason,perCrop)'!$C:$C,Indicators!AL$3,'Data(perSeason,perCrop)'!$R:$R,"IRRIGATED")</f>
        <v>4788</v>
      </c>
      <c r="AM76" s="62" t="e">
        <f>AVERAGEIFS('Data(perSeason,perCrop)'!$P:$P,'Data(perSeason,perCrop)'!$S:$S,Indicators!$B82,'Data(perSeason,perCrop)'!$O:$O,Indicators!AM$7,'Data(perSeason,perCrop)'!$C:$C,Indicators!AM$3,'Data(perSeason,perCrop)'!$R:$R,"IRRIGATED")</f>
        <v>#DIV/0!</v>
      </c>
      <c r="AN76" s="62" t="e">
        <f>AVERAGEIFS('Data(perSeason,perCrop)'!$P:$P,'Data(perSeason,perCrop)'!$S:$S,Indicators!$B82,'Data(perSeason,perCrop)'!$O:$O,Indicators!AN$7,'Data(perSeason,perCrop)'!$C:$C,Indicators!AN$3,'Data(perSeason,perCrop)'!$R:$R,"IRRIGATED")</f>
        <v>#DIV/0!</v>
      </c>
      <c r="AO76" s="62" t="e">
        <f>AVERAGEIFS('Data(perSeason,perCrop)'!$P:$P,'Data(perSeason,perCrop)'!$S:$S,Indicators!$B82,'Data(perSeason,perCrop)'!$O:$O,Indicators!AO$7,'Data(perSeason,perCrop)'!$C:$C,Indicators!AO$3,'Data(perSeason,perCrop)'!$R:$R,"IRRIGATED")</f>
        <v>#DIV/0!</v>
      </c>
      <c r="AP76" s="62" t="e">
        <f>AVERAGEIFS('Data(perSeason,perCrop)'!$P:$P,'Data(perSeason,perCrop)'!$S:$S,Indicators!$B82,'Data(perSeason,perCrop)'!$O:$O,Indicators!AP$7,'Data(perSeason,perCrop)'!$C:$C,Indicators!AP$3,'Data(perSeason,perCrop)'!$R:$R,"IRRIGATED")</f>
        <v>#DIV/0!</v>
      </c>
      <c r="AQ76" s="62" t="e">
        <f>AVERAGEIFS('Data(perSeason,perCrop)'!$P:$P,'Data(perSeason,perCrop)'!$S:$S,Indicators!$B82,'Data(perSeason,perCrop)'!$O:$O,Indicators!AQ$7,'Data(perSeason,perCrop)'!$C:$C,Indicators!AQ$3,'Data(perSeason,perCrop)'!$R:$R,"IRRIGATED")</f>
        <v>#DIV/0!</v>
      </c>
      <c r="AR76" s="62" t="e">
        <f>AVERAGEIFS('Data(perSeason,perCrop)'!$P:$P,'Data(perSeason,perCrop)'!$S:$S,Indicators!$B82,'Data(perSeason,perCrop)'!$O:$O,Indicators!AR$7,'Data(perSeason,perCrop)'!$C:$C,Indicators!AR$3,'Data(perSeason,perCrop)'!$R:$R,"IRRIGATED")</f>
        <v>#DIV/0!</v>
      </c>
      <c r="AS76" s="62" t="e">
        <f>AVERAGEIFS('Data(perSeason,perCrop)'!$P:$P,'Data(perSeason,perCrop)'!$S:$S,Indicators!$B82,'Data(perSeason,perCrop)'!$O:$O,Indicators!AS$7,'Data(perSeason,perCrop)'!$C:$C,Indicators!AS$3,'Data(perSeason,perCrop)'!$R:$R,"IRRIGATED")</f>
        <v>#DIV/0!</v>
      </c>
      <c r="AT76" s="62" t="e">
        <f>AVERAGEIFS('Data(perSeason,perCrop)'!$P:$P,'Data(perSeason,perCrop)'!$S:$S,Indicators!$B82,'Data(perSeason,perCrop)'!$O:$O,Indicators!AT$7,'Data(perSeason,perCrop)'!$C:$C,Indicators!AT$3,'Data(perSeason,perCrop)'!$R:$R,"IRRIGATED")</f>
        <v>#DIV/0!</v>
      </c>
      <c r="AU76" s="62" t="e">
        <f>AVERAGEIFS('Data(perSeason,perCrop)'!$P:$P,'Data(perSeason,perCrop)'!$S:$S,Indicators!$B82,'Data(perSeason,perCrop)'!$O:$O,Indicators!AU$7,'Data(perSeason,perCrop)'!$C:$C,Indicators!AU$3,'Data(perSeason,perCrop)'!$R:$R,"IRRIGATED")</f>
        <v>#DIV/0!</v>
      </c>
      <c r="AV76" s="62" t="e">
        <f>AVERAGEIFS('Data(perSeason,perCrop)'!$P:$P,'Data(perSeason,perCrop)'!$S:$S,Indicators!$B82,'Data(perSeason,perCrop)'!$O:$O,Indicators!AV$7,'Data(perSeason,perCrop)'!$C:$C,Indicators!AV$3,'Data(perSeason,perCrop)'!$R:$R,"IRRIGATED")</f>
        <v>#DIV/0!</v>
      </c>
      <c r="AW76" s="62" t="e">
        <f>AVERAGEIFS('Data(perSeason,perCrop)'!$P:$P,'Data(perSeason,perCrop)'!$S:$S,Indicators!$B82,'Data(perSeason,perCrop)'!$O:$O,Indicators!AW$7,'Data(perSeason,perCrop)'!$C:$C,Indicators!AW$3,'Data(perSeason,perCrop)'!$R:$R,"IRRIGATED")</f>
        <v>#DIV/0!</v>
      </c>
      <c r="AX76" s="7"/>
      <c r="AY76" s="7">
        <f>AVERAGEIFS('Data(perSeason,perCrop)'!$P:$P,'Data(perSeason,perCrop)'!$S:$S,Indicators!$B82,'Data(perSeason,perCrop)'!$O:$O,Indicators!AY$7,'Data(perSeason,perCrop)'!$C:$C,Indicators!AY$3,'Data(perSeason,perCrop)'!$R:$R,"IRRIGATED")</f>
        <v>5201</v>
      </c>
      <c r="AZ76" s="7" t="e">
        <f>AVERAGEIFS('Data(perSeason,perCrop)'!$P:$P,'Data(perSeason,perCrop)'!$S:$S,Indicators!$B82,'Data(perSeason,perCrop)'!$O:$O,Indicators!AZ$7,'Data(perSeason,perCrop)'!$C:$C,Indicators!AZ$3,'Data(perSeason,perCrop)'!$R:$R,"IRRIGATED")</f>
        <v>#DIV/0!</v>
      </c>
      <c r="BA76" s="7"/>
      <c r="BB76" s="7" t="e">
        <f>AVERAGEIFS('Data(perSeason,perCrop)'!$P:$P,'Data(perSeason,perCrop)'!$S:$S,Indicators!$B82,'Data(perSeason,perCrop)'!$O:$O,Indicators!BB$7,'Data(perSeason,perCrop)'!$C:$C,Indicators!BB$3,'Data(perSeason,perCrop)'!$R:$R,"IRRIGATED")</f>
        <v>#DIV/0!</v>
      </c>
      <c r="BC76" s="7" t="e">
        <f>AVERAGEIFS('Data(perSeason,perCrop)'!$P:$P,'Data(perSeason,perCrop)'!$S:$S,Indicators!$B82,'Data(perSeason,perCrop)'!$O:$O,Indicators!BC$7,'Data(perSeason,perCrop)'!$C:$C,Indicators!BC$3,'Data(perSeason,perCrop)'!$R:$R,"IRRIGATED")</f>
        <v>#DIV/0!</v>
      </c>
      <c r="BD76" s="7" t="e">
        <f>AVERAGEIFS('Data(perSeason,perCrop)'!$P:$P,'Data(perSeason,perCrop)'!$S:$S,Indicators!$B82,'Data(perSeason,perCrop)'!$O:$O,Indicators!BD$7,'Data(perSeason,perCrop)'!$C:$C,Indicators!BD$3,'Data(perSeason,perCrop)'!$R:$R,"IRRIGATED")</f>
        <v>#DIV/0!</v>
      </c>
      <c r="BE76" s="7" t="e">
        <f>AVERAGEIFS('Data(perSeason,perCrop)'!$P:$P,'Data(perSeason,perCrop)'!$S:$S,Indicators!$B82,'Data(perSeason,perCrop)'!$O:$O,Indicators!BE$7,'Data(perSeason,perCrop)'!$C:$C,Indicators!BE$3,'Data(perSeason,perCrop)'!$R:$R,"IRRIGATED")</f>
        <v>#DIV/0!</v>
      </c>
      <c r="BF76" s="7"/>
      <c r="BG76" s="7" t="e">
        <f>AVERAGEIFS('Data(perSeason,perCrop)'!$P:$P,'Data(perSeason,perCrop)'!$S:$S,Indicators!$B82,'Data(perSeason,perCrop)'!$O:$O,Indicators!BG$7,'Data(perSeason,perCrop)'!$C:$C,Indicators!BG$3,'Data(perSeason,perCrop)'!$R:$R,"IRRIGATED")</f>
        <v>#DIV/0!</v>
      </c>
      <c r="BH76" s="7"/>
      <c r="BI76" s="7" t="e">
        <f>AVERAGEIFS('Data(perSeason,perCrop)'!$P:$P,'Data(perSeason,perCrop)'!$S:$S,Indicators!$B82,'Data(perSeason,perCrop)'!$O:$O,Indicators!BI$7,'Data(perSeason,perCrop)'!$C:$C,Indicators!BI$3,'Data(perSeason,perCrop)'!$R:$R,"IRRIGATED")</f>
        <v>#DIV/0!</v>
      </c>
      <c r="BJ76" s="7" t="e">
        <f>AVERAGEIFS('Data(perSeason,perCrop)'!$P:$P,'Data(perSeason,perCrop)'!$S:$S,Indicators!$B82,'Data(perSeason,perCrop)'!$O:$O,Indicators!BJ$7,'Data(perSeason,perCrop)'!$C:$C,Indicators!BJ$3,'Data(perSeason,perCrop)'!$R:$R,"IRRIGATED")</f>
        <v>#DIV/0!</v>
      </c>
      <c r="BK76" s="7" t="e">
        <f>AVERAGEIFS('Data(perSeason,perCrop)'!$P:$P,'Data(perSeason,perCrop)'!$S:$S,Indicators!$B82,'Data(perSeason,perCrop)'!$O:$O,Indicators!BK$7,'Data(perSeason,perCrop)'!$C:$C,Indicators!BK$3,'Data(perSeason,perCrop)'!$R:$R,"IRRIGATED")</f>
        <v>#DIV/0!</v>
      </c>
      <c r="BL76" s="7">
        <f>AVERAGEIFS('Data(perSeason,perCrop)'!$P:$P,'Data(perSeason,perCrop)'!$S:$S,Indicators!$B82,'Data(perSeason,perCrop)'!$O:$O,Indicators!BL$7,'Data(perSeason,perCrop)'!$C:$C,Indicators!BL$3,'Data(perSeason,perCrop)'!$R:$R,"IRRIGATED")</f>
        <v>5794</v>
      </c>
      <c r="BM76" s="7" t="e">
        <f>AVERAGEIFS('Data(perSeason,perCrop)'!$P:$P,'Data(perSeason,perCrop)'!$S:$S,Indicators!$B82,'Data(perSeason,perCrop)'!$O:$O,Indicators!BM$7,'Data(perSeason,perCrop)'!$C:$C,Indicators!BM$3,'Data(perSeason,perCrop)'!$R:$R,"IRRIGATED")</f>
        <v>#DIV/0!</v>
      </c>
      <c r="BN76" s="7">
        <f>AVERAGEIFS('Data(perSeason,perCrop)'!$P:$P,'Data(perSeason,perCrop)'!$S:$S,Indicators!$B82,'Data(perSeason,perCrop)'!$O:$O,Indicators!BN$7,'Data(perSeason,perCrop)'!$C:$C,Indicators!BN$3,'Data(perSeason,perCrop)'!$R:$R,"IRRIGATED")</f>
        <v>5737</v>
      </c>
      <c r="BO76" s="7" t="e">
        <f>AVERAGEIFS('Data(perSeason,perCrop)'!$P:$P,'Data(perSeason,perCrop)'!$S:$S,Indicators!$B82,'Data(perSeason,perCrop)'!$O:$O,Indicators!BO$7,'Data(perSeason,perCrop)'!$C:$C,Indicators!BO$3,'Data(perSeason,perCrop)'!$R:$R,"IRRIGATED")</f>
        <v>#DIV/0!</v>
      </c>
      <c r="BP76" s="7" t="e">
        <f>AVERAGEIFS('Data(perSeason,perCrop)'!$P:$P,'Data(perSeason,perCrop)'!$S:$S,Indicators!$B82,'Data(perSeason,perCrop)'!$O:$O,Indicators!BP$7,'Data(perSeason,perCrop)'!$C:$C,Indicators!BP$3,'Data(perSeason,perCrop)'!$R:$R,"IRRIGATED")</f>
        <v>#DIV/0!</v>
      </c>
      <c r="BQ76" s="7">
        <f>AVERAGEIFS('Data(perSeason,perCrop)'!$P:$P,'Data(perSeason,perCrop)'!$S:$S,Indicators!$B82,'Data(perSeason,perCrop)'!$O:$O,Indicators!BQ$7,'Data(perSeason,perCrop)'!$C:$C,Indicators!BQ$3,'Data(perSeason,perCrop)'!$R:$R,"IRRIGATED")</f>
        <v>6758</v>
      </c>
      <c r="BR76" s="7" t="e">
        <f>AVERAGEIFS('Data(perSeason,perCrop)'!$P:$P,'Data(perSeason,perCrop)'!$S:$S,Indicators!$B82,'Data(perSeason,perCrop)'!$O:$O,Indicators!BR$7,'Data(perSeason,perCrop)'!$C:$C,Indicators!BR$3,'Data(perSeason,perCrop)'!$R:$R,"IRRIGATED")</f>
        <v>#DIV/0!</v>
      </c>
      <c r="BS76" s="7" t="e">
        <f>AVERAGEIFS('Data(perSeason,perCrop)'!$P:$P,'Data(perSeason,perCrop)'!$S:$S,Indicators!$B82,'Data(perSeason,perCrop)'!$O:$O,Indicators!BS$7,'Data(perSeason,perCrop)'!$C:$C,Indicators!BS$3,'Data(perSeason,perCrop)'!$R:$R,"IRRIGATED")</f>
        <v>#DIV/0!</v>
      </c>
      <c r="BT76" s="7" t="e">
        <f>AVERAGEIFS('Data(perSeason,perCrop)'!$P:$P,'Data(perSeason,perCrop)'!$S:$S,Indicators!$B82,'Data(perSeason,perCrop)'!$O:$O,Indicators!BT$7,'Data(perSeason,perCrop)'!$C:$C,Indicators!BT$3,'Data(perSeason,perCrop)'!$R:$R,"IRRIGATED")</f>
        <v>#DIV/0!</v>
      </c>
      <c r="BU76" s="7" t="e">
        <f>AVERAGEIFS('Data(perSeason,perCrop)'!$P:$P,'Data(perSeason,perCrop)'!$S:$S,Indicators!$B82,'Data(perSeason,perCrop)'!$O:$O,Indicators!BU$7,'Data(perSeason,perCrop)'!$C:$C,Indicators!BU$3,'Data(perSeason,perCrop)'!$R:$R,"IRRIGATED")</f>
        <v>#DIV/0!</v>
      </c>
      <c r="BV76" s="7" t="e">
        <f>AVERAGEIFS('Data(perSeason,perCrop)'!$P:$P,'Data(perSeason,perCrop)'!$S:$S,Indicators!$B82,'Data(perSeason,perCrop)'!$O:$O,Indicators!BV$7,'Data(perSeason,perCrop)'!$C:$C,Indicators!BV$3,'Data(perSeason,perCrop)'!$R:$R,"IRRIGATED")</f>
        <v>#DIV/0!</v>
      </c>
      <c r="BW76" s="7" t="e">
        <f>AVERAGEIFS('Data(perSeason,perCrop)'!$P:$P,'Data(perSeason,perCrop)'!$S:$S,Indicators!$B82,'Data(perSeason,perCrop)'!$O:$O,Indicators!BW$7,'Data(perSeason,perCrop)'!$C:$C,Indicators!BW$3,'Data(perSeason,perCrop)'!$R:$R,"IRRIGATED")</f>
        <v>#DIV/0!</v>
      </c>
      <c r="BX76" s="7" t="e">
        <f>AVERAGEIFS('Data(perSeason,perCrop)'!$P:$P,'Data(perSeason,perCrop)'!$S:$S,Indicators!$B82,'Data(perSeason,perCrop)'!$O:$O,Indicators!BX$7,'Data(perSeason,perCrop)'!$C:$C,Indicators!BX$3,'Data(perSeason,perCrop)'!$R:$R,"IRRIGATED")</f>
        <v>#DIV/0!</v>
      </c>
      <c r="BY76" s="7" t="e">
        <f>AVERAGEIFS('Data(perSeason,perCrop)'!$P:$P,'Data(perSeason,perCrop)'!$S:$S,Indicators!$B82,'Data(perSeason,perCrop)'!$O:$O,Indicators!BY$7,'Data(perSeason,perCrop)'!$C:$C,Indicators!BY$3,'Data(perSeason,perCrop)'!$R:$R,"IRRIGATED")</f>
        <v>#DIV/0!</v>
      </c>
      <c r="BZ76" s="7" t="e">
        <f>AVERAGEIFS('Data(perSeason,perCrop)'!$P:$P,'Data(perSeason,perCrop)'!$S:$S,Indicators!$B82,'Data(perSeason,perCrop)'!$O:$O,Indicators!BZ$7,'Data(perSeason,perCrop)'!$C:$C,Indicators!BZ$3,'Data(perSeason,perCrop)'!$R:$R,"IRRIGATED")</f>
        <v>#DIV/0!</v>
      </c>
      <c r="CA76" s="7" t="e">
        <f>AVERAGEIFS('Data(perSeason,perCrop)'!$P:$P,'Data(perSeason,perCrop)'!$S:$S,Indicators!$B82,'Data(perSeason,perCrop)'!$O:$O,Indicators!CA$7,'Data(perSeason,perCrop)'!$C:$C,Indicators!CA$3,'Data(perSeason,perCrop)'!$R:$R,"IRRIGATED")</f>
        <v>#DIV/0!</v>
      </c>
      <c r="CB76" s="7" t="e">
        <f>AVERAGEIFS('Data(perSeason,perCrop)'!$P:$P,'Data(perSeason,perCrop)'!$S:$S,Indicators!$B82,'Data(perSeason,perCrop)'!$O:$O,Indicators!CB$7,'Data(perSeason,perCrop)'!$C:$C,Indicators!CB$3,'Data(perSeason,perCrop)'!$R:$R,"IRRIGATED")</f>
        <v>#DIV/0!</v>
      </c>
      <c r="CC76" s="7" t="e">
        <f>AVERAGEIFS('Data(perSeason,perCrop)'!$P:$P,'Data(perSeason,perCrop)'!$S:$S,Indicators!$B82,'Data(perSeason,perCrop)'!$O:$O,Indicators!CC$7,'Data(perSeason,perCrop)'!$C:$C,Indicators!CC$3,'Data(perSeason,perCrop)'!$R:$R,"IRRIGATED")</f>
        <v>#DIV/0!</v>
      </c>
      <c r="CD76" s="7" t="e">
        <f>AVERAGEIFS('Data(perSeason,perCrop)'!$P:$P,'Data(perSeason,perCrop)'!$S:$S,Indicators!$B82,'Data(perSeason,perCrop)'!$O:$O,Indicators!CD$7,'Data(perSeason,perCrop)'!$C:$C,Indicators!CD$3,'Data(perSeason,perCrop)'!$R:$R,"IRRIGATED")</f>
        <v>#DIV/0!</v>
      </c>
      <c r="CE76" s="7" t="e">
        <f>AVERAGEIFS('Data(perSeason,perCrop)'!$P:$P,'Data(perSeason,perCrop)'!$S:$S,Indicators!$B82,'Data(perSeason,perCrop)'!$O:$O,Indicators!CE$7,'Data(perSeason,perCrop)'!$C:$C,Indicators!CE$3,'Data(perSeason,perCrop)'!$R:$R,"IRRIGATED")</f>
        <v>#DIV/0!</v>
      </c>
      <c r="CF76" s="7" t="e">
        <f>AVERAGEIFS('Data(perSeason,perCrop)'!$P:$P,'Data(perSeason,perCrop)'!$S:$S,Indicators!$B82,'Data(perSeason,perCrop)'!$O:$O,Indicators!CF$7,'Data(perSeason,perCrop)'!$C:$C,Indicators!CF$3,'Data(perSeason,perCrop)'!$R:$R,"IRRIGATED")</f>
        <v>#DIV/0!</v>
      </c>
      <c r="CG76" s="7" t="e">
        <f>AVERAGEIFS('Data(perSeason,perCrop)'!$P:$P,'Data(perSeason,perCrop)'!$S:$S,Indicators!$B82,'Data(perSeason,perCrop)'!$O:$O,Indicators!CG$7,'Data(perSeason,perCrop)'!$C:$C,Indicators!CG$3,'Data(perSeason,perCrop)'!$R:$R,"IRRIGATED")</f>
        <v>#DIV/0!</v>
      </c>
      <c r="CH76" s="7" t="e">
        <f>AVERAGEIFS('Data(perSeason,perCrop)'!$P:$P,'Data(perSeason,perCrop)'!$S:$S,Indicators!$B82,'Data(perSeason,perCrop)'!$O:$O,Indicators!CH$7,'Data(perSeason,perCrop)'!$C:$C,Indicators!CH$3,'Data(perSeason,perCrop)'!$R:$R,"IRRIGATED")</f>
        <v>#DIV/0!</v>
      </c>
      <c r="CI76" s="7" t="e">
        <f>AVERAGEIFS('Data(perSeason,perCrop)'!$P:$P,'Data(perSeason,perCrop)'!$S:$S,Indicators!$B82,'Data(perSeason,perCrop)'!$O:$O,Indicators!CI$7,'Data(perSeason,perCrop)'!$C:$C,Indicators!CI$3,'Data(perSeason,perCrop)'!$R:$R,"IRRIGATED")</f>
        <v>#DIV/0!</v>
      </c>
      <c r="CJ76" s="7" t="e">
        <f>AVERAGEIFS('Data(perSeason,perCrop)'!$P:$P,'Data(perSeason,perCrop)'!$S:$S,Indicators!$B82,'Data(perSeason,perCrop)'!$O:$O,Indicators!CJ$7,'Data(perSeason,perCrop)'!$C:$C,Indicators!CJ$3,'Data(perSeason,perCrop)'!$R:$R,"IRRIGATED")</f>
        <v>#DIV/0!</v>
      </c>
      <c r="CK76" s="7" t="e">
        <f>AVERAGEIFS('Data(perSeason,perCrop)'!$P:$P,'Data(perSeason,perCrop)'!$S:$S,Indicators!$B82,'Data(perSeason,perCrop)'!$O:$O,Indicators!CK$7,'Data(perSeason,perCrop)'!$C:$C,Indicators!CK$3,'Data(perSeason,perCrop)'!$R:$R,"IRRIGATED")</f>
        <v>#DIV/0!</v>
      </c>
      <c r="CL76" s="7" t="e">
        <f>AVERAGEIFS('Data(perSeason,perCrop)'!$P:$P,'Data(perSeason,perCrop)'!$S:$S,Indicators!$B82,'Data(perSeason,perCrop)'!$O:$O,Indicators!CL$7,'Data(perSeason,perCrop)'!$C:$C,Indicators!CL$3,'Data(perSeason,perCrop)'!$R:$R,"IRRIGATED")</f>
        <v>#DIV/0!</v>
      </c>
      <c r="CM76" s="7" t="e">
        <f>AVERAGEIFS('Data(perSeason,perCrop)'!$P:$P,'Data(perSeason,perCrop)'!$S:$S,Indicators!$B82,'Data(perSeason,perCrop)'!$O:$O,Indicators!CM$7,'Data(perSeason,perCrop)'!$C:$C,Indicators!CM$3,'Data(perSeason,perCrop)'!$R:$R,"IRRIGATED")</f>
        <v>#DIV/0!</v>
      </c>
      <c r="CN76" s="7" t="e">
        <f>AVERAGEIFS('Data(perSeason,perCrop)'!$P:$P,'Data(perSeason,perCrop)'!$S:$S,Indicators!$B82,'Data(perSeason,perCrop)'!$O:$O,Indicators!CN$7,'Data(perSeason,perCrop)'!$C:$C,Indicators!CN$3,'Data(perSeason,perCrop)'!$R:$R,"IRRIGATED")</f>
        <v>#DIV/0!</v>
      </c>
      <c r="CO76" s="7" t="e">
        <f>AVERAGEIFS('Data(perSeason,perCrop)'!$P:$P,'Data(perSeason,perCrop)'!$S:$S,Indicators!$B82,'Data(perSeason,perCrop)'!$O:$O,Indicators!CO$7,'Data(perSeason,perCrop)'!$C:$C,Indicators!CO$3,'Data(perSeason,perCrop)'!$R:$R,"IRRIGATED")</f>
        <v>#DIV/0!</v>
      </c>
      <c r="CP76" s="7">
        <f>AVERAGEIFS('Data(perSeason,perCrop)'!$P:$P,'Data(perSeason,perCrop)'!$S:$S,Indicators!$B82,'Data(perSeason,perCrop)'!$O:$O,Indicators!CP$7,'Data(perSeason,perCrop)'!$C:$C,Indicators!CP$3,'Data(perSeason,perCrop)'!$R:$R,"IRRIGATED")</f>
        <v>3714</v>
      </c>
      <c r="CQ76" s="7">
        <f>AVERAGEIFS('Data(perSeason,perCrop)'!$P:$P,'Data(perSeason,perCrop)'!$S:$S,Indicators!$B82,'Data(perSeason,perCrop)'!$O:$O,Indicators!CQ$7,'Data(perSeason,perCrop)'!$C:$C,Indicators!CQ$3,'Data(perSeason,perCrop)'!$R:$R,"IRRIGATED")</f>
        <v>2581</v>
      </c>
      <c r="CR76" s="7" t="e">
        <f>AVERAGEIFS('Data(perSeason,perCrop)'!$P:$P,'Data(perSeason,perCrop)'!$S:$S,Indicators!$B82,'Data(perSeason,perCrop)'!$O:$O,Indicators!CR$7,'Data(perSeason,perCrop)'!$C:$C,Indicators!CR$3,'Data(perSeason,perCrop)'!$R:$R,"IRRIGATED")</f>
        <v>#DIV/0!</v>
      </c>
      <c r="CS76" s="7">
        <f>AVERAGEIFS('Data(perSeason,perCrop)'!$P:$P,'Data(perSeason,perCrop)'!$S:$S,Indicators!$B82,'Data(perSeason,perCrop)'!$O:$O,Indicators!CS$7,'Data(perSeason,perCrop)'!$C:$C,Indicators!CS$3,'Data(perSeason,perCrop)'!$R:$R,"IRRIGATED")</f>
        <v>2354</v>
      </c>
      <c r="CT76" s="7" t="e">
        <f>AVERAGEIFS('Data(perSeason,perCrop)'!$P:$P,'Data(perSeason,perCrop)'!$S:$S,Indicators!$B82,'Data(perSeason,perCrop)'!$O:$O,Indicators!CT$7,'Data(perSeason,perCrop)'!$C:$C,Indicators!CT$3,'Data(perSeason,perCrop)'!$R:$R,"IRRIGATED")</f>
        <v>#DIV/0!</v>
      </c>
      <c r="CU76" s="7" t="e">
        <f>AVERAGEIFS('Data(perSeason,perCrop)'!$P:$P,'Data(perSeason,perCrop)'!$S:$S,Indicators!$B82,'Data(perSeason,perCrop)'!$O:$O,Indicators!CU$7,'Data(perSeason,perCrop)'!$C:$C,Indicators!CU$3,'Data(perSeason,perCrop)'!$R:$R,"IRRIGATED")</f>
        <v>#DIV/0!</v>
      </c>
      <c r="CV76" s="7">
        <f>AVERAGEIFS('Data(perSeason,perCrop)'!$P:$P,'Data(perSeason,perCrop)'!$S:$S,Indicators!$B82,'Data(perSeason,perCrop)'!$O:$O,Indicators!CV$7,'Data(perSeason,perCrop)'!$C:$C,Indicators!CV$3,'Data(perSeason,perCrop)'!$R:$R,"IRRIGATED")</f>
        <v>3337</v>
      </c>
      <c r="CW76" s="7" t="e">
        <f>AVERAGEIFS('Data(perSeason,perCrop)'!$P:$P,'Data(perSeason,perCrop)'!$S:$S,Indicators!$B82,'Data(perSeason,perCrop)'!$O:$O,Indicators!CW$7,'Data(perSeason,perCrop)'!$C:$C,Indicators!CW$3,'Data(perSeason,perCrop)'!$R:$R,"IRRIGATED")</f>
        <v>#DIV/0!</v>
      </c>
      <c r="CX76" s="7" t="e">
        <f>AVERAGEIFS('Data(perSeason,perCrop)'!$P:$P,'Data(perSeason,perCrop)'!$S:$S,Indicators!$B82,'Data(perSeason,perCrop)'!$O:$O,Indicators!CX$7,'Data(perSeason,perCrop)'!$C:$C,Indicators!CX$3,'Data(perSeason,perCrop)'!$R:$R,"IRRIGATED")</f>
        <v>#DIV/0!</v>
      </c>
      <c r="CY76" s="7" t="e">
        <f>AVERAGEIFS('Data(perSeason,perCrop)'!$P:$P,'Data(perSeason,perCrop)'!$S:$S,Indicators!$B82,'Data(perSeason,perCrop)'!$O:$O,Indicators!CY$7,'Data(perSeason,perCrop)'!$C:$C,Indicators!CY$3,'Data(perSeason,perCrop)'!$R:$R,"IRRIGATED")</f>
        <v>#DIV/0!</v>
      </c>
      <c r="CZ76" s="7" t="e">
        <f>AVERAGEIFS('Data(perSeason,perCrop)'!$P:$P,'Data(perSeason,perCrop)'!$S:$S,Indicators!$B82,'Data(perSeason,perCrop)'!$O:$O,Indicators!CZ$7,'Data(perSeason,perCrop)'!$C:$C,Indicators!CZ$3,'Data(perSeason,perCrop)'!$R:$R,"IRRIGATED")</f>
        <v>#DIV/0!</v>
      </c>
      <c r="DA76" s="7" t="e">
        <f>AVERAGEIFS('Data(perSeason,perCrop)'!$P:$P,'Data(perSeason,perCrop)'!$S:$S,Indicators!$B82,'Data(perSeason,perCrop)'!$O:$O,Indicators!DA$7,'Data(perSeason,perCrop)'!$C:$C,Indicators!DA$3,'Data(perSeason,perCrop)'!$R:$R,"IRRIGATED")</f>
        <v>#DIV/0!</v>
      </c>
      <c r="DB76" s="7" t="e">
        <f>AVERAGEIFS('Data(perSeason,perCrop)'!$P:$P,'Data(perSeason,perCrop)'!$S:$S,Indicators!$B82,'Data(perSeason,perCrop)'!$O:$O,Indicators!DB$7,'Data(perSeason,perCrop)'!$C:$C,Indicators!DB$3,'Data(perSeason,perCrop)'!$R:$R,"IRRIGATED")</f>
        <v>#DIV/0!</v>
      </c>
      <c r="DC76" s="7" t="e">
        <f>AVERAGEIFS('Data(perSeason,perCrop)'!$P:$P,'Data(perSeason,perCrop)'!$S:$S,Indicators!$B82,'Data(perSeason,perCrop)'!$O:$O,Indicators!DC$7,'Data(perSeason,perCrop)'!$C:$C,Indicators!DC$3,'Data(perSeason,perCrop)'!$R:$R,"IRRIGATED")</f>
        <v>#DIV/0!</v>
      </c>
      <c r="DD76" s="7" t="e">
        <f>AVERAGEIFS('Data(perSeason,perCrop)'!$P:$P,'Data(perSeason,perCrop)'!$S:$S,Indicators!$B82,'Data(perSeason,perCrop)'!$O:$O,Indicators!DD$7,'Data(perSeason,perCrop)'!$C:$C,Indicators!DD$3,'Data(perSeason,perCrop)'!$R:$R,"IRRIGATED")</f>
        <v>#DIV/0!</v>
      </c>
      <c r="DE76" s="7" t="e">
        <f>AVERAGEIFS('Data(perSeason,perCrop)'!$P:$P,'Data(perSeason,perCrop)'!$S:$S,Indicators!$B82,'Data(perSeason,perCrop)'!$O:$O,Indicators!DE$7,'Data(perSeason,perCrop)'!$C:$C,Indicators!DE$3,'Data(perSeason,perCrop)'!$R:$R,"IRRIGATED")</f>
        <v>#DIV/0!</v>
      </c>
      <c r="DF76" s="7" t="e">
        <f>AVERAGEIFS('Data(perSeason,perCrop)'!$P:$P,'Data(perSeason,perCrop)'!$S:$S,Indicators!$B82,'Data(perSeason,perCrop)'!$O:$O,Indicators!DF$7,'Data(perSeason,perCrop)'!$C:$C,Indicators!DF$3,'Data(perSeason,perCrop)'!$R:$R,"IRRIGATED")</f>
        <v>#DIV/0!</v>
      </c>
      <c r="DG76" s="7" t="e">
        <f>AVERAGEIFS('Data(perSeason,perCrop)'!$P:$P,'Data(perSeason,perCrop)'!$S:$S,Indicators!$B82,'Data(perSeason,perCrop)'!$O:$O,Indicators!DG$7,'Data(perSeason,perCrop)'!$C:$C,Indicators!DG$3,'Data(perSeason,perCrop)'!$R:$R,"IRRIGATED")</f>
        <v>#DIV/0!</v>
      </c>
    </row>
    <row r="77" spans="1:111" x14ac:dyDescent="0.25">
      <c r="A77" t="s">
        <v>123</v>
      </c>
      <c r="B77">
        <v>2021</v>
      </c>
      <c r="C77" s="8">
        <f>IF(COUNTIFS('Data(perSeason,perCrop)'!$S:$S,Indicators!$B71)&gt;0,AVERAGEIFS('Data(perSeason,perCrop)'!$I:$I,'Data(perSeason,perCrop)'!$S:$S,Indicators!$B77,'Data(perSeason,perCrop)'!$O:$O,Indicators!C$7,'Data(perSeason,perCrop)'!$R:$R,"IRRIGATED"),"")</f>
        <v>0.65831415253023995</v>
      </c>
      <c r="D77" s="8">
        <f>IF(COUNTIFS('Data(perSeason,perCrop)'!$S:$S,Indicators!$B71)&gt;0,AVERAGEIFS('Data(perSeason,perCrop)'!$I:$I,'Data(perSeason,perCrop)'!$S:$S,Indicators!$B77,'Data(perSeason,perCrop)'!$O:$O,Indicators!D$7,'Data(perSeason,perCrop)'!$R:$R,"IRRIGATED"),"")</f>
        <v>0.424790395403013</v>
      </c>
      <c r="E77" s="8">
        <f>IF(COUNTIFS('Data(perSeason,perCrop)'!$S:$S,Indicators!$B71)&gt;0,AVERAGEIFS('Data(perSeason,perCrop)'!$I:$I,'Data(perSeason,perCrop)'!$S:$S,Indicators!$B77,'Data(perSeason,perCrop)'!$O:$O,Indicators!E$7,'Data(perSeason,perCrop)'!$R:$R,"IRRIGATED"),"")</f>
        <v>0.31382273155333901</v>
      </c>
      <c r="F77" s="8">
        <f>IF(COUNTIFS('Data(perSeason,perCrop)'!$S:$S,Indicators!$B71)&gt;0,AVERAGEIFS('Data(perSeason,perCrop)'!$I:$I,'Data(perSeason,perCrop)'!$S:$S,Indicators!$B77,'Data(perSeason,perCrop)'!$O:$O,Indicators!F$7,'Data(perSeason,perCrop)'!$R:$R,"IRRIGATED"),"")</f>
        <v>0.871143462405506</v>
      </c>
      <c r="J77" s="2" t="s">
        <v>36</v>
      </c>
      <c r="K77" s="7">
        <f>AVERAGEIFS('Data(perSeason,perCrop)'!$P:$P,'Data(perSeason,perCrop)'!$S:$S,Indicators!$B83,'Data(perSeason,perCrop)'!$O:$O,Indicators!K$7,'Data(perSeason,perCrop)'!$C:$C,Indicators!K$3,'Data(perSeason,perCrop)'!$R:$R,"IRRIGATED")</f>
        <v>10517</v>
      </c>
      <c r="L77" s="7">
        <f>AVERAGEIFS('Data(perSeason,perCrop)'!$P:$P,'Data(perSeason,perCrop)'!$S:$S,Indicators!$B83,'Data(perSeason,perCrop)'!$O:$O,Indicators!L$7,'Data(perSeason,perCrop)'!$C:$C,Indicators!L$3,'Data(perSeason,perCrop)'!$R:$R,"IRRIGATED")</f>
        <v>9383</v>
      </c>
      <c r="M77" s="7">
        <f>AVERAGEIFS('Data(perSeason,perCrop)'!$P:$P,'Data(perSeason,perCrop)'!$S:$S,Indicators!$B83,'Data(perSeason,perCrop)'!$O:$O,Indicators!M$7,'Data(perSeason,perCrop)'!$C:$C,Indicators!M$3,'Data(perSeason,perCrop)'!$R:$R,"IRRIGATED")</f>
        <v>10118</v>
      </c>
      <c r="N77" s="7">
        <f>AVERAGEIFS('Data(perSeason,perCrop)'!$P:$P,'Data(perSeason,perCrop)'!$S:$S,Indicators!$B83,'Data(perSeason,perCrop)'!$O:$O,Indicators!N$7,'Data(perSeason,perCrop)'!$C:$C,Indicators!N$3,'Data(perSeason,perCrop)'!$R:$R,"IRRIGATED")</f>
        <v>15762</v>
      </c>
      <c r="O77" s="7">
        <f>AVERAGEIFS('Data(perSeason,perCrop)'!$P:$P,'Data(perSeason,perCrop)'!$S:$S,Indicators!$B83,'Data(perSeason,perCrop)'!$O:$O,Indicators!O$7,'Data(perSeason,perCrop)'!$C:$C,Indicators!O$3,'Data(perSeason,perCrop)'!$R:$R,"IRRIGATED")</f>
        <v>8714</v>
      </c>
      <c r="P77" s="7">
        <f>AVERAGEIFS('Data(perSeason,perCrop)'!$P:$P,'Data(perSeason,perCrop)'!$S:$S,Indicators!$B83,'Data(perSeason,perCrop)'!$O:$O,Indicators!P$7,'Data(perSeason,perCrop)'!$C:$C,Indicators!P$3,'Data(perSeason,perCrop)'!$R:$R,"IRRIGATED")</f>
        <v>7441</v>
      </c>
      <c r="Q77" s="7">
        <f>AVERAGEIFS('Data(perSeason,perCrop)'!$P:$P,'Data(perSeason,perCrop)'!$S:$S,Indicators!$B83,'Data(perSeason,perCrop)'!$O:$O,Indicators!Q$7,'Data(perSeason,perCrop)'!$C:$C,Indicators!Q$3,'Data(perSeason,perCrop)'!$R:$R,"IRRIGATED")</f>
        <v>11173</v>
      </c>
      <c r="R77" s="7" t="e">
        <f>AVERAGEIFS('Data(perSeason,perCrop)'!$P:$P,'Data(perSeason,perCrop)'!$S:$S,Indicators!$B83,'Data(perSeason,perCrop)'!$O:$O,Indicators!R$7,'Data(perSeason,perCrop)'!$C:$C,Indicators!R$3,'Data(perSeason,perCrop)'!$R:$R,"IRRIGATED")</f>
        <v>#DIV/0!</v>
      </c>
      <c r="S77" s="62" t="e">
        <f>AVERAGEIFS('Data(perSeason,perCrop)'!$P:$P,'Data(perSeason,perCrop)'!$S:$S,Indicators!$B83,'Data(perSeason,perCrop)'!$O:$O,Indicators!S$7,'Data(perSeason,perCrop)'!$C:$C,Indicators!S$3,'Data(perSeason,perCrop)'!$R:$R,"IRRIGATED")</f>
        <v>#DIV/0!</v>
      </c>
      <c r="T77" s="62">
        <f>AVERAGEIFS('Data(perSeason,perCrop)'!$P:$P,'Data(perSeason,perCrop)'!$S:$S,Indicators!$B83,'Data(perSeason,perCrop)'!$O:$O,Indicators!T$7,'Data(perSeason,perCrop)'!$C:$C,Indicators!T$3,'Data(perSeason,perCrop)'!$R:$R,"IRRIGATED")</f>
        <v>3727</v>
      </c>
      <c r="U77" s="62" t="e">
        <f>AVERAGEIFS('Data(perSeason,perCrop)'!$P:$P,'Data(perSeason,perCrop)'!$S:$S,Indicators!$B83,'Data(perSeason,perCrop)'!$O:$O,Indicators!U$7,'Data(perSeason,perCrop)'!$C:$C,Indicators!U$3,'Data(perSeason,perCrop)'!$R:$R,"IRRIGATED")</f>
        <v>#DIV/0!</v>
      </c>
      <c r="V77" s="62" t="e">
        <f>AVERAGEIFS('Data(perSeason,perCrop)'!$P:$P,'Data(perSeason,perCrop)'!$S:$S,Indicators!$B83,'Data(perSeason,perCrop)'!$O:$O,Indicators!V$7,'Data(perSeason,perCrop)'!$C:$C,Indicators!V$3,'Data(perSeason,perCrop)'!$R:$R,"IRRIGATED")</f>
        <v>#DIV/0!</v>
      </c>
      <c r="W77" s="62" t="e">
        <f>AVERAGEIFS('Data(perSeason,perCrop)'!$P:$P,'Data(perSeason,perCrop)'!$S:$S,Indicators!$B83,'Data(perSeason,perCrop)'!$O:$O,Indicators!W$7,'Data(perSeason,perCrop)'!$C:$C,Indicators!W$3,'Data(perSeason,perCrop)'!$R:$R,"IRRIGATED")</f>
        <v>#DIV/0!</v>
      </c>
      <c r="X77" s="62" t="e">
        <f>AVERAGEIFS('Data(perSeason,perCrop)'!$P:$P,'Data(perSeason,perCrop)'!$S:$S,Indicators!$B83,'Data(perSeason,perCrop)'!$O:$O,Indicators!X$7,'Data(perSeason,perCrop)'!$C:$C,Indicators!X$3,'Data(perSeason,perCrop)'!$R:$R,"IRRIGATED")</f>
        <v>#DIV/0!</v>
      </c>
      <c r="Y77" s="62" t="e">
        <f>AVERAGEIFS('Data(perSeason,perCrop)'!$P:$P,'Data(perSeason,perCrop)'!$S:$S,Indicators!$B83,'Data(perSeason,perCrop)'!$O:$O,Indicators!Y$7,'Data(perSeason,perCrop)'!$C:$C,Indicators!Y$3,'Data(perSeason,perCrop)'!$R:$R,"IRRIGATED")</f>
        <v>#DIV/0!</v>
      </c>
      <c r="Z77" s="62" t="e">
        <f>AVERAGEIFS('Data(perSeason,perCrop)'!$P:$P,'Data(perSeason,perCrop)'!$S:$S,Indicators!$B83,'Data(perSeason,perCrop)'!$O:$O,Indicators!Z$7,'Data(perSeason,perCrop)'!$C:$C,Indicators!Z$3,'Data(perSeason,perCrop)'!$R:$R,"IRRIGATED")</f>
        <v>#DIV/0!</v>
      </c>
      <c r="AA77" s="62" t="e">
        <f>AVERAGEIFS('Data(perSeason,perCrop)'!$P:$P,'Data(perSeason,perCrop)'!$S:$S,Indicators!$B83,'Data(perSeason,perCrop)'!$O:$O,Indicators!AA$7,'Data(perSeason,perCrop)'!$C:$C,Indicators!AA$3,'Data(perSeason,perCrop)'!$R:$R,"IRRIGATED")</f>
        <v>#DIV/0!</v>
      </c>
      <c r="AB77" s="62" t="e">
        <f>AVERAGEIFS('Data(perSeason,perCrop)'!$P:$P,'Data(perSeason,perCrop)'!$S:$S,Indicators!$B83,'Data(perSeason,perCrop)'!$O:$O,Indicators!AB$7,'Data(perSeason,perCrop)'!$C:$C,Indicators!AB$3,'Data(perSeason,perCrop)'!$R:$R,"IRRIGATED")</f>
        <v>#DIV/0!</v>
      </c>
      <c r="AC77" s="62" t="e">
        <f>AVERAGEIFS('Data(perSeason,perCrop)'!$P:$P,'Data(perSeason,perCrop)'!$S:$S,Indicators!$B83,'Data(perSeason,perCrop)'!$O:$O,Indicators!AC$7,'Data(perSeason,perCrop)'!$C:$C,Indicators!AC$3,'Data(perSeason,perCrop)'!$R:$R,"IRRIGATED")</f>
        <v>#DIV/0!</v>
      </c>
      <c r="AD77" s="62" t="e">
        <f>AVERAGEIFS('Data(perSeason,perCrop)'!$P:$P,'Data(perSeason,perCrop)'!$S:$S,Indicators!$B83,'Data(perSeason,perCrop)'!$O:$O,Indicators!AD$7,'Data(perSeason,perCrop)'!$C:$C,Indicators!AD$3,'Data(perSeason,perCrop)'!$R:$R,"IRRIGATED")</f>
        <v>#DIV/0!</v>
      </c>
      <c r="AE77" s="62" t="e">
        <f>AVERAGEIFS('Data(perSeason,perCrop)'!$P:$P,'Data(perSeason,perCrop)'!$S:$S,Indicators!$B83,'Data(perSeason,perCrop)'!$O:$O,Indicators!AE$7,'Data(perSeason,perCrop)'!$C:$C,Indicators!AE$3,'Data(perSeason,perCrop)'!$R:$R,"IRRIGATED")</f>
        <v>#DIV/0!</v>
      </c>
      <c r="AF77" s="62">
        <f>AVERAGEIFS('Data(perSeason,perCrop)'!$P:$P,'Data(perSeason,perCrop)'!$S:$S,Indicators!$B83,'Data(perSeason,perCrop)'!$O:$O,Indicators!AF$7,'Data(perSeason,perCrop)'!$C:$C,Indicators!AF$3,'Data(perSeason,perCrop)'!$R:$R,"IRRIGATED")</f>
        <v>4500</v>
      </c>
      <c r="AG77" s="62">
        <f>AVERAGEIFS('Data(perSeason,perCrop)'!$P:$P,'Data(perSeason,perCrop)'!$S:$S,Indicators!$B83,'Data(perSeason,perCrop)'!$O:$O,Indicators!AG$7,'Data(perSeason,perCrop)'!$C:$C,Indicators!AG$3,'Data(perSeason,perCrop)'!$R:$R,"IRRIGATED")</f>
        <v>4153</v>
      </c>
      <c r="AH77" s="62" t="e">
        <f>AVERAGEIFS('Data(perSeason,perCrop)'!$P:$P,'Data(perSeason,perCrop)'!$S:$S,Indicators!$B83,'Data(perSeason,perCrop)'!$O:$O,Indicators!AH$7,'Data(perSeason,perCrop)'!$C:$C,Indicators!AH$3,'Data(perSeason,perCrop)'!$R:$R,"IRRIGATED")</f>
        <v>#DIV/0!</v>
      </c>
      <c r="AI77" s="62">
        <f>AVERAGEIFS('Data(perSeason,perCrop)'!$P:$P,'Data(perSeason,perCrop)'!$S:$S,Indicators!$B83,'Data(perSeason,perCrop)'!$O:$O,Indicators!AI$7,'Data(perSeason,perCrop)'!$C:$C,Indicators!AI$3,'Data(perSeason,perCrop)'!$R:$R,"IRRIGATED")</f>
        <v>3775</v>
      </c>
      <c r="AJ77" s="62" t="e">
        <f>AVERAGEIFS('Data(perSeason,perCrop)'!$P:$P,'Data(perSeason,perCrop)'!$S:$S,Indicators!$B83,'Data(perSeason,perCrop)'!$O:$O,Indicators!AJ$7,'Data(perSeason,perCrop)'!$C:$C,Indicators!AJ$3,'Data(perSeason,perCrop)'!$R:$R,"IRRIGATED")</f>
        <v>#DIV/0!</v>
      </c>
      <c r="AK77" s="62" t="e">
        <f>AVERAGEIFS('Data(perSeason,perCrop)'!$P:$P,'Data(perSeason,perCrop)'!$S:$S,Indicators!$B83,'Data(perSeason,perCrop)'!$O:$O,Indicators!AK$7,'Data(perSeason,perCrop)'!$C:$C,Indicators!AK$3,'Data(perSeason,perCrop)'!$R:$R,"IRRIGATED")</f>
        <v>#DIV/0!</v>
      </c>
      <c r="AL77" s="62">
        <f>AVERAGEIFS('Data(perSeason,perCrop)'!$P:$P,'Data(perSeason,perCrop)'!$S:$S,Indicators!$B83,'Data(perSeason,perCrop)'!$O:$O,Indicators!AL$7,'Data(perSeason,perCrop)'!$C:$C,Indicators!AL$3,'Data(perSeason,perCrop)'!$R:$R,"IRRIGATED")</f>
        <v>4091</v>
      </c>
      <c r="AM77" s="62" t="e">
        <f>AVERAGEIFS('Data(perSeason,perCrop)'!$P:$P,'Data(perSeason,perCrop)'!$S:$S,Indicators!$B83,'Data(perSeason,perCrop)'!$O:$O,Indicators!AM$7,'Data(perSeason,perCrop)'!$C:$C,Indicators!AM$3,'Data(perSeason,perCrop)'!$R:$R,"IRRIGATED")</f>
        <v>#DIV/0!</v>
      </c>
      <c r="AN77" s="62" t="e">
        <f>AVERAGEIFS('Data(perSeason,perCrop)'!$P:$P,'Data(perSeason,perCrop)'!$S:$S,Indicators!$B83,'Data(perSeason,perCrop)'!$O:$O,Indicators!AN$7,'Data(perSeason,perCrop)'!$C:$C,Indicators!AN$3,'Data(perSeason,perCrop)'!$R:$R,"IRRIGATED")</f>
        <v>#DIV/0!</v>
      </c>
      <c r="AO77" s="62" t="e">
        <f>AVERAGEIFS('Data(perSeason,perCrop)'!$P:$P,'Data(perSeason,perCrop)'!$S:$S,Indicators!$B83,'Data(perSeason,perCrop)'!$O:$O,Indicators!AO$7,'Data(perSeason,perCrop)'!$C:$C,Indicators!AO$3,'Data(perSeason,perCrop)'!$R:$R,"IRRIGATED")</f>
        <v>#DIV/0!</v>
      </c>
      <c r="AP77" s="62" t="e">
        <f>AVERAGEIFS('Data(perSeason,perCrop)'!$P:$P,'Data(perSeason,perCrop)'!$S:$S,Indicators!$B83,'Data(perSeason,perCrop)'!$O:$O,Indicators!AP$7,'Data(perSeason,perCrop)'!$C:$C,Indicators!AP$3,'Data(perSeason,perCrop)'!$R:$R,"IRRIGATED")</f>
        <v>#DIV/0!</v>
      </c>
      <c r="AQ77" s="62" t="e">
        <f>AVERAGEIFS('Data(perSeason,perCrop)'!$P:$P,'Data(perSeason,perCrop)'!$S:$S,Indicators!$B83,'Data(perSeason,perCrop)'!$O:$O,Indicators!AQ$7,'Data(perSeason,perCrop)'!$C:$C,Indicators!AQ$3,'Data(perSeason,perCrop)'!$R:$R,"IRRIGATED")</f>
        <v>#DIV/0!</v>
      </c>
      <c r="AR77" s="62" t="e">
        <f>AVERAGEIFS('Data(perSeason,perCrop)'!$P:$P,'Data(perSeason,perCrop)'!$S:$S,Indicators!$B83,'Data(perSeason,perCrop)'!$O:$O,Indicators!AR$7,'Data(perSeason,perCrop)'!$C:$C,Indicators!AR$3,'Data(perSeason,perCrop)'!$R:$R,"IRRIGATED")</f>
        <v>#DIV/0!</v>
      </c>
      <c r="AS77" s="62" t="e">
        <f>AVERAGEIFS('Data(perSeason,perCrop)'!$P:$P,'Data(perSeason,perCrop)'!$S:$S,Indicators!$B83,'Data(perSeason,perCrop)'!$O:$O,Indicators!AS$7,'Data(perSeason,perCrop)'!$C:$C,Indicators!AS$3,'Data(perSeason,perCrop)'!$R:$R,"IRRIGATED")</f>
        <v>#DIV/0!</v>
      </c>
      <c r="AT77" s="62" t="e">
        <f>AVERAGEIFS('Data(perSeason,perCrop)'!$P:$P,'Data(perSeason,perCrop)'!$S:$S,Indicators!$B83,'Data(perSeason,perCrop)'!$O:$O,Indicators!AT$7,'Data(perSeason,perCrop)'!$C:$C,Indicators!AT$3,'Data(perSeason,perCrop)'!$R:$R,"IRRIGATED")</f>
        <v>#DIV/0!</v>
      </c>
      <c r="AU77" s="62" t="e">
        <f>AVERAGEIFS('Data(perSeason,perCrop)'!$P:$P,'Data(perSeason,perCrop)'!$S:$S,Indicators!$B83,'Data(perSeason,perCrop)'!$O:$O,Indicators!AU$7,'Data(perSeason,perCrop)'!$C:$C,Indicators!AU$3,'Data(perSeason,perCrop)'!$R:$R,"IRRIGATED")</f>
        <v>#DIV/0!</v>
      </c>
      <c r="AV77" s="62" t="e">
        <f>AVERAGEIFS('Data(perSeason,perCrop)'!$P:$P,'Data(perSeason,perCrop)'!$S:$S,Indicators!$B83,'Data(perSeason,perCrop)'!$O:$O,Indicators!AV$7,'Data(perSeason,perCrop)'!$C:$C,Indicators!AV$3,'Data(perSeason,perCrop)'!$R:$R,"IRRIGATED")</f>
        <v>#DIV/0!</v>
      </c>
      <c r="AW77" s="62" t="e">
        <f>AVERAGEIFS('Data(perSeason,perCrop)'!$P:$P,'Data(perSeason,perCrop)'!$S:$S,Indicators!$B83,'Data(perSeason,perCrop)'!$O:$O,Indicators!AW$7,'Data(perSeason,perCrop)'!$C:$C,Indicators!AW$3,'Data(perSeason,perCrop)'!$R:$R,"IRRIGATED")</f>
        <v>#DIV/0!</v>
      </c>
      <c r="AX77" s="7"/>
      <c r="AY77" s="7">
        <f>AVERAGEIFS('Data(perSeason,perCrop)'!$P:$P,'Data(perSeason,perCrop)'!$S:$S,Indicators!$B83,'Data(perSeason,perCrop)'!$O:$O,Indicators!AY$7,'Data(perSeason,perCrop)'!$C:$C,Indicators!AY$3,'Data(perSeason,perCrop)'!$R:$R,"IRRIGATED")</f>
        <v>5581</v>
      </c>
      <c r="AZ77" s="7" t="e">
        <f>AVERAGEIFS('Data(perSeason,perCrop)'!$P:$P,'Data(perSeason,perCrop)'!$S:$S,Indicators!$B83,'Data(perSeason,perCrop)'!$O:$O,Indicators!AZ$7,'Data(perSeason,perCrop)'!$C:$C,Indicators!AZ$3,'Data(perSeason,perCrop)'!$R:$R,"IRRIGATED")</f>
        <v>#DIV/0!</v>
      </c>
      <c r="BA77" s="7"/>
      <c r="BB77" s="7" t="e">
        <f>AVERAGEIFS('Data(perSeason,perCrop)'!$P:$P,'Data(perSeason,perCrop)'!$S:$S,Indicators!$B83,'Data(perSeason,perCrop)'!$O:$O,Indicators!BB$7,'Data(perSeason,perCrop)'!$C:$C,Indicators!BB$3,'Data(perSeason,perCrop)'!$R:$R,"IRRIGATED")</f>
        <v>#DIV/0!</v>
      </c>
      <c r="BC77" s="7" t="e">
        <f>AVERAGEIFS('Data(perSeason,perCrop)'!$P:$P,'Data(perSeason,perCrop)'!$S:$S,Indicators!$B83,'Data(perSeason,perCrop)'!$O:$O,Indicators!BC$7,'Data(perSeason,perCrop)'!$C:$C,Indicators!BC$3,'Data(perSeason,perCrop)'!$R:$R,"IRRIGATED")</f>
        <v>#DIV/0!</v>
      </c>
      <c r="BD77" s="7" t="e">
        <f>AVERAGEIFS('Data(perSeason,perCrop)'!$P:$P,'Data(perSeason,perCrop)'!$S:$S,Indicators!$B83,'Data(perSeason,perCrop)'!$O:$O,Indicators!BD$7,'Data(perSeason,perCrop)'!$C:$C,Indicators!BD$3,'Data(perSeason,perCrop)'!$R:$R,"IRRIGATED")</f>
        <v>#DIV/0!</v>
      </c>
      <c r="BE77" s="7" t="e">
        <f>AVERAGEIFS('Data(perSeason,perCrop)'!$P:$P,'Data(perSeason,perCrop)'!$S:$S,Indicators!$B83,'Data(perSeason,perCrop)'!$O:$O,Indicators!BE$7,'Data(perSeason,perCrop)'!$C:$C,Indicators!BE$3,'Data(perSeason,perCrop)'!$R:$R,"IRRIGATED")</f>
        <v>#DIV/0!</v>
      </c>
      <c r="BF77" s="7"/>
      <c r="BG77" s="7" t="e">
        <f>AVERAGEIFS('Data(perSeason,perCrop)'!$P:$P,'Data(perSeason,perCrop)'!$S:$S,Indicators!$B83,'Data(perSeason,perCrop)'!$O:$O,Indicators!BG$7,'Data(perSeason,perCrop)'!$C:$C,Indicators!BG$3,'Data(perSeason,perCrop)'!$R:$R,"IRRIGATED")</f>
        <v>#DIV/0!</v>
      </c>
      <c r="BH77" s="7"/>
      <c r="BI77" s="7" t="e">
        <f>AVERAGEIFS('Data(perSeason,perCrop)'!$P:$P,'Data(perSeason,perCrop)'!$S:$S,Indicators!$B83,'Data(perSeason,perCrop)'!$O:$O,Indicators!BI$7,'Data(perSeason,perCrop)'!$C:$C,Indicators!BI$3,'Data(perSeason,perCrop)'!$R:$R,"IRRIGATED")</f>
        <v>#DIV/0!</v>
      </c>
      <c r="BJ77" s="7" t="e">
        <f>AVERAGEIFS('Data(perSeason,perCrop)'!$P:$P,'Data(perSeason,perCrop)'!$S:$S,Indicators!$B83,'Data(perSeason,perCrop)'!$O:$O,Indicators!BJ$7,'Data(perSeason,perCrop)'!$C:$C,Indicators!BJ$3,'Data(perSeason,perCrop)'!$R:$R,"IRRIGATED")</f>
        <v>#DIV/0!</v>
      </c>
      <c r="BK77" s="7" t="e">
        <f>AVERAGEIFS('Data(perSeason,perCrop)'!$P:$P,'Data(perSeason,perCrop)'!$S:$S,Indicators!$B83,'Data(perSeason,perCrop)'!$O:$O,Indicators!BK$7,'Data(perSeason,perCrop)'!$C:$C,Indicators!BK$3,'Data(perSeason,perCrop)'!$R:$R,"IRRIGATED")</f>
        <v>#DIV/0!</v>
      </c>
      <c r="BL77" s="7">
        <f>AVERAGEIFS('Data(perSeason,perCrop)'!$P:$P,'Data(perSeason,perCrop)'!$S:$S,Indicators!$B83,'Data(perSeason,perCrop)'!$O:$O,Indicators!BL$7,'Data(perSeason,perCrop)'!$C:$C,Indicators!BL$3,'Data(perSeason,perCrop)'!$R:$R,"IRRIGATED")</f>
        <v>5959</v>
      </c>
      <c r="BM77" s="7" t="e">
        <f>AVERAGEIFS('Data(perSeason,perCrop)'!$P:$P,'Data(perSeason,perCrop)'!$S:$S,Indicators!$B83,'Data(perSeason,perCrop)'!$O:$O,Indicators!BM$7,'Data(perSeason,perCrop)'!$C:$C,Indicators!BM$3,'Data(perSeason,perCrop)'!$R:$R,"IRRIGATED")</f>
        <v>#DIV/0!</v>
      </c>
      <c r="BN77" s="7">
        <f>AVERAGEIFS('Data(perSeason,perCrop)'!$P:$P,'Data(perSeason,perCrop)'!$S:$S,Indicators!$B83,'Data(perSeason,perCrop)'!$O:$O,Indicators!BN$7,'Data(perSeason,perCrop)'!$C:$C,Indicators!BN$3,'Data(perSeason,perCrop)'!$R:$R,"IRRIGATED")</f>
        <v>5740</v>
      </c>
      <c r="BO77" s="7" t="e">
        <f>AVERAGEIFS('Data(perSeason,perCrop)'!$P:$P,'Data(perSeason,perCrop)'!$S:$S,Indicators!$B83,'Data(perSeason,perCrop)'!$O:$O,Indicators!BO$7,'Data(perSeason,perCrop)'!$C:$C,Indicators!BO$3,'Data(perSeason,perCrop)'!$R:$R,"IRRIGATED")</f>
        <v>#DIV/0!</v>
      </c>
      <c r="BP77" s="7" t="e">
        <f>AVERAGEIFS('Data(perSeason,perCrop)'!$P:$P,'Data(perSeason,perCrop)'!$S:$S,Indicators!$B83,'Data(perSeason,perCrop)'!$O:$O,Indicators!BP$7,'Data(perSeason,perCrop)'!$C:$C,Indicators!BP$3,'Data(perSeason,perCrop)'!$R:$R,"IRRIGATED")</f>
        <v>#DIV/0!</v>
      </c>
      <c r="BQ77" s="7">
        <f>AVERAGEIFS('Data(perSeason,perCrop)'!$P:$P,'Data(perSeason,perCrop)'!$S:$S,Indicators!$B83,'Data(perSeason,perCrop)'!$O:$O,Indicators!BQ$7,'Data(perSeason,perCrop)'!$C:$C,Indicators!BQ$3,'Data(perSeason,perCrop)'!$R:$R,"IRRIGATED")</f>
        <v>7065</v>
      </c>
      <c r="BR77" s="7" t="e">
        <f>AVERAGEIFS('Data(perSeason,perCrop)'!$P:$P,'Data(perSeason,perCrop)'!$S:$S,Indicators!$B83,'Data(perSeason,perCrop)'!$O:$O,Indicators!BR$7,'Data(perSeason,perCrop)'!$C:$C,Indicators!BR$3,'Data(perSeason,perCrop)'!$R:$R,"IRRIGATED")</f>
        <v>#DIV/0!</v>
      </c>
      <c r="BS77" s="7" t="e">
        <f>AVERAGEIFS('Data(perSeason,perCrop)'!$P:$P,'Data(perSeason,perCrop)'!$S:$S,Indicators!$B83,'Data(perSeason,perCrop)'!$O:$O,Indicators!BS$7,'Data(perSeason,perCrop)'!$C:$C,Indicators!BS$3,'Data(perSeason,perCrop)'!$R:$R,"IRRIGATED")</f>
        <v>#DIV/0!</v>
      </c>
      <c r="BT77" s="7" t="e">
        <f>AVERAGEIFS('Data(perSeason,perCrop)'!$P:$P,'Data(perSeason,perCrop)'!$S:$S,Indicators!$B83,'Data(perSeason,perCrop)'!$O:$O,Indicators!BT$7,'Data(perSeason,perCrop)'!$C:$C,Indicators!BT$3,'Data(perSeason,perCrop)'!$R:$R,"IRRIGATED")</f>
        <v>#DIV/0!</v>
      </c>
      <c r="BU77" s="7" t="e">
        <f>AVERAGEIFS('Data(perSeason,perCrop)'!$P:$P,'Data(perSeason,perCrop)'!$S:$S,Indicators!$B83,'Data(perSeason,perCrop)'!$O:$O,Indicators!BU$7,'Data(perSeason,perCrop)'!$C:$C,Indicators!BU$3,'Data(perSeason,perCrop)'!$R:$R,"IRRIGATED")</f>
        <v>#DIV/0!</v>
      </c>
      <c r="BV77" s="7" t="e">
        <f>AVERAGEIFS('Data(perSeason,perCrop)'!$P:$P,'Data(perSeason,perCrop)'!$S:$S,Indicators!$B83,'Data(perSeason,perCrop)'!$O:$O,Indicators!BV$7,'Data(perSeason,perCrop)'!$C:$C,Indicators!BV$3,'Data(perSeason,perCrop)'!$R:$R,"IRRIGATED")</f>
        <v>#DIV/0!</v>
      </c>
      <c r="BW77" s="7" t="e">
        <f>AVERAGEIFS('Data(perSeason,perCrop)'!$P:$P,'Data(perSeason,perCrop)'!$S:$S,Indicators!$B83,'Data(perSeason,perCrop)'!$O:$O,Indicators!BW$7,'Data(perSeason,perCrop)'!$C:$C,Indicators!BW$3,'Data(perSeason,perCrop)'!$R:$R,"IRRIGATED")</f>
        <v>#DIV/0!</v>
      </c>
      <c r="BX77" s="7" t="e">
        <f>AVERAGEIFS('Data(perSeason,perCrop)'!$P:$P,'Data(perSeason,perCrop)'!$S:$S,Indicators!$B83,'Data(perSeason,perCrop)'!$O:$O,Indicators!BX$7,'Data(perSeason,perCrop)'!$C:$C,Indicators!BX$3,'Data(perSeason,perCrop)'!$R:$R,"IRRIGATED")</f>
        <v>#DIV/0!</v>
      </c>
      <c r="BY77" s="7" t="e">
        <f>AVERAGEIFS('Data(perSeason,perCrop)'!$P:$P,'Data(perSeason,perCrop)'!$S:$S,Indicators!$B83,'Data(perSeason,perCrop)'!$O:$O,Indicators!BY$7,'Data(perSeason,perCrop)'!$C:$C,Indicators!BY$3,'Data(perSeason,perCrop)'!$R:$R,"IRRIGATED")</f>
        <v>#DIV/0!</v>
      </c>
      <c r="BZ77" s="7" t="e">
        <f>AVERAGEIFS('Data(perSeason,perCrop)'!$P:$P,'Data(perSeason,perCrop)'!$S:$S,Indicators!$B83,'Data(perSeason,perCrop)'!$O:$O,Indicators!BZ$7,'Data(perSeason,perCrop)'!$C:$C,Indicators!BZ$3,'Data(perSeason,perCrop)'!$R:$R,"IRRIGATED")</f>
        <v>#DIV/0!</v>
      </c>
      <c r="CA77" s="7" t="e">
        <f>AVERAGEIFS('Data(perSeason,perCrop)'!$P:$P,'Data(perSeason,perCrop)'!$S:$S,Indicators!$B83,'Data(perSeason,perCrop)'!$O:$O,Indicators!CA$7,'Data(perSeason,perCrop)'!$C:$C,Indicators!CA$3,'Data(perSeason,perCrop)'!$R:$R,"IRRIGATED")</f>
        <v>#DIV/0!</v>
      </c>
      <c r="CB77" s="7" t="e">
        <f>AVERAGEIFS('Data(perSeason,perCrop)'!$P:$P,'Data(perSeason,perCrop)'!$S:$S,Indicators!$B83,'Data(perSeason,perCrop)'!$O:$O,Indicators!CB$7,'Data(perSeason,perCrop)'!$C:$C,Indicators!CB$3,'Data(perSeason,perCrop)'!$R:$R,"IRRIGATED")</f>
        <v>#DIV/0!</v>
      </c>
      <c r="CC77" s="7" t="e">
        <f>AVERAGEIFS('Data(perSeason,perCrop)'!$P:$P,'Data(perSeason,perCrop)'!$S:$S,Indicators!$B83,'Data(perSeason,perCrop)'!$O:$O,Indicators!CC$7,'Data(perSeason,perCrop)'!$C:$C,Indicators!CC$3,'Data(perSeason,perCrop)'!$R:$R,"IRRIGATED")</f>
        <v>#DIV/0!</v>
      </c>
      <c r="CD77" s="7" t="e">
        <f>AVERAGEIFS('Data(perSeason,perCrop)'!$P:$P,'Data(perSeason,perCrop)'!$S:$S,Indicators!$B83,'Data(perSeason,perCrop)'!$O:$O,Indicators!CD$7,'Data(perSeason,perCrop)'!$C:$C,Indicators!CD$3,'Data(perSeason,perCrop)'!$R:$R,"IRRIGATED")</f>
        <v>#DIV/0!</v>
      </c>
      <c r="CE77" s="7" t="e">
        <f>AVERAGEIFS('Data(perSeason,perCrop)'!$P:$P,'Data(perSeason,perCrop)'!$S:$S,Indicators!$B83,'Data(perSeason,perCrop)'!$O:$O,Indicators!CE$7,'Data(perSeason,perCrop)'!$C:$C,Indicators!CE$3,'Data(perSeason,perCrop)'!$R:$R,"IRRIGATED")</f>
        <v>#DIV/0!</v>
      </c>
      <c r="CF77" s="7" t="e">
        <f>AVERAGEIFS('Data(perSeason,perCrop)'!$P:$P,'Data(perSeason,perCrop)'!$S:$S,Indicators!$B83,'Data(perSeason,perCrop)'!$O:$O,Indicators!CF$7,'Data(perSeason,perCrop)'!$C:$C,Indicators!CF$3,'Data(perSeason,perCrop)'!$R:$R,"IRRIGATED")</f>
        <v>#DIV/0!</v>
      </c>
      <c r="CG77" s="7" t="e">
        <f>AVERAGEIFS('Data(perSeason,perCrop)'!$P:$P,'Data(perSeason,perCrop)'!$S:$S,Indicators!$B83,'Data(perSeason,perCrop)'!$O:$O,Indicators!CG$7,'Data(perSeason,perCrop)'!$C:$C,Indicators!CG$3,'Data(perSeason,perCrop)'!$R:$R,"IRRIGATED")</f>
        <v>#DIV/0!</v>
      </c>
      <c r="CH77" s="7" t="e">
        <f>AVERAGEIFS('Data(perSeason,perCrop)'!$P:$P,'Data(perSeason,perCrop)'!$S:$S,Indicators!$B83,'Data(perSeason,perCrop)'!$O:$O,Indicators!CH$7,'Data(perSeason,perCrop)'!$C:$C,Indicators!CH$3,'Data(perSeason,perCrop)'!$R:$R,"IRRIGATED")</f>
        <v>#DIV/0!</v>
      </c>
      <c r="CI77" s="7" t="e">
        <f>AVERAGEIFS('Data(perSeason,perCrop)'!$P:$P,'Data(perSeason,perCrop)'!$S:$S,Indicators!$B83,'Data(perSeason,perCrop)'!$O:$O,Indicators!CI$7,'Data(perSeason,perCrop)'!$C:$C,Indicators!CI$3,'Data(perSeason,perCrop)'!$R:$R,"IRRIGATED")</f>
        <v>#DIV/0!</v>
      </c>
      <c r="CJ77" s="7" t="e">
        <f>AVERAGEIFS('Data(perSeason,perCrop)'!$P:$P,'Data(perSeason,perCrop)'!$S:$S,Indicators!$B83,'Data(perSeason,perCrop)'!$O:$O,Indicators!CJ$7,'Data(perSeason,perCrop)'!$C:$C,Indicators!CJ$3,'Data(perSeason,perCrop)'!$R:$R,"IRRIGATED")</f>
        <v>#DIV/0!</v>
      </c>
      <c r="CK77" s="7" t="e">
        <f>AVERAGEIFS('Data(perSeason,perCrop)'!$P:$P,'Data(perSeason,perCrop)'!$S:$S,Indicators!$B83,'Data(perSeason,perCrop)'!$O:$O,Indicators!CK$7,'Data(perSeason,perCrop)'!$C:$C,Indicators!CK$3,'Data(perSeason,perCrop)'!$R:$R,"IRRIGATED")</f>
        <v>#DIV/0!</v>
      </c>
      <c r="CL77" s="7" t="e">
        <f>AVERAGEIFS('Data(perSeason,perCrop)'!$P:$P,'Data(perSeason,perCrop)'!$S:$S,Indicators!$B83,'Data(perSeason,perCrop)'!$O:$O,Indicators!CL$7,'Data(perSeason,perCrop)'!$C:$C,Indicators!CL$3,'Data(perSeason,perCrop)'!$R:$R,"IRRIGATED")</f>
        <v>#DIV/0!</v>
      </c>
      <c r="CM77" s="7" t="e">
        <f>AVERAGEIFS('Data(perSeason,perCrop)'!$P:$P,'Data(perSeason,perCrop)'!$S:$S,Indicators!$B83,'Data(perSeason,perCrop)'!$O:$O,Indicators!CM$7,'Data(perSeason,perCrop)'!$C:$C,Indicators!CM$3,'Data(perSeason,perCrop)'!$R:$R,"IRRIGATED")</f>
        <v>#DIV/0!</v>
      </c>
      <c r="CN77" s="7" t="e">
        <f>AVERAGEIFS('Data(perSeason,perCrop)'!$P:$P,'Data(perSeason,perCrop)'!$S:$S,Indicators!$B83,'Data(perSeason,perCrop)'!$O:$O,Indicators!CN$7,'Data(perSeason,perCrop)'!$C:$C,Indicators!CN$3,'Data(perSeason,perCrop)'!$R:$R,"IRRIGATED")</f>
        <v>#DIV/0!</v>
      </c>
      <c r="CO77" s="7" t="e">
        <f>AVERAGEIFS('Data(perSeason,perCrop)'!$P:$P,'Data(perSeason,perCrop)'!$S:$S,Indicators!$B83,'Data(perSeason,perCrop)'!$O:$O,Indicators!CO$7,'Data(perSeason,perCrop)'!$C:$C,Indicators!CO$3,'Data(perSeason,perCrop)'!$R:$R,"IRRIGATED")</f>
        <v>#DIV/0!</v>
      </c>
      <c r="CP77" s="7">
        <f>AVERAGEIFS('Data(perSeason,perCrop)'!$P:$P,'Data(perSeason,perCrop)'!$S:$S,Indicators!$B83,'Data(perSeason,perCrop)'!$O:$O,Indicators!CP$7,'Data(perSeason,perCrop)'!$C:$C,Indicators!CP$3,'Data(perSeason,perCrop)'!$R:$R,"IRRIGATED")</f>
        <v>2889</v>
      </c>
      <c r="CQ77" s="7">
        <f>AVERAGEIFS('Data(perSeason,perCrop)'!$P:$P,'Data(perSeason,perCrop)'!$S:$S,Indicators!$B83,'Data(perSeason,perCrop)'!$O:$O,Indicators!CQ$7,'Data(perSeason,perCrop)'!$C:$C,Indicators!CQ$3,'Data(perSeason,perCrop)'!$R:$R,"IRRIGATED")</f>
        <v>2949</v>
      </c>
      <c r="CR77" s="7" t="e">
        <f>AVERAGEIFS('Data(perSeason,perCrop)'!$P:$P,'Data(perSeason,perCrop)'!$S:$S,Indicators!$B83,'Data(perSeason,perCrop)'!$O:$O,Indicators!CR$7,'Data(perSeason,perCrop)'!$C:$C,Indicators!CR$3,'Data(perSeason,perCrop)'!$R:$R,"IRRIGATED")</f>
        <v>#DIV/0!</v>
      </c>
      <c r="CS77" s="7">
        <f>AVERAGEIFS('Data(perSeason,perCrop)'!$P:$P,'Data(perSeason,perCrop)'!$S:$S,Indicators!$B83,'Data(perSeason,perCrop)'!$O:$O,Indicators!CS$7,'Data(perSeason,perCrop)'!$C:$C,Indicators!CS$3,'Data(perSeason,perCrop)'!$R:$R,"IRRIGATED")</f>
        <v>2778</v>
      </c>
      <c r="CT77" s="7" t="e">
        <f>AVERAGEIFS('Data(perSeason,perCrop)'!$P:$P,'Data(perSeason,perCrop)'!$S:$S,Indicators!$B83,'Data(perSeason,perCrop)'!$O:$O,Indicators!CT$7,'Data(perSeason,perCrop)'!$C:$C,Indicators!CT$3,'Data(perSeason,perCrop)'!$R:$R,"IRRIGATED")</f>
        <v>#DIV/0!</v>
      </c>
      <c r="CU77" s="7" t="e">
        <f>AVERAGEIFS('Data(perSeason,perCrop)'!$P:$P,'Data(perSeason,perCrop)'!$S:$S,Indicators!$B83,'Data(perSeason,perCrop)'!$O:$O,Indicators!CU$7,'Data(perSeason,perCrop)'!$C:$C,Indicators!CU$3,'Data(perSeason,perCrop)'!$R:$R,"IRRIGATED")</f>
        <v>#DIV/0!</v>
      </c>
      <c r="CV77" s="7">
        <f>AVERAGEIFS('Data(perSeason,perCrop)'!$P:$P,'Data(perSeason,perCrop)'!$S:$S,Indicators!$B83,'Data(perSeason,perCrop)'!$O:$O,Indicators!CV$7,'Data(perSeason,perCrop)'!$C:$C,Indicators!CV$3,'Data(perSeason,perCrop)'!$R:$R,"IRRIGATED")</f>
        <v>2884</v>
      </c>
      <c r="CW77" s="7" t="e">
        <f>AVERAGEIFS('Data(perSeason,perCrop)'!$P:$P,'Data(perSeason,perCrop)'!$S:$S,Indicators!$B83,'Data(perSeason,perCrop)'!$O:$O,Indicators!CW$7,'Data(perSeason,perCrop)'!$C:$C,Indicators!CW$3,'Data(perSeason,perCrop)'!$R:$R,"IRRIGATED")</f>
        <v>#DIV/0!</v>
      </c>
      <c r="CX77" s="7" t="e">
        <f>AVERAGEIFS('Data(perSeason,perCrop)'!$P:$P,'Data(perSeason,perCrop)'!$S:$S,Indicators!$B83,'Data(perSeason,perCrop)'!$O:$O,Indicators!CX$7,'Data(perSeason,perCrop)'!$C:$C,Indicators!CX$3,'Data(perSeason,perCrop)'!$R:$R,"IRRIGATED")</f>
        <v>#DIV/0!</v>
      </c>
      <c r="CY77" s="7" t="e">
        <f>AVERAGEIFS('Data(perSeason,perCrop)'!$P:$P,'Data(perSeason,perCrop)'!$S:$S,Indicators!$B83,'Data(perSeason,perCrop)'!$O:$O,Indicators!CY$7,'Data(perSeason,perCrop)'!$C:$C,Indicators!CY$3,'Data(perSeason,perCrop)'!$R:$R,"IRRIGATED")</f>
        <v>#DIV/0!</v>
      </c>
      <c r="CZ77" s="7" t="e">
        <f>AVERAGEIFS('Data(perSeason,perCrop)'!$P:$P,'Data(perSeason,perCrop)'!$S:$S,Indicators!$B83,'Data(perSeason,perCrop)'!$O:$O,Indicators!CZ$7,'Data(perSeason,perCrop)'!$C:$C,Indicators!CZ$3,'Data(perSeason,perCrop)'!$R:$R,"IRRIGATED")</f>
        <v>#DIV/0!</v>
      </c>
      <c r="DA77" s="7" t="e">
        <f>AVERAGEIFS('Data(perSeason,perCrop)'!$P:$P,'Data(perSeason,perCrop)'!$S:$S,Indicators!$B83,'Data(perSeason,perCrop)'!$O:$O,Indicators!DA$7,'Data(perSeason,perCrop)'!$C:$C,Indicators!DA$3,'Data(perSeason,perCrop)'!$R:$R,"IRRIGATED")</f>
        <v>#DIV/0!</v>
      </c>
      <c r="DB77" s="7" t="e">
        <f>AVERAGEIFS('Data(perSeason,perCrop)'!$P:$P,'Data(perSeason,perCrop)'!$S:$S,Indicators!$B83,'Data(perSeason,perCrop)'!$O:$O,Indicators!DB$7,'Data(perSeason,perCrop)'!$C:$C,Indicators!DB$3,'Data(perSeason,perCrop)'!$R:$R,"IRRIGATED")</f>
        <v>#DIV/0!</v>
      </c>
      <c r="DC77" s="7" t="e">
        <f>AVERAGEIFS('Data(perSeason,perCrop)'!$P:$P,'Data(perSeason,perCrop)'!$S:$S,Indicators!$B83,'Data(perSeason,perCrop)'!$O:$O,Indicators!DC$7,'Data(perSeason,perCrop)'!$C:$C,Indicators!DC$3,'Data(perSeason,perCrop)'!$R:$R,"IRRIGATED")</f>
        <v>#DIV/0!</v>
      </c>
      <c r="DD77" s="7" t="e">
        <f>AVERAGEIFS('Data(perSeason,perCrop)'!$P:$P,'Data(perSeason,perCrop)'!$S:$S,Indicators!$B83,'Data(perSeason,perCrop)'!$O:$O,Indicators!DD$7,'Data(perSeason,perCrop)'!$C:$C,Indicators!DD$3,'Data(perSeason,perCrop)'!$R:$R,"IRRIGATED")</f>
        <v>#DIV/0!</v>
      </c>
      <c r="DE77" s="7" t="e">
        <f>AVERAGEIFS('Data(perSeason,perCrop)'!$P:$P,'Data(perSeason,perCrop)'!$S:$S,Indicators!$B83,'Data(perSeason,perCrop)'!$O:$O,Indicators!DE$7,'Data(perSeason,perCrop)'!$C:$C,Indicators!DE$3,'Data(perSeason,perCrop)'!$R:$R,"IRRIGATED")</f>
        <v>#DIV/0!</v>
      </c>
      <c r="DF77" s="7" t="e">
        <f>AVERAGEIFS('Data(perSeason,perCrop)'!$P:$P,'Data(perSeason,perCrop)'!$S:$S,Indicators!$B83,'Data(perSeason,perCrop)'!$O:$O,Indicators!DF$7,'Data(perSeason,perCrop)'!$C:$C,Indicators!DF$3,'Data(perSeason,perCrop)'!$R:$R,"IRRIGATED")</f>
        <v>#DIV/0!</v>
      </c>
      <c r="DG77" s="7" t="e">
        <f>AVERAGEIFS('Data(perSeason,perCrop)'!$P:$P,'Data(perSeason,perCrop)'!$S:$S,Indicators!$B83,'Data(perSeason,perCrop)'!$O:$O,Indicators!DG$7,'Data(perSeason,perCrop)'!$C:$C,Indicators!DG$3,'Data(perSeason,perCrop)'!$R:$R,"IRRIGATED")</f>
        <v>#DIV/0!</v>
      </c>
    </row>
    <row r="78" spans="1:111" x14ac:dyDescent="0.25">
      <c r="B78">
        <v>2022</v>
      </c>
      <c r="C78" s="8">
        <f>IF(COUNTIFS('Data(perSeason,perCrop)'!$S:$S,Indicators!$B72)&gt;0,AVERAGEIFS('Data(perSeason,perCrop)'!$I:$I,'Data(perSeason,perCrop)'!$S:$S,Indicators!$B78,'Data(perSeason,perCrop)'!$O:$O,Indicators!C$7,'Data(perSeason,perCrop)'!$R:$R,"IRRIGATED"),"")</f>
        <v>0.64136106540455595</v>
      </c>
      <c r="D78" s="8">
        <f>IF(COUNTIFS('Data(perSeason,perCrop)'!$S:$S,Indicators!$B72)&gt;0,AVERAGEIFS('Data(perSeason,perCrop)'!$I:$I,'Data(perSeason,perCrop)'!$S:$S,Indicators!$B78,'Data(perSeason,perCrop)'!$O:$O,Indicators!D$7,'Data(perSeason,perCrop)'!$R:$R,"IRRIGATED"),"")</f>
        <v>0.47410283662738101</v>
      </c>
      <c r="E78" s="8">
        <f>IF(COUNTIFS('Data(perSeason,perCrop)'!$S:$S,Indicators!$B72)&gt;0,AVERAGEIFS('Data(perSeason,perCrop)'!$I:$I,'Data(perSeason,perCrop)'!$S:$S,Indicators!$B78,'Data(perSeason,perCrop)'!$O:$O,Indicators!E$7,'Data(perSeason,perCrop)'!$R:$R,"IRRIGATED"),"")</f>
        <v>0.393241614609597</v>
      </c>
      <c r="F78" s="8">
        <f>IF(COUNTIFS('Data(perSeason,perCrop)'!$S:$S,Indicators!$B72)&gt;0,AVERAGEIFS('Data(perSeason,perCrop)'!$I:$I,'Data(perSeason,perCrop)'!$S:$S,Indicators!$B78,'Data(perSeason,perCrop)'!$O:$O,Indicators!F$7,'Data(perSeason,perCrop)'!$R:$R,"IRRIGATED"),"")</f>
        <v>0.83633081049462099</v>
      </c>
      <c r="J78" s="2" t="s">
        <v>36</v>
      </c>
      <c r="K78" s="7" t="e">
        <f>AVERAGEIFS('Data(perSeason,perCrop)'!$P:$P,'Data(perSeason,perCrop)'!$S:$S,Indicators!$B84,'Data(perSeason,perCrop)'!$O:$O,Indicators!K$7,'Data(perSeason,perCrop)'!$C:$C,Indicators!K$3,'Data(perSeason,perCrop)'!$R:$R,"IRRIGATED")</f>
        <v>#DIV/0!</v>
      </c>
      <c r="L78" s="7" t="e">
        <f>AVERAGEIFS('Data(perSeason,perCrop)'!$P:$P,'Data(perSeason,perCrop)'!$S:$S,Indicators!$B84,'Data(perSeason,perCrop)'!$O:$O,Indicators!L$7,'Data(perSeason,perCrop)'!$C:$C,Indicators!L$3,'Data(perSeason,perCrop)'!$R:$R,"IRRIGATED")</f>
        <v>#DIV/0!</v>
      </c>
      <c r="M78" s="7" t="e">
        <f>AVERAGEIFS('Data(perSeason,perCrop)'!$P:$P,'Data(perSeason,perCrop)'!$S:$S,Indicators!$B84,'Data(perSeason,perCrop)'!$O:$O,Indicators!M$7,'Data(perSeason,perCrop)'!$C:$C,Indicators!M$3,'Data(perSeason,perCrop)'!$R:$R,"IRRIGATED")</f>
        <v>#DIV/0!</v>
      </c>
      <c r="N78" s="7">
        <f>AVERAGEIFS('Data(perSeason,perCrop)'!$P:$P,'Data(perSeason,perCrop)'!$S:$S,Indicators!$B84,'Data(perSeason,perCrop)'!$O:$O,Indicators!N$7,'Data(perSeason,perCrop)'!$C:$C,Indicators!N$3,'Data(perSeason,perCrop)'!$R:$R,"IRRIGATED")</f>
        <v>18323</v>
      </c>
      <c r="O78" s="7">
        <f>AVERAGEIFS('Data(perSeason,perCrop)'!$P:$P,'Data(perSeason,perCrop)'!$S:$S,Indicators!$B84,'Data(perSeason,perCrop)'!$O:$O,Indicators!O$7,'Data(perSeason,perCrop)'!$C:$C,Indicators!O$3,'Data(perSeason,perCrop)'!$R:$R,"IRRIGATED")</f>
        <v>10384</v>
      </c>
      <c r="P78" s="7" t="e">
        <f>AVERAGEIFS('Data(perSeason,perCrop)'!$P:$P,'Data(perSeason,perCrop)'!$S:$S,Indicators!$B84,'Data(perSeason,perCrop)'!$O:$O,Indicators!P$7,'Data(perSeason,perCrop)'!$C:$C,Indicators!P$3,'Data(perSeason,perCrop)'!$R:$R,"IRRIGATED")</f>
        <v>#DIV/0!</v>
      </c>
      <c r="Q78" s="7">
        <f>AVERAGEIFS('Data(perSeason,perCrop)'!$P:$P,'Data(perSeason,perCrop)'!$S:$S,Indicators!$B84,'Data(perSeason,perCrop)'!$O:$O,Indicators!Q$7,'Data(perSeason,perCrop)'!$C:$C,Indicators!Q$3,'Data(perSeason,perCrop)'!$R:$R,"IRRIGATED")</f>
        <v>13787</v>
      </c>
      <c r="R78" s="7" t="e">
        <f>AVERAGEIFS('Data(perSeason,perCrop)'!$P:$P,'Data(perSeason,perCrop)'!$S:$S,Indicators!$B84,'Data(perSeason,perCrop)'!$O:$O,Indicators!R$7,'Data(perSeason,perCrop)'!$C:$C,Indicators!R$3,'Data(perSeason,perCrop)'!$R:$R,"IRRIGATED")</f>
        <v>#DIV/0!</v>
      </c>
      <c r="S78" s="62" t="e">
        <f>AVERAGEIFS('Data(perSeason,perCrop)'!$P:$P,'Data(perSeason,perCrop)'!$S:$S,Indicators!$B84,'Data(perSeason,perCrop)'!$O:$O,Indicators!S$7,'Data(perSeason,perCrop)'!$C:$C,Indicators!S$3,'Data(perSeason,perCrop)'!$R:$R,"IRRIGATED")</f>
        <v>#DIV/0!</v>
      </c>
      <c r="T78" s="62">
        <f>AVERAGEIFS('Data(perSeason,perCrop)'!$P:$P,'Data(perSeason,perCrop)'!$S:$S,Indicators!$B84,'Data(perSeason,perCrop)'!$O:$O,Indicators!T$7,'Data(perSeason,perCrop)'!$C:$C,Indicators!T$3,'Data(perSeason,perCrop)'!$R:$R,"IRRIGATED")</f>
        <v>4615</v>
      </c>
      <c r="U78" s="62" t="e">
        <f>AVERAGEIFS('Data(perSeason,perCrop)'!$P:$P,'Data(perSeason,perCrop)'!$S:$S,Indicators!$B84,'Data(perSeason,perCrop)'!$O:$O,Indicators!U$7,'Data(perSeason,perCrop)'!$C:$C,Indicators!U$3,'Data(perSeason,perCrop)'!$R:$R,"IRRIGATED")</f>
        <v>#DIV/0!</v>
      </c>
      <c r="V78" s="62" t="e">
        <f>AVERAGEIFS('Data(perSeason,perCrop)'!$P:$P,'Data(perSeason,perCrop)'!$S:$S,Indicators!$B84,'Data(perSeason,perCrop)'!$O:$O,Indicators!V$7,'Data(perSeason,perCrop)'!$C:$C,Indicators!V$3,'Data(perSeason,perCrop)'!$R:$R,"IRRIGATED")</f>
        <v>#DIV/0!</v>
      </c>
      <c r="W78" s="62" t="e">
        <f>AVERAGEIFS('Data(perSeason,perCrop)'!$P:$P,'Data(perSeason,perCrop)'!$S:$S,Indicators!$B84,'Data(perSeason,perCrop)'!$O:$O,Indicators!W$7,'Data(perSeason,perCrop)'!$C:$C,Indicators!W$3,'Data(perSeason,perCrop)'!$R:$R,"IRRIGATED")</f>
        <v>#DIV/0!</v>
      </c>
      <c r="X78" s="62" t="e">
        <f>AVERAGEIFS('Data(perSeason,perCrop)'!$P:$P,'Data(perSeason,perCrop)'!$S:$S,Indicators!$B84,'Data(perSeason,perCrop)'!$O:$O,Indicators!X$7,'Data(perSeason,perCrop)'!$C:$C,Indicators!X$3,'Data(perSeason,perCrop)'!$R:$R,"IRRIGATED")</f>
        <v>#DIV/0!</v>
      </c>
      <c r="Y78" s="62" t="e">
        <f>AVERAGEIFS('Data(perSeason,perCrop)'!$P:$P,'Data(perSeason,perCrop)'!$S:$S,Indicators!$B84,'Data(perSeason,perCrop)'!$O:$O,Indicators!Y$7,'Data(perSeason,perCrop)'!$C:$C,Indicators!Y$3,'Data(perSeason,perCrop)'!$R:$R,"IRRIGATED")</f>
        <v>#DIV/0!</v>
      </c>
      <c r="Z78" s="62" t="e">
        <f>AVERAGEIFS('Data(perSeason,perCrop)'!$P:$P,'Data(perSeason,perCrop)'!$S:$S,Indicators!$B84,'Data(perSeason,perCrop)'!$O:$O,Indicators!Z$7,'Data(perSeason,perCrop)'!$C:$C,Indicators!Z$3,'Data(perSeason,perCrop)'!$R:$R,"IRRIGATED")</f>
        <v>#DIV/0!</v>
      </c>
      <c r="AA78" s="62" t="e">
        <f>AVERAGEIFS('Data(perSeason,perCrop)'!$P:$P,'Data(perSeason,perCrop)'!$S:$S,Indicators!$B84,'Data(perSeason,perCrop)'!$O:$O,Indicators!AA$7,'Data(perSeason,perCrop)'!$C:$C,Indicators!AA$3,'Data(perSeason,perCrop)'!$R:$R,"IRRIGATED")</f>
        <v>#DIV/0!</v>
      </c>
      <c r="AB78" s="62" t="e">
        <f>AVERAGEIFS('Data(perSeason,perCrop)'!$P:$P,'Data(perSeason,perCrop)'!$S:$S,Indicators!$B84,'Data(perSeason,perCrop)'!$O:$O,Indicators!AB$7,'Data(perSeason,perCrop)'!$C:$C,Indicators!AB$3,'Data(perSeason,perCrop)'!$R:$R,"IRRIGATED")</f>
        <v>#DIV/0!</v>
      </c>
      <c r="AC78" s="62" t="e">
        <f>AVERAGEIFS('Data(perSeason,perCrop)'!$P:$P,'Data(perSeason,perCrop)'!$S:$S,Indicators!$B84,'Data(perSeason,perCrop)'!$O:$O,Indicators!AC$7,'Data(perSeason,perCrop)'!$C:$C,Indicators!AC$3,'Data(perSeason,perCrop)'!$R:$R,"IRRIGATED")</f>
        <v>#DIV/0!</v>
      </c>
      <c r="AD78" s="62" t="e">
        <f>AVERAGEIFS('Data(perSeason,perCrop)'!$P:$P,'Data(perSeason,perCrop)'!$S:$S,Indicators!$B84,'Data(perSeason,perCrop)'!$O:$O,Indicators!AD$7,'Data(perSeason,perCrop)'!$C:$C,Indicators!AD$3,'Data(perSeason,perCrop)'!$R:$R,"IRRIGATED")</f>
        <v>#DIV/0!</v>
      </c>
      <c r="AE78" s="62" t="e">
        <f>AVERAGEIFS('Data(perSeason,perCrop)'!$P:$P,'Data(perSeason,perCrop)'!$S:$S,Indicators!$B84,'Data(perSeason,perCrop)'!$O:$O,Indicators!AE$7,'Data(perSeason,perCrop)'!$C:$C,Indicators!AE$3,'Data(perSeason,perCrop)'!$R:$R,"IRRIGATED")</f>
        <v>#DIV/0!</v>
      </c>
      <c r="AF78" s="62">
        <f>AVERAGEIFS('Data(perSeason,perCrop)'!$P:$P,'Data(perSeason,perCrop)'!$S:$S,Indicators!$B84,'Data(perSeason,perCrop)'!$O:$O,Indicators!AF$7,'Data(perSeason,perCrop)'!$C:$C,Indicators!AF$3,'Data(perSeason,perCrop)'!$R:$R,"IRRIGATED")</f>
        <v>4461</v>
      </c>
      <c r="AG78" s="62">
        <f>AVERAGEIFS('Data(perSeason,perCrop)'!$P:$P,'Data(perSeason,perCrop)'!$S:$S,Indicators!$B84,'Data(perSeason,perCrop)'!$O:$O,Indicators!AG$7,'Data(perSeason,perCrop)'!$C:$C,Indicators!AG$3,'Data(perSeason,perCrop)'!$R:$R,"IRRIGATED")</f>
        <v>5013</v>
      </c>
      <c r="AH78" s="62" t="e">
        <f>AVERAGEIFS('Data(perSeason,perCrop)'!$P:$P,'Data(perSeason,perCrop)'!$S:$S,Indicators!$B84,'Data(perSeason,perCrop)'!$O:$O,Indicators!AH$7,'Data(perSeason,perCrop)'!$C:$C,Indicators!AH$3,'Data(perSeason,perCrop)'!$R:$R,"IRRIGATED")</f>
        <v>#DIV/0!</v>
      </c>
      <c r="AI78" s="62">
        <f>AVERAGEIFS('Data(perSeason,perCrop)'!$P:$P,'Data(perSeason,perCrop)'!$S:$S,Indicators!$B84,'Data(perSeason,perCrop)'!$O:$O,Indicators!AI$7,'Data(perSeason,perCrop)'!$C:$C,Indicators!AI$3,'Data(perSeason,perCrop)'!$R:$R,"IRRIGATED")</f>
        <v>4874</v>
      </c>
      <c r="AJ78" s="62" t="e">
        <f>AVERAGEIFS('Data(perSeason,perCrop)'!$P:$P,'Data(perSeason,perCrop)'!$S:$S,Indicators!$B84,'Data(perSeason,perCrop)'!$O:$O,Indicators!AJ$7,'Data(perSeason,perCrop)'!$C:$C,Indicators!AJ$3,'Data(perSeason,perCrop)'!$R:$R,"IRRIGATED")</f>
        <v>#DIV/0!</v>
      </c>
      <c r="AK78" s="62" t="e">
        <f>AVERAGEIFS('Data(perSeason,perCrop)'!$P:$P,'Data(perSeason,perCrop)'!$S:$S,Indicators!$B84,'Data(perSeason,perCrop)'!$O:$O,Indicators!AK$7,'Data(perSeason,perCrop)'!$C:$C,Indicators!AK$3,'Data(perSeason,perCrop)'!$R:$R,"IRRIGATED")</f>
        <v>#DIV/0!</v>
      </c>
      <c r="AL78" s="62">
        <f>AVERAGEIFS('Data(perSeason,perCrop)'!$P:$P,'Data(perSeason,perCrop)'!$S:$S,Indicators!$B84,'Data(perSeason,perCrop)'!$O:$O,Indicators!AL$7,'Data(perSeason,perCrop)'!$C:$C,Indicators!AL$3,'Data(perSeason,perCrop)'!$R:$R,"IRRIGATED")</f>
        <v>4806</v>
      </c>
      <c r="AM78" s="62" t="e">
        <f>AVERAGEIFS('Data(perSeason,perCrop)'!$P:$P,'Data(perSeason,perCrop)'!$S:$S,Indicators!$B84,'Data(perSeason,perCrop)'!$O:$O,Indicators!AM$7,'Data(perSeason,perCrop)'!$C:$C,Indicators!AM$3,'Data(perSeason,perCrop)'!$R:$R,"IRRIGATED")</f>
        <v>#DIV/0!</v>
      </c>
      <c r="AN78" s="62" t="e">
        <f>AVERAGEIFS('Data(perSeason,perCrop)'!$P:$P,'Data(perSeason,perCrop)'!$S:$S,Indicators!$B84,'Data(perSeason,perCrop)'!$O:$O,Indicators!AN$7,'Data(perSeason,perCrop)'!$C:$C,Indicators!AN$3,'Data(perSeason,perCrop)'!$R:$R,"IRRIGATED")</f>
        <v>#DIV/0!</v>
      </c>
      <c r="AO78" s="62" t="e">
        <f>AVERAGEIFS('Data(perSeason,perCrop)'!$P:$P,'Data(perSeason,perCrop)'!$S:$S,Indicators!$B84,'Data(perSeason,perCrop)'!$O:$O,Indicators!AO$7,'Data(perSeason,perCrop)'!$C:$C,Indicators!AO$3,'Data(perSeason,perCrop)'!$R:$R,"IRRIGATED")</f>
        <v>#DIV/0!</v>
      </c>
      <c r="AP78" s="62" t="e">
        <f>AVERAGEIFS('Data(perSeason,perCrop)'!$P:$P,'Data(perSeason,perCrop)'!$S:$S,Indicators!$B84,'Data(perSeason,perCrop)'!$O:$O,Indicators!AP$7,'Data(perSeason,perCrop)'!$C:$C,Indicators!AP$3,'Data(perSeason,perCrop)'!$R:$R,"IRRIGATED")</f>
        <v>#DIV/0!</v>
      </c>
      <c r="AQ78" s="62" t="e">
        <f>AVERAGEIFS('Data(perSeason,perCrop)'!$P:$P,'Data(perSeason,perCrop)'!$S:$S,Indicators!$B84,'Data(perSeason,perCrop)'!$O:$O,Indicators!AQ$7,'Data(perSeason,perCrop)'!$C:$C,Indicators!AQ$3,'Data(perSeason,perCrop)'!$R:$R,"IRRIGATED")</f>
        <v>#DIV/0!</v>
      </c>
      <c r="AR78" s="62" t="e">
        <f>AVERAGEIFS('Data(perSeason,perCrop)'!$P:$P,'Data(perSeason,perCrop)'!$S:$S,Indicators!$B84,'Data(perSeason,perCrop)'!$O:$O,Indicators!AR$7,'Data(perSeason,perCrop)'!$C:$C,Indicators!AR$3,'Data(perSeason,perCrop)'!$R:$R,"IRRIGATED")</f>
        <v>#DIV/0!</v>
      </c>
      <c r="AS78" s="62" t="e">
        <f>AVERAGEIFS('Data(perSeason,perCrop)'!$P:$P,'Data(perSeason,perCrop)'!$S:$S,Indicators!$B84,'Data(perSeason,perCrop)'!$O:$O,Indicators!AS$7,'Data(perSeason,perCrop)'!$C:$C,Indicators!AS$3,'Data(perSeason,perCrop)'!$R:$R,"IRRIGATED")</f>
        <v>#DIV/0!</v>
      </c>
      <c r="AT78" s="62" t="e">
        <f>AVERAGEIFS('Data(perSeason,perCrop)'!$P:$P,'Data(perSeason,perCrop)'!$S:$S,Indicators!$B84,'Data(perSeason,perCrop)'!$O:$O,Indicators!AT$7,'Data(perSeason,perCrop)'!$C:$C,Indicators!AT$3,'Data(perSeason,perCrop)'!$R:$R,"IRRIGATED")</f>
        <v>#DIV/0!</v>
      </c>
      <c r="AU78" s="62" t="e">
        <f>AVERAGEIFS('Data(perSeason,perCrop)'!$P:$P,'Data(perSeason,perCrop)'!$S:$S,Indicators!$B84,'Data(perSeason,perCrop)'!$O:$O,Indicators!AU$7,'Data(perSeason,perCrop)'!$C:$C,Indicators!AU$3,'Data(perSeason,perCrop)'!$R:$R,"IRRIGATED")</f>
        <v>#DIV/0!</v>
      </c>
      <c r="AV78" s="62" t="e">
        <f>AVERAGEIFS('Data(perSeason,perCrop)'!$P:$P,'Data(perSeason,perCrop)'!$S:$S,Indicators!$B84,'Data(perSeason,perCrop)'!$O:$O,Indicators!AV$7,'Data(perSeason,perCrop)'!$C:$C,Indicators!AV$3,'Data(perSeason,perCrop)'!$R:$R,"IRRIGATED")</f>
        <v>#DIV/0!</v>
      </c>
      <c r="AW78" s="62" t="e">
        <f>AVERAGEIFS('Data(perSeason,perCrop)'!$P:$P,'Data(perSeason,perCrop)'!$S:$S,Indicators!$B84,'Data(perSeason,perCrop)'!$O:$O,Indicators!AW$7,'Data(perSeason,perCrop)'!$C:$C,Indicators!AW$3,'Data(perSeason,perCrop)'!$R:$R,"IRRIGATED")</f>
        <v>#DIV/0!</v>
      </c>
      <c r="AX78" s="7"/>
      <c r="AY78" s="7">
        <f>AVERAGEIFS('Data(perSeason,perCrop)'!$P:$P,'Data(perSeason,perCrop)'!$S:$S,Indicators!$B84,'Data(perSeason,perCrop)'!$O:$O,Indicators!AY$7,'Data(perSeason,perCrop)'!$C:$C,Indicators!AY$3,'Data(perSeason,perCrop)'!$R:$R,"IRRIGATED")</f>
        <v>6356</v>
      </c>
      <c r="AZ78" s="7" t="e">
        <f>AVERAGEIFS('Data(perSeason,perCrop)'!$P:$P,'Data(perSeason,perCrop)'!$S:$S,Indicators!$B84,'Data(perSeason,perCrop)'!$O:$O,Indicators!AZ$7,'Data(perSeason,perCrop)'!$C:$C,Indicators!AZ$3,'Data(perSeason,perCrop)'!$R:$R,"IRRIGATED")</f>
        <v>#DIV/0!</v>
      </c>
      <c r="BA78" s="7"/>
      <c r="BB78" s="7" t="e">
        <f>AVERAGEIFS('Data(perSeason,perCrop)'!$P:$P,'Data(perSeason,perCrop)'!$S:$S,Indicators!$B84,'Data(perSeason,perCrop)'!$O:$O,Indicators!BB$7,'Data(perSeason,perCrop)'!$C:$C,Indicators!BB$3,'Data(perSeason,perCrop)'!$R:$R,"IRRIGATED")</f>
        <v>#DIV/0!</v>
      </c>
      <c r="BC78" s="7" t="e">
        <f>AVERAGEIFS('Data(perSeason,perCrop)'!$P:$P,'Data(perSeason,perCrop)'!$S:$S,Indicators!$B84,'Data(perSeason,perCrop)'!$O:$O,Indicators!BC$7,'Data(perSeason,perCrop)'!$C:$C,Indicators!BC$3,'Data(perSeason,perCrop)'!$R:$R,"IRRIGATED")</f>
        <v>#DIV/0!</v>
      </c>
      <c r="BD78" s="7" t="e">
        <f>AVERAGEIFS('Data(perSeason,perCrop)'!$P:$P,'Data(perSeason,perCrop)'!$S:$S,Indicators!$B84,'Data(perSeason,perCrop)'!$O:$O,Indicators!BD$7,'Data(perSeason,perCrop)'!$C:$C,Indicators!BD$3,'Data(perSeason,perCrop)'!$R:$R,"IRRIGATED")</f>
        <v>#DIV/0!</v>
      </c>
      <c r="BE78" s="7" t="e">
        <f>AVERAGEIFS('Data(perSeason,perCrop)'!$P:$P,'Data(perSeason,perCrop)'!$S:$S,Indicators!$B84,'Data(perSeason,perCrop)'!$O:$O,Indicators!BE$7,'Data(perSeason,perCrop)'!$C:$C,Indicators!BE$3,'Data(perSeason,perCrop)'!$R:$R,"IRRIGATED")</f>
        <v>#DIV/0!</v>
      </c>
      <c r="BF78" s="7"/>
      <c r="BG78" s="7" t="e">
        <f>AVERAGEIFS('Data(perSeason,perCrop)'!$P:$P,'Data(perSeason,perCrop)'!$S:$S,Indicators!$B84,'Data(perSeason,perCrop)'!$O:$O,Indicators!BG$7,'Data(perSeason,perCrop)'!$C:$C,Indicators!BG$3,'Data(perSeason,perCrop)'!$R:$R,"IRRIGATED")</f>
        <v>#DIV/0!</v>
      </c>
      <c r="BH78" s="7"/>
      <c r="BI78" s="7" t="e">
        <f>AVERAGEIFS('Data(perSeason,perCrop)'!$P:$P,'Data(perSeason,perCrop)'!$S:$S,Indicators!$B84,'Data(perSeason,perCrop)'!$O:$O,Indicators!BI$7,'Data(perSeason,perCrop)'!$C:$C,Indicators!BI$3,'Data(perSeason,perCrop)'!$R:$R,"IRRIGATED")</f>
        <v>#DIV/0!</v>
      </c>
      <c r="BJ78" s="7" t="e">
        <f>AVERAGEIFS('Data(perSeason,perCrop)'!$P:$P,'Data(perSeason,perCrop)'!$S:$S,Indicators!$B84,'Data(perSeason,perCrop)'!$O:$O,Indicators!BJ$7,'Data(perSeason,perCrop)'!$C:$C,Indicators!BJ$3,'Data(perSeason,perCrop)'!$R:$R,"IRRIGATED")</f>
        <v>#DIV/0!</v>
      </c>
      <c r="BK78" s="7" t="e">
        <f>AVERAGEIFS('Data(perSeason,perCrop)'!$P:$P,'Data(perSeason,perCrop)'!$S:$S,Indicators!$B84,'Data(perSeason,perCrop)'!$O:$O,Indicators!BK$7,'Data(perSeason,perCrop)'!$C:$C,Indicators!BK$3,'Data(perSeason,perCrop)'!$R:$R,"IRRIGATED")</f>
        <v>#DIV/0!</v>
      </c>
      <c r="BL78" s="7">
        <f>AVERAGEIFS('Data(perSeason,perCrop)'!$P:$P,'Data(perSeason,perCrop)'!$S:$S,Indicators!$B84,'Data(perSeason,perCrop)'!$O:$O,Indicators!BL$7,'Data(perSeason,perCrop)'!$C:$C,Indicators!BL$3,'Data(perSeason,perCrop)'!$R:$R,"IRRIGATED")</f>
        <v>7042</v>
      </c>
      <c r="BM78" s="7" t="e">
        <f>AVERAGEIFS('Data(perSeason,perCrop)'!$P:$P,'Data(perSeason,perCrop)'!$S:$S,Indicators!$B84,'Data(perSeason,perCrop)'!$O:$O,Indicators!BM$7,'Data(perSeason,perCrop)'!$C:$C,Indicators!BM$3,'Data(perSeason,perCrop)'!$R:$R,"IRRIGATED")</f>
        <v>#DIV/0!</v>
      </c>
      <c r="BN78" s="7">
        <f>AVERAGEIFS('Data(perSeason,perCrop)'!$P:$P,'Data(perSeason,perCrop)'!$S:$S,Indicators!$B84,'Data(perSeason,perCrop)'!$O:$O,Indicators!BN$7,'Data(perSeason,perCrop)'!$C:$C,Indicators!BN$3,'Data(perSeason,perCrop)'!$R:$R,"IRRIGATED")</f>
        <v>6625</v>
      </c>
      <c r="BO78" s="7" t="e">
        <f>AVERAGEIFS('Data(perSeason,perCrop)'!$P:$P,'Data(perSeason,perCrop)'!$S:$S,Indicators!$B84,'Data(perSeason,perCrop)'!$O:$O,Indicators!BO$7,'Data(perSeason,perCrop)'!$C:$C,Indicators!BO$3,'Data(perSeason,perCrop)'!$R:$R,"IRRIGATED")</f>
        <v>#DIV/0!</v>
      </c>
      <c r="BP78" s="7" t="e">
        <f>AVERAGEIFS('Data(perSeason,perCrop)'!$P:$P,'Data(perSeason,perCrop)'!$S:$S,Indicators!$B84,'Data(perSeason,perCrop)'!$O:$O,Indicators!BP$7,'Data(perSeason,perCrop)'!$C:$C,Indicators!BP$3,'Data(perSeason,perCrop)'!$R:$R,"IRRIGATED")</f>
        <v>#DIV/0!</v>
      </c>
      <c r="BQ78" s="7">
        <f>AVERAGEIFS('Data(perSeason,perCrop)'!$P:$P,'Data(perSeason,perCrop)'!$S:$S,Indicators!$B84,'Data(perSeason,perCrop)'!$O:$O,Indicators!BQ$7,'Data(perSeason,perCrop)'!$C:$C,Indicators!BQ$3,'Data(perSeason,perCrop)'!$R:$R,"IRRIGATED")</f>
        <v>8147</v>
      </c>
      <c r="BR78" s="7" t="e">
        <f>AVERAGEIFS('Data(perSeason,perCrop)'!$P:$P,'Data(perSeason,perCrop)'!$S:$S,Indicators!$B84,'Data(perSeason,perCrop)'!$O:$O,Indicators!BR$7,'Data(perSeason,perCrop)'!$C:$C,Indicators!BR$3,'Data(perSeason,perCrop)'!$R:$R,"IRRIGATED")</f>
        <v>#DIV/0!</v>
      </c>
      <c r="BS78" s="7" t="e">
        <f>AVERAGEIFS('Data(perSeason,perCrop)'!$P:$P,'Data(perSeason,perCrop)'!$S:$S,Indicators!$B84,'Data(perSeason,perCrop)'!$O:$O,Indicators!BS$7,'Data(perSeason,perCrop)'!$C:$C,Indicators!BS$3,'Data(perSeason,perCrop)'!$R:$R,"IRRIGATED")</f>
        <v>#DIV/0!</v>
      </c>
      <c r="BT78" s="7" t="e">
        <f>AVERAGEIFS('Data(perSeason,perCrop)'!$P:$P,'Data(perSeason,perCrop)'!$S:$S,Indicators!$B84,'Data(perSeason,perCrop)'!$O:$O,Indicators!BT$7,'Data(perSeason,perCrop)'!$C:$C,Indicators!BT$3,'Data(perSeason,perCrop)'!$R:$R,"IRRIGATED")</f>
        <v>#DIV/0!</v>
      </c>
      <c r="BU78" s="7" t="e">
        <f>AVERAGEIFS('Data(perSeason,perCrop)'!$P:$P,'Data(perSeason,perCrop)'!$S:$S,Indicators!$B84,'Data(perSeason,perCrop)'!$O:$O,Indicators!BU$7,'Data(perSeason,perCrop)'!$C:$C,Indicators!BU$3,'Data(perSeason,perCrop)'!$R:$R,"IRRIGATED")</f>
        <v>#DIV/0!</v>
      </c>
      <c r="BV78" s="7" t="e">
        <f>AVERAGEIFS('Data(perSeason,perCrop)'!$P:$P,'Data(perSeason,perCrop)'!$S:$S,Indicators!$B84,'Data(perSeason,perCrop)'!$O:$O,Indicators!BV$7,'Data(perSeason,perCrop)'!$C:$C,Indicators!BV$3,'Data(perSeason,perCrop)'!$R:$R,"IRRIGATED")</f>
        <v>#DIV/0!</v>
      </c>
      <c r="BW78" s="7" t="e">
        <f>AVERAGEIFS('Data(perSeason,perCrop)'!$P:$P,'Data(perSeason,perCrop)'!$S:$S,Indicators!$B84,'Data(perSeason,perCrop)'!$O:$O,Indicators!BW$7,'Data(perSeason,perCrop)'!$C:$C,Indicators!BW$3,'Data(perSeason,perCrop)'!$R:$R,"IRRIGATED")</f>
        <v>#DIV/0!</v>
      </c>
      <c r="BX78" s="7" t="e">
        <f>AVERAGEIFS('Data(perSeason,perCrop)'!$P:$P,'Data(perSeason,perCrop)'!$S:$S,Indicators!$B84,'Data(perSeason,perCrop)'!$O:$O,Indicators!BX$7,'Data(perSeason,perCrop)'!$C:$C,Indicators!BX$3,'Data(perSeason,perCrop)'!$R:$R,"IRRIGATED")</f>
        <v>#DIV/0!</v>
      </c>
      <c r="BY78" s="7" t="e">
        <f>AVERAGEIFS('Data(perSeason,perCrop)'!$P:$P,'Data(perSeason,perCrop)'!$S:$S,Indicators!$B84,'Data(perSeason,perCrop)'!$O:$O,Indicators!BY$7,'Data(perSeason,perCrop)'!$C:$C,Indicators!BY$3,'Data(perSeason,perCrop)'!$R:$R,"IRRIGATED")</f>
        <v>#DIV/0!</v>
      </c>
      <c r="BZ78" s="7" t="e">
        <f>AVERAGEIFS('Data(perSeason,perCrop)'!$P:$P,'Data(perSeason,perCrop)'!$S:$S,Indicators!$B84,'Data(perSeason,perCrop)'!$O:$O,Indicators!BZ$7,'Data(perSeason,perCrop)'!$C:$C,Indicators!BZ$3,'Data(perSeason,perCrop)'!$R:$R,"IRRIGATED")</f>
        <v>#DIV/0!</v>
      </c>
      <c r="CA78" s="7" t="e">
        <f>AVERAGEIFS('Data(perSeason,perCrop)'!$P:$P,'Data(perSeason,perCrop)'!$S:$S,Indicators!$B84,'Data(perSeason,perCrop)'!$O:$O,Indicators!CA$7,'Data(perSeason,perCrop)'!$C:$C,Indicators!CA$3,'Data(perSeason,perCrop)'!$R:$R,"IRRIGATED")</f>
        <v>#DIV/0!</v>
      </c>
      <c r="CB78" s="7" t="e">
        <f>AVERAGEIFS('Data(perSeason,perCrop)'!$P:$P,'Data(perSeason,perCrop)'!$S:$S,Indicators!$B84,'Data(perSeason,perCrop)'!$O:$O,Indicators!CB$7,'Data(perSeason,perCrop)'!$C:$C,Indicators!CB$3,'Data(perSeason,perCrop)'!$R:$R,"IRRIGATED")</f>
        <v>#DIV/0!</v>
      </c>
      <c r="CC78" s="7" t="e">
        <f>AVERAGEIFS('Data(perSeason,perCrop)'!$P:$P,'Data(perSeason,perCrop)'!$S:$S,Indicators!$B84,'Data(perSeason,perCrop)'!$O:$O,Indicators!CC$7,'Data(perSeason,perCrop)'!$C:$C,Indicators!CC$3,'Data(perSeason,perCrop)'!$R:$R,"IRRIGATED")</f>
        <v>#DIV/0!</v>
      </c>
      <c r="CD78" s="7" t="e">
        <f>AVERAGEIFS('Data(perSeason,perCrop)'!$P:$P,'Data(perSeason,perCrop)'!$S:$S,Indicators!$B84,'Data(perSeason,perCrop)'!$O:$O,Indicators!CD$7,'Data(perSeason,perCrop)'!$C:$C,Indicators!CD$3,'Data(perSeason,perCrop)'!$R:$R,"IRRIGATED")</f>
        <v>#DIV/0!</v>
      </c>
      <c r="CE78" s="7" t="e">
        <f>AVERAGEIFS('Data(perSeason,perCrop)'!$P:$P,'Data(perSeason,perCrop)'!$S:$S,Indicators!$B84,'Data(perSeason,perCrop)'!$O:$O,Indicators!CE$7,'Data(perSeason,perCrop)'!$C:$C,Indicators!CE$3,'Data(perSeason,perCrop)'!$R:$R,"IRRIGATED")</f>
        <v>#DIV/0!</v>
      </c>
      <c r="CF78" s="7" t="e">
        <f>AVERAGEIFS('Data(perSeason,perCrop)'!$P:$P,'Data(perSeason,perCrop)'!$S:$S,Indicators!$B84,'Data(perSeason,perCrop)'!$O:$O,Indicators!CF$7,'Data(perSeason,perCrop)'!$C:$C,Indicators!CF$3,'Data(perSeason,perCrop)'!$R:$R,"IRRIGATED")</f>
        <v>#DIV/0!</v>
      </c>
      <c r="CG78" s="7" t="e">
        <f>AVERAGEIFS('Data(perSeason,perCrop)'!$P:$P,'Data(perSeason,perCrop)'!$S:$S,Indicators!$B84,'Data(perSeason,perCrop)'!$O:$O,Indicators!CG$7,'Data(perSeason,perCrop)'!$C:$C,Indicators!CG$3,'Data(perSeason,perCrop)'!$R:$R,"IRRIGATED")</f>
        <v>#DIV/0!</v>
      </c>
      <c r="CH78" s="7" t="e">
        <f>AVERAGEIFS('Data(perSeason,perCrop)'!$P:$P,'Data(perSeason,perCrop)'!$S:$S,Indicators!$B84,'Data(perSeason,perCrop)'!$O:$O,Indicators!CH$7,'Data(perSeason,perCrop)'!$C:$C,Indicators!CH$3,'Data(perSeason,perCrop)'!$R:$R,"IRRIGATED")</f>
        <v>#DIV/0!</v>
      </c>
      <c r="CI78" s="7" t="e">
        <f>AVERAGEIFS('Data(perSeason,perCrop)'!$P:$P,'Data(perSeason,perCrop)'!$S:$S,Indicators!$B84,'Data(perSeason,perCrop)'!$O:$O,Indicators!CI$7,'Data(perSeason,perCrop)'!$C:$C,Indicators!CI$3,'Data(perSeason,perCrop)'!$R:$R,"IRRIGATED")</f>
        <v>#DIV/0!</v>
      </c>
      <c r="CJ78" s="7" t="e">
        <f>AVERAGEIFS('Data(perSeason,perCrop)'!$P:$P,'Data(perSeason,perCrop)'!$S:$S,Indicators!$B84,'Data(perSeason,perCrop)'!$O:$O,Indicators!CJ$7,'Data(perSeason,perCrop)'!$C:$C,Indicators!CJ$3,'Data(perSeason,perCrop)'!$R:$R,"IRRIGATED")</f>
        <v>#DIV/0!</v>
      </c>
      <c r="CK78" s="7" t="e">
        <f>AVERAGEIFS('Data(perSeason,perCrop)'!$P:$P,'Data(perSeason,perCrop)'!$S:$S,Indicators!$B84,'Data(perSeason,perCrop)'!$O:$O,Indicators!CK$7,'Data(perSeason,perCrop)'!$C:$C,Indicators!CK$3,'Data(perSeason,perCrop)'!$R:$R,"IRRIGATED")</f>
        <v>#DIV/0!</v>
      </c>
      <c r="CL78" s="7" t="e">
        <f>AVERAGEIFS('Data(perSeason,perCrop)'!$P:$P,'Data(perSeason,perCrop)'!$S:$S,Indicators!$B84,'Data(perSeason,perCrop)'!$O:$O,Indicators!CL$7,'Data(perSeason,perCrop)'!$C:$C,Indicators!CL$3,'Data(perSeason,perCrop)'!$R:$R,"IRRIGATED")</f>
        <v>#DIV/0!</v>
      </c>
      <c r="CM78" s="7" t="e">
        <f>AVERAGEIFS('Data(perSeason,perCrop)'!$P:$P,'Data(perSeason,perCrop)'!$S:$S,Indicators!$B84,'Data(perSeason,perCrop)'!$O:$O,Indicators!CM$7,'Data(perSeason,perCrop)'!$C:$C,Indicators!CM$3,'Data(perSeason,perCrop)'!$R:$R,"IRRIGATED")</f>
        <v>#DIV/0!</v>
      </c>
      <c r="CN78" s="7" t="e">
        <f>AVERAGEIFS('Data(perSeason,perCrop)'!$P:$P,'Data(perSeason,perCrop)'!$S:$S,Indicators!$B84,'Data(perSeason,perCrop)'!$O:$O,Indicators!CN$7,'Data(perSeason,perCrop)'!$C:$C,Indicators!CN$3,'Data(perSeason,perCrop)'!$R:$R,"IRRIGATED")</f>
        <v>#DIV/0!</v>
      </c>
      <c r="CO78" s="7" t="e">
        <f>AVERAGEIFS('Data(perSeason,perCrop)'!$P:$P,'Data(perSeason,perCrop)'!$S:$S,Indicators!$B84,'Data(perSeason,perCrop)'!$O:$O,Indicators!CO$7,'Data(perSeason,perCrop)'!$C:$C,Indicators!CO$3,'Data(perSeason,perCrop)'!$R:$R,"IRRIGATED")</f>
        <v>#DIV/0!</v>
      </c>
      <c r="CP78" s="7">
        <f>AVERAGEIFS('Data(perSeason,perCrop)'!$P:$P,'Data(perSeason,perCrop)'!$S:$S,Indicators!$B84,'Data(perSeason,perCrop)'!$O:$O,Indicators!CP$7,'Data(perSeason,perCrop)'!$C:$C,Indicators!CP$3,'Data(perSeason,perCrop)'!$R:$R,"IRRIGATED")</f>
        <v>3842</v>
      </c>
      <c r="CQ78" s="7">
        <f>AVERAGEIFS('Data(perSeason,perCrop)'!$P:$P,'Data(perSeason,perCrop)'!$S:$S,Indicators!$B84,'Data(perSeason,perCrop)'!$O:$O,Indicators!CQ$7,'Data(perSeason,perCrop)'!$C:$C,Indicators!CQ$3,'Data(perSeason,perCrop)'!$R:$R,"IRRIGATED")</f>
        <v>2455</v>
      </c>
      <c r="CR78" s="7" t="e">
        <f>AVERAGEIFS('Data(perSeason,perCrop)'!$P:$P,'Data(perSeason,perCrop)'!$S:$S,Indicators!$B84,'Data(perSeason,perCrop)'!$O:$O,Indicators!CR$7,'Data(perSeason,perCrop)'!$C:$C,Indicators!CR$3,'Data(perSeason,perCrop)'!$R:$R,"IRRIGATED")</f>
        <v>#DIV/0!</v>
      </c>
      <c r="CS78" s="7">
        <f>AVERAGEIFS('Data(perSeason,perCrop)'!$P:$P,'Data(perSeason,perCrop)'!$S:$S,Indicators!$B84,'Data(perSeason,perCrop)'!$O:$O,Indicators!CS$7,'Data(perSeason,perCrop)'!$C:$C,Indicators!CS$3,'Data(perSeason,perCrop)'!$R:$R,"IRRIGATED")</f>
        <v>2562</v>
      </c>
      <c r="CT78" s="7" t="e">
        <f>AVERAGEIFS('Data(perSeason,perCrop)'!$P:$P,'Data(perSeason,perCrop)'!$S:$S,Indicators!$B84,'Data(perSeason,perCrop)'!$O:$O,Indicators!CT$7,'Data(perSeason,perCrop)'!$C:$C,Indicators!CT$3,'Data(perSeason,perCrop)'!$R:$R,"IRRIGATED")</f>
        <v>#DIV/0!</v>
      </c>
      <c r="CU78" s="7" t="e">
        <f>AVERAGEIFS('Data(perSeason,perCrop)'!$P:$P,'Data(perSeason,perCrop)'!$S:$S,Indicators!$B84,'Data(perSeason,perCrop)'!$O:$O,Indicators!CU$7,'Data(perSeason,perCrop)'!$C:$C,Indicators!CU$3,'Data(perSeason,perCrop)'!$R:$R,"IRRIGATED")</f>
        <v>#DIV/0!</v>
      </c>
      <c r="CV78" s="7">
        <f>AVERAGEIFS('Data(perSeason,perCrop)'!$P:$P,'Data(perSeason,perCrop)'!$S:$S,Indicators!$B84,'Data(perSeason,perCrop)'!$O:$O,Indicators!CV$7,'Data(perSeason,perCrop)'!$C:$C,Indicators!CV$3,'Data(perSeason,perCrop)'!$R:$R,"IRRIGATED")</f>
        <v>3447</v>
      </c>
      <c r="CW78" s="7" t="e">
        <f>AVERAGEIFS('Data(perSeason,perCrop)'!$P:$P,'Data(perSeason,perCrop)'!$S:$S,Indicators!$B84,'Data(perSeason,perCrop)'!$O:$O,Indicators!CW$7,'Data(perSeason,perCrop)'!$C:$C,Indicators!CW$3,'Data(perSeason,perCrop)'!$R:$R,"IRRIGATED")</f>
        <v>#DIV/0!</v>
      </c>
      <c r="CX78" s="7" t="e">
        <f>AVERAGEIFS('Data(perSeason,perCrop)'!$P:$P,'Data(perSeason,perCrop)'!$S:$S,Indicators!$B84,'Data(perSeason,perCrop)'!$O:$O,Indicators!CX$7,'Data(perSeason,perCrop)'!$C:$C,Indicators!CX$3,'Data(perSeason,perCrop)'!$R:$R,"IRRIGATED")</f>
        <v>#DIV/0!</v>
      </c>
      <c r="CY78" s="7" t="e">
        <f>AVERAGEIFS('Data(perSeason,perCrop)'!$P:$P,'Data(perSeason,perCrop)'!$S:$S,Indicators!$B84,'Data(perSeason,perCrop)'!$O:$O,Indicators!CY$7,'Data(perSeason,perCrop)'!$C:$C,Indicators!CY$3,'Data(perSeason,perCrop)'!$R:$R,"IRRIGATED")</f>
        <v>#DIV/0!</v>
      </c>
      <c r="CZ78" s="7" t="e">
        <f>AVERAGEIFS('Data(perSeason,perCrop)'!$P:$P,'Data(perSeason,perCrop)'!$S:$S,Indicators!$B84,'Data(perSeason,perCrop)'!$O:$O,Indicators!CZ$7,'Data(perSeason,perCrop)'!$C:$C,Indicators!CZ$3,'Data(perSeason,perCrop)'!$R:$R,"IRRIGATED")</f>
        <v>#DIV/0!</v>
      </c>
      <c r="DA78" s="7" t="e">
        <f>AVERAGEIFS('Data(perSeason,perCrop)'!$P:$P,'Data(perSeason,perCrop)'!$S:$S,Indicators!$B84,'Data(perSeason,perCrop)'!$O:$O,Indicators!DA$7,'Data(perSeason,perCrop)'!$C:$C,Indicators!DA$3,'Data(perSeason,perCrop)'!$R:$R,"IRRIGATED")</f>
        <v>#DIV/0!</v>
      </c>
      <c r="DB78" s="7" t="e">
        <f>AVERAGEIFS('Data(perSeason,perCrop)'!$P:$P,'Data(perSeason,perCrop)'!$S:$S,Indicators!$B84,'Data(perSeason,perCrop)'!$O:$O,Indicators!DB$7,'Data(perSeason,perCrop)'!$C:$C,Indicators!DB$3,'Data(perSeason,perCrop)'!$R:$R,"IRRIGATED")</f>
        <v>#DIV/0!</v>
      </c>
      <c r="DC78" s="7" t="e">
        <f>AVERAGEIFS('Data(perSeason,perCrop)'!$P:$P,'Data(perSeason,perCrop)'!$S:$S,Indicators!$B84,'Data(perSeason,perCrop)'!$O:$O,Indicators!DC$7,'Data(perSeason,perCrop)'!$C:$C,Indicators!DC$3,'Data(perSeason,perCrop)'!$R:$R,"IRRIGATED")</f>
        <v>#DIV/0!</v>
      </c>
      <c r="DD78" s="7" t="e">
        <f>AVERAGEIFS('Data(perSeason,perCrop)'!$P:$P,'Data(perSeason,perCrop)'!$S:$S,Indicators!$B84,'Data(perSeason,perCrop)'!$O:$O,Indicators!DD$7,'Data(perSeason,perCrop)'!$C:$C,Indicators!DD$3,'Data(perSeason,perCrop)'!$R:$R,"IRRIGATED")</f>
        <v>#DIV/0!</v>
      </c>
      <c r="DE78" s="7" t="e">
        <f>AVERAGEIFS('Data(perSeason,perCrop)'!$P:$P,'Data(perSeason,perCrop)'!$S:$S,Indicators!$B84,'Data(perSeason,perCrop)'!$O:$O,Indicators!DE$7,'Data(perSeason,perCrop)'!$C:$C,Indicators!DE$3,'Data(perSeason,perCrop)'!$R:$R,"IRRIGATED")</f>
        <v>#DIV/0!</v>
      </c>
      <c r="DF78" s="7" t="e">
        <f>AVERAGEIFS('Data(perSeason,perCrop)'!$P:$P,'Data(perSeason,perCrop)'!$S:$S,Indicators!$B84,'Data(perSeason,perCrop)'!$O:$O,Indicators!DF$7,'Data(perSeason,perCrop)'!$C:$C,Indicators!DF$3,'Data(perSeason,perCrop)'!$R:$R,"IRRIGATED")</f>
        <v>#DIV/0!</v>
      </c>
      <c r="DG78" s="7" t="e">
        <f>AVERAGEIFS('Data(perSeason,perCrop)'!$P:$P,'Data(perSeason,perCrop)'!$S:$S,Indicators!$B84,'Data(perSeason,perCrop)'!$O:$O,Indicators!DG$7,'Data(perSeason,perCrop)'!$C:$C,Indicators!DG$3,'Data(perSeason,perCrop)'!$R:$R,"IRRIGATED")</f>
        <v>#DIV/0!</v>
      </c>
    </row>
    <row r="79" spans="1:111" x14ac:dyDescent="0.25">
      <c r="B79" s="5" t="s">
        <v>66</v>
      </c>
      <c r="C79" s="11">
        <f t="shared" ref="C79:E79" si="46">AVERAGE(C74:C78)</f>
        <v>0.64074025532548107</v>
      </c>
      <c r="D79" s="11">
        <f t="shared" si="46"/>
        <v>0.45399189819518104</v>
      </c>
      <c r="E79" s="11">
        <f t="shared" si="46"/>
        <v>0.35919679075996658</v>
      </c>
      <c r="F79" s="11">
        <f>AVERAGE(F74:F78)</f>
        <v>0.78256642458596481</v>
      </c>
      <c r="I79" s="5"/>
      <c r="J79" s="2" t="s">
        <v>36</v>
      </c>
      <c r="K79" s="9" t="e">
        <f t="shared" ref="K79:AF79" si="47">AVERAGE(K74:K78)</f>
        <v>#DIV/0!</v>
      </c>
      <c r="L79" s="9" t="e">
        <f t="shared" si="47"/>
        <v>#DIV/0!</v>
      </c>
      <c r="M79" s="9" t="e">
        <f t="shared" si="47"/>
        <v>#DIV/0!</v>
      </c>
      <c r="N79" s="9">
        <f t="shared" si="47"/>
        <v>17689</v>
      </c>
      <c r="O79" s="9">
        <f t="shared" si="47"/>
        <v>9960.6</v>
      </c>
      <c r="P79" s="9" t="e">
        <f t="shared" si="47"/>
        <v>#DIV/0!</v>
      </c>
      <c r="Q79" s="9">
        <f t="shared" si="47"/>
        <v>13256.2</v>
      </c>
      <c r="R79" s="9" t="e">
        <f t="shared" si="47"/>
        <v>#DIV/0!</v>
      </c>
      <c r="S79" s="63" t="e">
        <f t="shared" si="47"/>
        <v>#DIV/0!</v>
      </c>
      <c r="T79" s="63">
        <f t="shared" si="47"/>
        <v>4652</v>
      </c>
      <c r="U79" s="63" t="e">
        <f t="shared" si="47"/>
        <v>#DIV/0!</v>
      </c>
      <c r="V79" s="63" t="e">
        <f t="shared" si="47"/>
        <v>#DIV/0!</v>
      </c>
      <c r="W79" s="63" t="e">
        <f t="shared" si="47"/>
        <v>#DIV/0!</v>
      </c>
      <c r="X79" s="63" t="e">
        <f t="shared" si="47"/>
        <v>#DIV/0!</v>
      </c>
      <c r="Y79" s="63" t="e">
        <f t="shared" si="47"/>
        <v>#DIV/0!</v>
      </c>
      <c r="Z79" s="63" t="e">
        <f t="shared" si="47"/>
        <v>#DIV/0!</v>
      </c>
      <c r="AA79" s="63" t="e">
        <f t="shared" si="47"/>
        <v>#DIV/0!</v>
      </c>
      <c r="AB79" s="63" t="e">
        <f t="shared" si="47"/>
        <v>#DIV/0!</v>
      </c>
      <c r="AC79" s="63" t="e">
        <f t="shared" si="47"/>
        <v>#DIV/0!</v>
      </c>
      <c r="AD79" s="63" t="e">
        <f t="shared" si="47"/>
        <v>#DIV/0!</v>
      </c>
      <c r="AE79" s="63" t="e">
        <f t="shared" si="47"/>
        <v>#DIV/0!</v>
      </c>
      <c r="AF79" s="63">
        <f t="shared" si="47"/>
        <v>5187</v>
      </c>
      <c r="AG79" s="63">
        <f t="shared" ref="AG79:AW79" si="48">AVERAGE(AG74:AG78)</f>
        <v>4818.3999999999996</v>
      </c>
      <c r="AH79" s="63" t="e">
        <f t="shared" si="48"/>
        <v>#DIV/0!</v>
      </c>
      <c r="AI79" s="63">
        <f t="shared" si="48"/>
        <v>4786</v>
      </c>
      <c r="AJ79" s="63" t="e">
        <f t="shared" si="48"/>
        <v>#DIV/0!</v>
      </c>
      <c r="AK79" s="63" t="e">
        <f t="shared" si="48"/>
        <v>#DIV/0!</v>
      </c>
      <c r="AL79" s="63">
        <f t="shared" si="48"/>
        <v>4871.8</v>
      </c>
      <c r="AM79" s="63" t="e">
        <f t="shared" si="48"/>
        <v>#DIV/0!</v>
      </c>
      <c r="AN79" s="63" t="e">
        <f t="shared" si="48"/>
        <v>#DIV/0!</v>
      </c>
      <c r="AO79" s="63" t="e">
        <f t="shared" si="48"/>
        <v>#DIV/0!</v>
      </c>
      <c r="AP79" s="63" t="e">
        <f t="shared" si="48"/>
        <v>#DIV/0!</v>
      </c>
      <c r="AQ79" s="63" t="e">
        <f t="shared" si="48"/>
        <v>#DIV/0!</v>
      </c>
      <c r="AR79" s="63" t="e">
        <f t="shared" si="48"/>
        <v>#DIV/0!</v>
      </c>
      <c r="AS79" s="63" t="e">
        <f t="shared" si="48"/>
        <v>#DIV/0!</v>
      </c>
      <c r="AT79" s="63" t="e">
        <f t="shared" si="48"/>
        <v>#DIV/0!</v>
      </c>
      <c r="AU79" s="63" t="e">
        <f t="shared" si="48"/>
        <v>#DIV/0!</v>
      </c>
      <c r="AV79" s="63" t="e">
        <f t="shared" si="48"/>
        <v>#DIV/0!</v>
      </c>
      <c r="AW79" s="63" t="e">
        <f t="shared" si="48"/>
        <v>#DIV/0!</v>
      </c>
      <c r="AX79" s="9"/>
      <c r="AY79" s="9">
        <f t="shared" ref="AY79:AZ79" si="49">AVERAGE(AY74:AY78)</f>
        <v>5940.6</v>
      </c>
      <c r="AZ79" s="9" t="e">
        <f t="shared" si="49"/>
        <v>#DIV/0!</v>
      </c>
      <c r="BA79" s="9"/>
      <c r="BB79" s="9" t="e">
        <f t="shared" ref="BB79:BE79" si="50">AVERAGE(BB74:BB78)</f>
        <v>#DIV/0!</v>
      </c>
      <c r="BC79" s="9" t="e">
        <f t="shared" si="50"/>
        <v>#DIV/0!</v>
      </c>
      <c r="BD79" s="9" t="e">
        <f t="shared" si="50"/>
        <v>#DIV/0!</v>
      </c>
      <c r="BE79" s="9" t="e">
        <f t="shared" si="50"/>
        <v>#DIV/0!</v>
      </c>
      <c r="BF79" s="9"/>
      <c r="BG79" s="9" t="e">
        <f t="shared" ref="BG79" si="51">AVERAGE(BG74:BG78)</f>
        <v>#DIV/0!</v>
      </c>
      <c r="BH79" s="9"/>
      <c r="BI79" s="9" t="e">
        <f t="shared" ref="BI79:CO79" si="52">AVERAGE(BI74:BI78)</f>
        <v>#DIV/0!</v>
      </c>
      <c r="BJ79" s="9" t="e">
        <f t="shared" si="52"/>
        <v>#DIV/0!</v>
      </c>
      <c r="BK79" s="9" t="e">
        <f t="shared" si="52"/>
        <v>#DIV/0!</v>
      </c>
      <c r="BL79" s="9">
        <f t="shared" si="52"/>
        <v>6315.6</v>
      </c>
      <c r="BM79" s="9" t="e">
        <f t="shared" si="52"/>
        <v>#DIV/0!</v>
      </c>
      <c r="BN79" s="9">
        <f t="shared" si="52"/>
        <v>6046.6</v>
      </c>
      <c r="BO79" s="9" t="e">
        <f t="shared" si="52"/>
        <v>#DIV/0!</v>
      </c>
      <c r="BP79" s="9" t="e">
        <f t="shared" si="52"/>
        <v>#DIV/0!</v>
      </c>
      <c r="BQ79" s="9">
        <f t="shared" si="52"/>
        <v>7464.8</v>
      </c>
      <c r="BR79" s="9" t="e">
        <f t="shared" si="52"/>
        <v>#DIV/0!</v>
      </c>
      <c r="BS79" s="9" t="e">
        <f t="shared" si="52"/>
        <v>#DIV/0!</v>
      </c>
      <c r="BT79" s="9" t="e">
        <f t="shared" si="52"/>
        <v>#DIV/0!</v>
      </c>
      <c r="BU79" s="9" t="e">
        <f t="shared" si="52"/>
        <v>#DIV/0!</v>
      </c>
      <c r="BV79" s="9" t="e">
        <f t="shared" si="52"/>
        <v>#DIV/0!</v>
      </c>
      <c r="BW79" s="9" t="e">
        <f t="shared" si="52"/>
        <v>#DIV/0!</v>
      </c>
      <c r="BX79" s="9" t="e">
        <f t="shared" si="52"/>
        <v>#DIV/0!</v>
      </c>
      <c r="BY79" s="9" t="e">
        <f t="shared" si="52"/>
        <v>#DIV/0!</v>
      </c>
      <c r="BZ79" s="9" t="e">
        <f t="shared" si="52"/>
        <v>#DIV/0!</v>
      </c>
      <c r="CA79" s="9" t="e">
        <f t="shared" si="52"/>
        <v>#DIV/0!</v>
      </c>
      <c r="CB79" s="9" t="e">
        <f t="shared" si="52"/>
        <v>#DIV/0!</v>
      </c>
      <c r="CC79" s="9" t="e">
        <f t="shared" si="52"/>
        <v>#DIV/0!</v>
      </c>
      <c r="CD79" s="9" t="e">
        <f t="shared" si="52"/>
        <v>#DIV/0!</v>
      </c>
      <c r="CE79" s="9" t="e">
        <f t="shared" si="52"/>
        <v>#DIV/0!</v>
      </c>
      <c r="CF79" s="9" t="e">
        <f t="shared" si="52"/>
        <v>#DIV/0!</v>
      </c>
      <c r="CG79" s="9" t="e">
        <f t="shared" si="52"/>
        <v>#DIV/0!</v>
      </c>
      <c r="CH79" s="9" t="e">
        <f t="shared" si="52"/>
        <v>#DIV/0!</v>
      </c>
      <c r="CI79" s="9" t="e">
        <f t="shared" si="52"/>
        <v>#DIV/0!</v>
      </c>
      <c r="CJ79" s="9" t="e">
        <f t="shared" si="52"/>
        <v>#DIV/0!</v>
      </c>
      <c r="CK79" s="9" t="e">
        <f t="shared" si="52"/>
        <v>#DIV/0!</v>
      </c>
      <c r="CL79" s="9" t="e">
        <f t="shared" si="52"/>
        <v>#DIV/0!</v>
      </c>
      <c r="CM79" s="9" t="e">
        <f t="shared" si="52"/>
        <v>#DIV/0!</v>
      </c>
      <c r="CN79" s="9" t="e">
        <f t="shared" si="52"/>
        <v>#DIV/0!</v>
      </c>
      <c r="CO79" s="9" t="e">
        <f t="shared" si="52"/>
        <v>#DIV/0!</v>
      </c>
      <c r="CP79" s="9">
        <f t="shared" ref="CP79:DG79" si="53">AVERAGE(CP74:CP78)</f>
        <v>3866.6</v>
      </c>
      <c r="CQ79" s="9">
        <f t="shared" si="53"/>
        <v>2964.2</v>
      </c>
      <c r="CR79" s="9" t="e">
        <f t="shared" si="53"/>
        <v>#DIV/0!</v>
      </c>
      <c r="CS79" s="9">
        <f t="shared" si="53"/>
        <v>2919</v>
      </c>
      <c r="CT79" s="9" t="e">
        <f t="shared" si="53"/>
        <v>#DIV/0!</v>
      </c>
      <c r="CU79" s="9" t="e">
        <f t="shared" si="53"/>
        <v>#DIV/0!</v>
      </c>
      <c r="CV79" s="9">
        <f t="shared" si="53"/>
        <v>3662.6</v>
      </c>
      <c r="CW79" s="9" t="e">
        <f t="shared" si="53"/>
        <v>#DIV/0!</v>
      </c>
      <c r="CX79" s="9" t="e">
        <f t="shared" si="53"/>
        <v>#DIV/0!</v>
      </c>
      <c r="CY79" s="9" t="e">
        <f t="shared" si="53"/>
        <v>#DIV/0!</v>
      </c>
      <c r="CZ79" s="9" t="e">
        <f t="shared" si="53"/>
        <v>#DIV/0!</v>
      </c>
      <c r="DA79" s="9" t="e">
        <f t="shared" si="53"/>
        <v>#DIV/0!</v>
      </c>
      <c r="DB79" s="9" t="e">
        <f t="shared" si="53"/>
        <v>#DIV/0!</v>
      </c>
      <c r="DC79" s="9" t="e">
        <f t="shared" si="53"/>
        <v>#DIV/0!</v>
      </c>
      <c r="DD79" s="9" t="e">
        <f t="shared" si="53"/>
        <v>#DIV/0!</v>
      </c>
      <c r="DE79" s="9" t="e">
        <f t="shared" si="53"/>
        <v>#DIV/0!</v>
      </c>
      <c r="DF79" s="9" t="e">
        <f t="shared" si="53"/>
        <v>#DIV/0!</v>
      </c>
      <c r="DG79" s="9" t="e">
        <f t="shared" si="53"/>
        <v>#DIV/0!</v>
      </c>
    </row>
    <row r="80" spans="1:111" s="70" customFormat="1" ht="18.75" x14ac:dyDescent="0.3">
      <c r="A80" s="69" t="s">
        <v>3</v>
      </c>
      <c r="B80" s="70">
        <v>2018</v>
      </c>
      <c r="C80" s="71">
        <f>IF(COUNTIFS('Data(perSeason,perCrop)'!$S:$S,Indicators!$B80)&gt;0,SUMPRODUCT(S15:AW15,S80:AW80)/SUM(S15:AW15),"")</f>
        <v>2.1635978201210526</v>
      </c>
      <c r="D80" s="71">
        <f>IF(COUNTIFS('Data(perSeason,perCrop)'!$S:$S,Indicators!$B80)&gt;0,SUMPRODUCT(AX15:CB15,AX80:CB80)/SUM(AX15:CB15),"")</f>
        <v>2.7661808572205873</v>
      </c>
      <c r="E80" s="71">
        <f>IF(COUNTIFS('Data(perSeason,perCrop)'!$S:$S,Indicators!$B80)&gt;0,SUMPRODUCT(CC15:DG15,CC80:DG80)/SUM(CC15:DG15),"")</f>
        <v>0.71536460966167059</v>
      </c>
      <c r="F80" s="71">
        <f>IF(COUNTIFS('Data(perSeason,perCrop)'!$S:$S,Indicators!$B80)&gt;0,SUMPRODUCT(K15:R15,K80:R80)/SUM(K15:R15),"")</f>
        <v>2.1614900617109734</v>
      </c>
      <c r="G80" s="71"/>
      <c r="H80" s="71"/>
      <c r="J80" s="72" t="s">
        <v>18</v>
      </c>
      <c r="K80" s="71">
        <f>IF(ISNUMBER(K68)=TRUE,K74/(K68*(1/1000*10000)),"")</f>
        <v>2.471563981042654</v>
      </c>
      <c r="L80" s="71" t="str">
        <f t="shared" ref="K80:AW85" si="54">IF(ISNUMBER(L68)=TRUE,L74/(L68*(1/1000*10000)),"")</f>
        <v/>
      </c>
      <c r="M80" s="71" t="str">
        <f t="shared" si="54"/>
        <v/>
      </c>
      <c r="N80" s="71">
        <f t="shared" si="54"/>
        <v>1.8613832853025936</v>
      </c>
      <c r="O80" s="71">
        <f t="shared" si="54"/>
        <v>2.3975806451612902</v>
      </c>
      <c r="P80" s="71" t="str">
        <f t="shared" si="54"/>
        <v/>
      </c>
      <c r="Q80" s="71">
        <f t="shared" si="54"/>
        <v>1.5562893081761007</v>
      </c>
      <c r="R80" s="71" t="str">
        <f t="shared" si="54"/>
        <v/>
      </c>
      <c r="S80" s="73" t="str">
        <f t="shared" si="54"/>
        <v/>
      </c>
      <c r="T80" s="73">
        <f t="shared" si="54"/>
        <v>2.1795847750865054</v>
      </c>
      <c r="U80" s="73" t="str">
        <f t="shared" ref="U80:AF80" si="55">IF(ISNUMBER(U68)=TRUE,U74/(U68*(1/1000*10000)),"")</f>
        <v/>
      </c>
      <c r="V80" s="73" t="str">
        <f t="shared" si="55"/>
        <v/>
      </c>
      <c r="W80" s="73" t="str">
        <f t="shared" si="55"/>
        <v/>
      </c>
      <c r="X80" s="73" t="str">
        <f t="shared" si="55"/>
        <v/>
      </c>
      <c r="Y80" s="73" t="str">
        <f t="shared" si="55"/>
        <v/>
      </c>
      <c r="Z80" s="73" t="str">
        <f t="shared" si="55"/>
        <v/>
      </c>
      <c r="AA80" s="73" t="str">
        <f t="shared" si="55"/>
        <v/>
      </c>
      <c r="AB80" s="73" t="str">
        <f t="shared" si="55"/>
        <v/>
      </c>
      <c r="AC80" s="73" t="str">
        <f t="shared" si="55"/>
        <v/>
      </c>
      <c r="AD80" s="73" t="str">
        <f t="shared" si="55"/>
        <v/>
      </c>
      <c r="AE80" s="73" t="str">
        <f t="shared" si="55"/>
        <v/>
      </c>
      <c r="AF80" s="73">
        <f t="shared" si="55"/>
        <v>1.9450292397660818</v>
      </c>
      <c r="AG80" s="73">
        <f t="shared" si="54"/>
        <v>2.1555555555555554</v>
      </c>
      <c r="AH80" s="73" t="str">
        <f t="shared" si="54"/>
        <v/>
      </c>
      <c r="AI80" s="73">
        <f t="shared" si="54"/>
        <v>2.1752613240418119</v>
      </c>
      <c r="AJ80" s="73" t="str">
        <f t="shared" si="54"/>
        <v/>
      </c>
      <c r="AK80" s="73" t="str">
        <f t="shared" si="54"/>
        <v/>
      </c>
      <c r="AL80" s="73">
        <f t="shared" si="54"/>
        <v>2.1125827814569536</v>
      </c>
      <c r="AM80" s="73" t="str">
        <f t="shared" si="54"/>
        <v/>
      </c>
      <c r="AN80" s="73" t="str">
        <f t="shared" si="54"/>
        <v/>
      </c>
      <c r="AO80" s="73" t="str">
        <f t="shared" si="54"/>
        <v/>
      </c>
      <c r="AP80" s="73" t="str">
        <f t="shared" si="54"/>
        <v/>
      </c>
      <c r="AQ80" s="73" t="str">
        <f t="shared" si="54"/>
        <v/>
      </c>
      <c r="AR80" s="73" t="str">
        <f t="shared" si="54"/>
        <v/>
      </c>
      <c r="AS80" s="73" t="str">
        <f t="shared" si="54"/>
        <v/>
      </c>
      <c r="AT80" s="73" t="str">
        <f t="shared" si="54"/>
        <v/>
      </c>
      <c r="AU80" s="73" t="str">
        <f t="shared" si="54"/>
        <v/>
      </c>
      <c r="AV80" s="73" t="str">
        <f t="shared" si="54"/>
        <v/>
      </c>
      <c r="AW80" s="73" t="str">
        <f t="shared" si="54"/>
        <v/>
      </c>
      <c r="AX80" s="71"/>
      <c r="AY80" s="71">
        <f t="shared" ref="AY80:CB85" si="56">IF(ISNUMBER(AY68)=TRUE,AY74/(AY68*(1/1000*10000)),"")</f>
        <v>2.7627192982456141</v>
      </c>
      <c r="AZ80" s="71" t="str">
        <f t="shared" si="56"/>
        <v/>
      </c>
      <c r="BA80" s="71"/>
      <c r="BB80" s="71" t="str">
        <f t="shared" si="56"/>
        <v/>
      </c>
      <c r="BC80" s="71" t="str">
        <f t="shared" si="56"/>
        <v/>
      </c>
      <c r="BD80" s="71" t="str">
        <f t="shared" si="56"/>
        <v/>
      </c>
      <c r="BE80" s="71" t="str">
        <f t="shared" si="56"/>
        <v/>
      </c>
      <c r="BF80" s="71"/>
      <c r="BG80" s="71" t="str">
        <f t="shared" si="56"/>
        <v/>
      </c>
      <c r="BH80" s="71"/>
      <c r="BI80" s="71" t="str">
        <f t="shared" si="56"/>
        <v/>
      </c>
      <c r="BJ80" s="71" t="str">
        <f t="shared" si="56"/>
        <v/>
      </c>
      <c r="BK80" s="71" t="str">
        <f t="shared" si="56"/>
        <v/>
      </c>
      <c r="BL80" s="71">
        <f t="shared" si="56"/>
        <v>2.7480349344978166</v>
      </c>
      <c r="BM80" s="71" t="str">
        <f t="shared" si="56"/>
        <v/>
      </c>
      <c r="BN80" s="71">
        <f t="shared" si="56"/>
        <v>2.6045045045045043</v>
      </c>
      <c r="BO80" s="71" t="str">
        <f t="shared" si="56"/>
        <v/>
      </c>
      <c r="BP80" s="71" t="str">
        <f t="shared" si="56"/>
        <v/>
      </c>
      <c r="BQ80" s="71">
        <f t="shared" si="56"/>
        <v>2.8650190114068441</v>
      </c>
      <c r="BR80" s="71" t="str">
        <f t="shared" si="56"/>
        <v/>
      </c>
      <c r="BS80" s="71" t="str">
        <f t="shared" si="56"/>
        <v/>
      </c>
      <c r="BT80" s="71" t="str">
        <f t="shared" si="56"/>
        <v/>
      </c>
      <c r="BU80" s="71" t="str">
        <f t="shared" si="56"/>
        <v/>
      </c>
      <c r="BV80" s="71" t="str">
        <f t="shared" si="56"/>
        <v/>
      </c>
      <c r="BW80" s="71" t="str">
        <f t="shared" si="56"/>
        <v/>
      </c>
      <c r="BX80" s="71" t="str">
        <f t="shared" si="56"/>
        <v/>
      </c>
      <c r="BY80" s="71" t="str">
        <f t="shared" si="56"/>
        <v/>
      </c>
      <c r="BZ80" s="71" t="str">
        <f t="shared" si="56"/>
        <v/>
      </c>
      <c r="CA80" s="71" t="str">
        <f t="shared" si="56"/>
        <v/>
      </c>
      <c r="CB80" s="71" t="str">
        <f t="shared" si="56"/>
        <v/>
      </c>
      <c r="CC80" s="71" t="str">
        <f t="shared" ref="CC80:CO80" si="57">IF(ISNUMBER(CC68)=TRUE,CC74/(CC68*(1/1000*10000)),"")</f>
        <v/>
      </c>
      <c r="CD80" s="71" t="str">
        <f t="shared" si="57"/>
        <v/>
      </c>
      <c r="CE80" s="71" t="str">
        <f t="shared" si="57"/>
        <v/>
      </c>
      <c r="CF80" s="71" t="str">
        <f t="shared" si="57"/>
        <v/>
      </c>
      <c r="CG80" s="71" t="str">
        <f t="shared" si="57"/>
        <v/>
      </c>
      <c r="CH80" s="71" t="str">
        <f t="shared" si="57"/>
        <v/>
      </c>
      <c r="CI80" s="71" t="str">
        <f t="shared" si="57"/>
        <v/>
      </c>
      <c r="CJ80" s="71" t="str">
        <f t="shared" si="57"/>
        <v/>
      </c>
      <c r="CK80" s="71" t="str">
        <f t="shared" si="57"/>
        <v/>
      </c>
      <c r="CL80" s="71" t="str">
        <f t="shared" si="57"/>
        <v/>
      </c>
      <c r="CM80" s="71" t="str">
        <f t="shared" si="57"/>
        <v/>
      </c>
      <c r="CN80" s="71" t="str">
        <f t="shared" si="57"/>
        <v/>
      </c>
      <c r="CO80" s="71" t="str">
        <f t="shared" si="57"/>
        <v/>
      </c>
      <c r="CP80" s="71">
        <f t="shared" ref="CD80:DG85" si="58">IF(ISNUMBER(CP68)=TRUE,CP74/(CP68*(1/1000*10000)),"")</f>
        <v>0.68661257606490878</v>
      </c>
      <c r="CQ80" s="71">
        <f>IF(ISNUMBER(CQ68)=TRUE,CQ74/(CQ68*(1/1000*10000)),"")</f>
        <v>0.81220238095238095</v>
      </c>
      <c r="CR80" s="71" t="str">
        <f t="shared" si="58"/>
        <v/>
      </c>
      <c r="CS80" s="71">
        <f t="shared" si="58"/>
        <v>0.73161953727506424</v>
      </c>
      <c r="CT80" s="71" t="str">
        <f t="shared" si="58"/>
        <v/>
      </c>
      <c r="CU80" s="71" t="str">
        <f t="shared" si="58"/>
        <v/>
      </c>
      <c r="CV80" s="71">
        <f t="shared" si="58"/>
        <v>0.74673913043478257</v>
      </c>
      <c r="CW80" s="71" t="str">
        <f t="shared" si="58"/>
        <v/>
      </c>
      <c r="CX80" s="71" t="str">
        <f t="shared" si="58"/>
        <v/>
      </c>
      <c r="CY80" s="71" t="str">
        <f t="shared" si="58"/>
        <v/>
      </c>
      <c r="CZ80" s="71" t="str">
        <f t="shared" si="58"/>
        <v/>
      </c>
      <c r="DA80" s="71" t="str">
        <f t="shared" si="58"/>
        <v/>
      </c>
      <c r="DB80" s="71" t="str">
        <f t="shared" si="58"/>
        <v/>
      </c>
      <c r="DC80" s="71" t="str">
        <f t="shared" si="58"/>
        <v/>
      </c>
      <c r="DD80" s="71" t="str">
        <f t="shared" si="58"/>
        <v/>
      </c>
      <c r="DE80" s="71" t="str">
        <f t="shared" si="58"/>
        <v/>
      </c>
      <c r="DF80" s="71" t="str">
        <f t="shared" si="58"/>
        <v/>
      </c>
      <c r="DG80" s="71" t="str">
        <f t="shared" si="58"/>
        <v/>
      </c>
    </row>
    <row r="81" spans="1:111" s="70" customFormat="1" x14ac:dyDescent="0.25">
      <c r="A81" s="70" t="s">
        <v>8</v>
      </c>
      <c r="B81" s="70">
        <v>2019</v>
      </c>
      <c r="C81" s="71">
        <f>IF(COUNTIFS('Data(perSeason,perCrop)'!$S:$S,Indicators!$B81)&gt;0,SUMPRODUCT(S16:AW16,S81:AW81)/SUM(S16:AW16),"")</f>
        <v>1.7275766348426111</v>
      </c>
      <c r="D81" s="71">
        <f>IF(COUNTIFS('Data(perSeason,perCrop)'!$S:$S,Indicators!$B81)&gt;0,SUMPRODUCT(AX16:CB16,AX81:CB81)/SUM(AX16:CB16),"")</f>
        <v>2.9505460496041942</v>
      </c>
      <c r="E81" s="71">
        <f>IF(COUNTIFS('Data(perSeason,perCrop)'!$S:$S,Indicators!$B81)&gt;0,SUMPRODUCT(CC16:DG16,CC81:DG81)/SUM(CC16:DG16),"")</f>
        <v>1.2490338663243643</v>
      </c>
      <c r="F81" s="71">
        <f>IF(COUNTIFS('Data(perSeason,perCrop)'!$S:$S,Indicators!$B81)&gt;0,SUMPRODUCT(K16:R16,K81:R81)/SUM(K16:R16),"")</f>
        <v>1.9342508518723778</v>
      </c>
      <c r="G81" s="71"/>
      <c r="H81" s="71"/>
      <c r="J81" s="72" t="s">
        <v>18</v>
      </c>
      <c r="K81" s="71">
        <f t="shared" si="54"/>
        <v>2.2117801047120418</v>
      </c>
      <c r="L81" s="71">
        <f t="shared" si="54"/>
        <v>1.7544093178036606</v>
      </c>
      <c r="M81" s="71">
        <f t="shared" si="54"/>
        <v>1.6755192878338279</v>
      </c>
      <c r="N81" s="71">
        <f t="shared" si="54"/>
        <v>1.943634496919918</v>
      </c>
      <c r="O81" s="71">
        <f t="shared" si="54"/>
        <v>2.2791284403669723</v>
      </c>
      <c r="P81" s="71">
        <f t="shared" si="54"/>
        <v>2.2799097065462752</v>
      </c>
      <c r="Q81" s="71">
        <f t="shared" si="54"/>
        <v>1.7383211678832118</v>
      </c>
      <c r="R81" s="71">
        <f t="shared" si="54"/>
        <v>1.1912</v>
      </c>
      <c r="S81" s="73" t="str">
        <f t="shared" si="54"/>
        <v/>
      </c>
      <c r="T81" s="73">
        <f t="shared" si="54"/>
        <v>1.7554621848739496</v>
      </c>
      <c r="U81" s="73" t="str">
        <f t="shared" ref="U81:AF81" si="59">IF(ISNUMBER(U69)=TRUE,U75/(U69*(1/1000*10000)),"")</f>
        <v/>
      </c>
      <c r="V81" s="73" t="str">
        <f t="shared" si="59"/>
        <v/>
      </c>
      <c r="W81" s="73" t="str">
        <f t="shared" si="59"/>
        <v/>
      </c>
      <c r="X81" s="73" t="str">
        <f t="shared" si="59"/>
        <v/>
      </c>
      <c r="Y81" s="73" t="str">
        <f t="shared" si="59"/>
        <v/>
      </c>
      <c r="Z81" s="73" t="str">
        <f t="shared" si="59"/>
        <v/>
      </c>
      <c r="AA81" s="73" t="str">
        <f t="shared" si="59"/>
        <v/>
      </c>
      <c r="AB81" s="73" t="str">
        <f t="shared" si="59"/>
        <v/>
      </c>
      <c r="AC81" s="73" t="str">
        <f t="shared" si="59"/>
        <v/>
      </c>
      <c r="AD81" s="73" t="str">
        <f t="shared" si="59"/>
        <v/>
      </c>
      <c r="AE81" s="73" t="str">
        <f t="shared" si="59"/>
        <v/>
      </c>
      <c r="AF81" s="73">
        <f t="shared" si="59"/>
        <v>1.4547169811320755</v>
      </c>
      <c r="AG81" s="73">
        <f t="shared" si="54"/>
        <v>1.756768558951965</v>
      </c>
      <c r="AH81" s="73" t="str">
        <f t="shared" si="54"/>
        <v/>
      </c>
      <c r="AI81" s="73">
        <f t="shared" si="54"/>
        <v>1.7765957446808511</v>
      </c>
      <c r="AJ81" s="73" t="str">
        <f t="shared" si="54"/>
        <v/>
      </c>
      <c r="AK81" s="73" t="str">
        <f t="shared" si="54"/>
        <v/>
      </c>
      <c r="AL81" s="73">
        <f t="shared" si="54"/>
        <v>1.7039682539682539</v>
      </c>
      <c r="AM81" s="73" t="str">
        <f t="shared" si="54"/>
        <v/>
      </c>
      <c r="AN81" s="73" t="str">
        <f t="shared" si="54"/>
        <v/>
      </c>
      <c r="AO81" s="73" t="str">
        <f t="shared" si="54"/>
        <v/>
      </c>
      <c r="AP81" s="73" t="str">
        <f t="shared" si="54"/>
        <v/>
      </c>
      <c r="AQ81" s="73" t="str">
        <f t="shared" si="54"/>
        <v/>
      </c>
      <c r="AR81" s="73" t="str">
        <f t="shared" si="54"/>
        <v/>
      </c>
      <c r="AS81" s="73" t="str">
        <f t="shared" si="54"/>
        <v/>
      </c>
      <c r="AT81" s="73" t="str">
        <f t="shared" si="54"/>
        <v/>
      </c>
      <c r="AU81" s="73" t="str">
        <f t="shared" si="54"/>
        <v/>
      </c>
      <c r="AV81" s="73" t="str">
        <f t="shared" si="54"/>
        <v/>
      </c>
      <c r="AW81" s="73" t="str">
        <f t="shared" si="54"/>
        <v/>
      </c>
      <c r="AX81" s="71"/>
      <c r="AY81" s="71">
        <f t="shared" si="56"/>
        <v>2.9838095238095237</v>
      </c>
      <c r="AZ81" s="71" t="str">
        <f t="shared" si="56"/>
        <v/>
      </c>
      <c r="BA81" s="71"/>
      <c r="BB81" s="71" t="str">
        <f t="shared" si="56"/>
        <v/>
      </c>
      <c r="BC81" s="71" t="str">
        <f t="shared" si="56"/>
        <v/>
      </c>
      <c r="BD81" s="71" t="str">
        <f t="shared" si="56"/>
        <v/>
      </c>
      <c r="BE81" s="71" t="str">
        <f t="shared" si="56"/>
        <v/>
      </c>
      <c r="BF81" s="71"/>
      <c r="BG81" s="71" t="str">
        <f t="shared" si="56"/>
        <v/>
      </c>
      <c r="BH81" s="71"/>
      <c r="BI81" s="71" t="str">
        <f t="shared" si="56"/>
        <v/>
      </c>
      <c r="BJ81" s="71" t="str">
        <f t="shared" si="56"/>
        <v/>
      </c>
      <c r="BK81" s="71" t="str">
        <f t="shared" si="56"/>
        <v/>
      </c>
      <c r="BL81" s="71">
        <f t="shared" si="56"/>
        <v>2.936651583710407</v>
      </c>
      <c r="BM81" s="71" t="str">
        <f t="shared" si="56"/>
        <v/>
      </c>
      <c r="BN81" s="71">
        <f t="shared" si="56"/>
        <v>2.847085201793722</v>
      </c>
      <c r="BO81" s="71" t="str">
        <f t="shared" si="56"/>
        <v/>
      </c>
      <c r="BP81" s="71" t="str">
        <f t="shared" si="56"/>
        <v/>
      </c>
      <c r="BQ81" s="71">
        <f t="shared" si="56"/>
        <v>2.9394736842105265</v>
      </c>
      <c r="BR81" s="71" t="str">
        <f t="shared" si="56"/>
        <v/>
      </c>
      <c r="BS81" s="71" t="str">
        <f t="shared" si="56"/>
        <v/>
      </c>
      <c r="BT81" s="71" t="str">
        <f t="shared" si="56"/>
        <v/>
      </c>
      <c r="BU81" s="71" t="str">
        <f t="shared" si="56"/>
        <v/>
      </c>
      <c r="BV81" s="71" t="str">
        <f t="shared" si="56"/>
        <v/>
      </c>
      <c r="BW81" s="71" t="str">
        <f t="shared" si="56"/>
        <v/>
      </c>
      <c r="BX81" s="71" t="str">
        <f t="shared" si="56"/>
        <v/>
      </c>
      <c r="BY81" s="71" t="str">
        <f t="shared" si="56"/>
        <v/>
      </c>
      <c r="BZ81" s="71" t="str">
        <f t="shared" si="56"/>
        <v/>
      </c>
      <c r="CA81" s="71" t="str">
        <f t="shared" si="56"/>
        <v/>
      </c>
      <c r="CB81" s="71" t="str">
        <f t="shared" si="56"/>
        <v/>
      </c>
      <c r="CC81" s="71" t="str">
        <f t="shared" ref="CC81:CO81" si="60">IF(ISNUMBER(CC69)=TRUE,CC75/(CC69*(1/1000*10000)),"")</f>
        <v/>
      </c>
      <c r="CD81" s="71" t="str">
        <f t="shared" si="60"/>
        <v/>
      </c>
      <c r="CE81" s="71" t="str">
        <f t="shared" si="60"/>
        <v/>
      </c>
      <c r="CF81" s="71" t="str">
        <f t="shared" si="60"/>
        <v/>
      </c>
      <c r="CG81" s="71" t="str">
        <f t="shared" si="60"/>
        <v/>
      </c>
      <c r="CH81" s="71" t="str">
        <f t="shared" si="60"/>
        <v/>
      </c>
      <c r="CI81" s="71" t="str">
        <f t="shared" si="60"/>
        <v/>
      </c>
      <c r="CJ81" s="71" t="str">
        <f t="shared" si="60"/>
        <v/>
      </c>
      <c r="CK81" s="71" t="str">
        <f t="shared" si="60"/>
        <v/>
      </c>
      <c r="CL81" s="71" t="str">
        <f t="shared" si="60"/>
        <v/>
      </c>
      <c r="CM81" s="71" t="str">
        <f t="shared" si="60"/>
        <v/>
      </c>
      <c r="CN81" s="71" t="str">
        <f t="shared" si="60"/>
        <v/>
      </c>
      <c r="CO81" s="71" t="str">
        <f t="shared" si="60"/>
        <v/>
      </c>
      <c r="CP81" s="71">
        <f t="shared" si="58"/>
        <v>1.1536687631027254</v>
      </c>
      <c r="CQ81" s="71">
        <f t="shared" si="58"/>
        <v>1.240785498489426</v>
      </c>
      <c r="CR81" s="71" t="str">
        <f t="shared" si="58"/>
        <v/>
      </c>
      <c r="CS81" s="71">
        <f t="shared" si="58"/>
        <v>1.2476923076923077</v>
      </c>
      <c r="CT81" s="71" t="str">
        <f t="shared" si="58"/>
        <v/>
      </c>
      <c r="CU81" s="71" t="str">
        <f t="shared" si="58"/>
        <v/>
      </c>
      <c r="CV81" s="71">
        <f t="shared" si="58"/>
        <v>1.2896039603960396</v>
      </c>
      <c r="CW81" s="71" t="str">
        <f t="shared" si="58"/>
        <v/>
      </c>
      <c r="CX81" s="71" t="str">
        <f t="shared" si="58"/>
        <v/>
      </c>
      <c r="CY81" s="71" t="str">
        <f t="shared" si="58"/>
        <v/>
      </c>
      <c r="CZ81" s="71" t="str">
        <f t="shared" si="58"/>
        <v/>
      </c>
      <c r="DA81" s="71" t="str">
        <f t="shared" si="58"/>
        <v/>
      </c>
      <c r="DB81" s="71" t="str">
        <f t="shared" si="58"/>
        <v/>
      </c>
      <c r="DC81" s="71" t="str">
        <f t="shared" si="58"/>
        <v/>
      </c>
      <c r="DD81" s="71" t="str">
        <f t="shared" si="58"/>
        <v/>
      </c>
      <c r="DE81" s="71" t="str">
        <f t="shared" si="58"/>
        <v/>
      </c>
      <c r="DF81" s="71" t="str">
        <f t="shared" si="58"/>
        <v/>
      </c>
      <c r="DG81" s="71" t="str">
        <f t="shared" si="58"/>
        <v/>
      </c>
    </row>
    <row r="82" spans="1:111" s="70" customFormat="1" x14ac:dyDescent="0.25">
      <c r="A82" s="70" t="s">
        <v>18</v>
      </c>
      <c r="B82" s="70">
        <v>2020</v>
      </c>
      <c r="C82" s="71">
        <f>IF(COUNTIFS('Data(perSeason,perCrop)'!$S:$S,Indicators!$B82)&gt;0,SUMPRODUCT(S17:AW17,S82:AW82)/SUM(S17:AW17),"")</f>
        <v>1.5282687649005511</v>
      </c>
      <c r="D82" s="71">
        <f>IF(COUNTIFS('Data(perSeason,perCrop)'!$S:$S,Indicators!$B82)&gt;0,SUMPRODUCT(AX17:CB17,AX82:CB82)/SUM(AX17:CB17),"")</f>
        <v>2.3525846832570418</v>
      </c>
      <c r="E82" s="71">
        <f>IF(COUNTIFS('Data(perSeason,perCrop)'!$S:$S,Indicators!$B82)&gt;0,SUMPRODUCT(CC17:DG17,CC82:DG82)/SUM(CC17:DG17),"")</f>
        <v>0.86386716245799489</v>
      </c>
      <c r="F82" s="71">
        <f>IF(COUNTIFS('Data(perSeason,perCrop)'!$S:$S,Indicators!$B82)&gt;0,SUMPRODUCT(K17:R17,K82:R82)/SUM(K17:R17),"")</f>
        <v>1.6975784241196321</v>
      </c>
      <c r="G82" s="71"/>
      <c r="H82" s="71"/>
      <c r="J82" s="72" t="s">
        <v>18</v>
      </c>
      <c r="K82" s="71">
        <f t="shared" si="54"/>
        <v>1.8257270693512304</v>
      </c>
      <c r="L82" s="71">
        <f t="shared" si="54"/>
        <v>1.3307575757575758</v>
      </c>
      <c r="M82" s="71">
        <f t="shared" si="54"/>
        <v>1.3038057742782152</v>
      </c>
      <c r="N82" s="71">
        <f t="shared" si="54"/>
        <v>1.5877349159248269</v>
      </c>
      <c r="O82" s="71">
        <f t="shared" si="54"/>
        <v>1.8647058823529412</v>
      </c>
      <c r="P82" s="71" t="str">
        <f t="shared" si="54"/>
        <v/>
      </c>
      <c r="Q82" s="71">
        <f t="shared" si="54"/>
        <v>1.4152148664343787</v>
      </c>
      <c r="R82" s="71" t="str">
        <f t="shared" si="54"/>
        <v/>
      </c>
      <c r="S82" s="73" t="str">
        <f t="shared" si="54"/>
        <v/>
      </c>
      <c r="T82" s="73">
        <f t="shared" si="54"/>
        <v>1.5420138888888888</v>
      </c>
      <c r="U82" s="73" t="str">
        <f t="shared" ref="U82:AF82" si="61">IF(ISNUMBER(U70)=TRUE,U76/(U70*(1/1000*10000)),"")</f>
        <v/>
      </c>
      <c r="V82" s="73" t="str">
        <f t="shared" si="61"/>
        <v/>
      </c>
      <c r="W82" s="73" t="str">
        <f t="shared" si="61"/>
        <v/>
      </c>
      <c r="X82" s="73" t="str">
        <f t="shared" si="61"/>
        <v/>
      </c>
      <c r="Y82" s="73" t="str">
        <f t="shared" si="61"/>
        <v/>
      </c>
      <c r="Z82" s="73" t="str">
        <f t="shared" si="61"/>
        <v/>
      </c>
      <c r="AA82" s="73" t="str">
        <f t="shared" si="61"/>
        <v/>
      </c>
      <c r="AB82" s="73" t="str">
        <f t="shared" si="61"/>
        <v/>
      </c>
      <c r="AC82" s="73" t="str">
        <f t="shared" si="61"/>
        <v/>
      </c>
      <c r="AD82" s="73" t="str">
        <f t="shared" si="61"/>
        <v/>
      </c>
      <c r="AE82" s="73" t="str">
        <f t="shared" si="61"/>
        <v/>
      </c>
      <c r="AF82" s="73">
        <f t="shared" si="61"/>
        <v>1.5648351648351648</v>
      </c>
      <c r="AG82" s="73">
        <f t="shared" si="54"/>
        <v>1.485759493670886</v>
      </c>
      <c r="AH82" s="73" t="str">
        <f t="shared" si="54"/>
        <v/>
      </c>
      <c r="AI82" s="73">
        <f t="shared" si="54"/>
        <v>1.5149532710280373</v>
      </c>
      <c r="AJ82" s="73" t="str">
        <f t="shared" si="54"/>
        <v/>
      </c>
      <c r="AK82" s="73" t="str">
        <f t="shared" si="54"/>
        <v/>
      </c>
      <c r="AL82" s="73">
        <f t="shared" si="54"/>
        <v>1.4915887850467289</v>
      </c>
      <c r="AM82" s="73" t="str">
        <f t="shared" si="54"/>
        <v/>
      </c>
      <c r="AN82" s="73" t="str">
        <f t="shared" si="54"/>
        <v/>
      </c>
      <c r="AO82" s="73" t="str">
        <f t="shared" si="54"/>
        <v/>
      </c>
      <c r="AP82" s="73" t="str">
        <f t="shared" si="54"/>
        <v/>
      </c>
      <c r="AQ82" s="73" t="str">
        <f t="shared" si="54"/>
        <v/>
      </c>
      <c r="AR82" s="73" t="str">
        <f t="shared" si="54"/>
        <v/>
      </c>
      <c r="AS82" s="73" t="str">
        <f t="shared" si="54"/>
        <v/>
      </c>
      <c r="AT82" s="73" t="str">
        <f t="shared" si="54"/>
        <v/>
      </c>
      <c r="AU82" s="73" t="str">
        <f t="shared" si="54"/>
        <v/>
      </c>
      <c r="AV82" s="73" t="str">
        <f t="shared" si="54"/>
        <v/>
      </c>
      <c r="AW82" s="73" t="str">
        <f t="shared" si="54"/>
        <v/>
      </c>
      <c r="AX82" s="71"/>
      <c r="AY82" s="71">
        <f t="shared" si="56"/>
        <v>2.3533936651583711</v>
      </c>
      <c r="AZ82" s="71" t="str">
        <f t="shared" si="56"/>
        <v/>
      </c>
      <c r="BA82" s="71"/>
      <c r="BB82" s="71" t="str">
        <f t="shared" si="56"/>
        <v/>
      </c>
      <c r="BC82" s="71" t="str">
        <f t="shared" si="56"/>
        <v/>
      </c>
      <c r="BD82" s="71" t="str">
        <f t="shared" si="56"/>
        <v/>
      </c>
      <c r="BE82" s="71" t="str">
        <f t="shared" si="56"/>
        <v/>
      </c>
      <c r="BF82" s="71"/>
      <c r="BG82" s="71" t="str">
        <f t="shared" si="56"/>
        <v/>
      </c>
      <c r="BH82" s="71"/>
      <c r="BI82" s="71" t="str">
        <f t="shared" si="56"/>
        <v/>
      </c>
      <c r="BJ82" s="71" t="str">
        <f t="shared" si="56"/>
        <v/>
      </c>
      <c r="BK82" s="71" t="str">
        <f t="shared" si="56"/>
        <v/>
      </c>
      <c r="BL82" s="71">
        <f t="shared" si="56"/>
        <v>2.3269076305220882</v>
      </c>
      <c r="BM82" s="71" t="str">
        <f t="shared" si="56"/>
        <v/>
      </c>
      <c r="BN82" s="71">
        <f t="shared" si="56"/>
        <v>2.3321138211382113</v>
      </c>
      <c r="BO82" s="71" t="str">
        <f t="shared" si="56"/>
        <v/>
      </c>
      <c r="BP82" s="71" t="str">
        <f t="shared" si="56"/>
        <v/>
      </c>
      <c r="BQ82" s="71">
        <f t="shared" si="56"/>
        <v>2.3712280701754387</v>
      </c>
      <c r="BR82" s="71" t="str">
        <f t="shared" si="56"/>
        <v/>
      </c>
      <c r="BS82" s="71" t="str">
        <f t="shared" si="56"/>
        <v/>
      </c>
      <c r="BT82" s="71" t="str">
        <f t="shared" si="56"/>
        <v/>
      </c>
      <c r="BU82" s="71" t="str">
        <f t="shared" si="56"/>
        <v/>
      </c>
      <c r="BV82" s="71" t="str">
        <f t="shared" si="56"/>
        <v/>
      </c>
      <c r="BW82" s="71" t="str">
        <f t="shared" si="56"/>
        <v/>
      </c>
      <c r="BX82" s="71" t="str">
        <f t="shared" si="56"/>
        <v/>
      </c>
      <c r="BY82" s="71" t="str">
        <f t="shared" si="56"/>
        <v/>
      </c>
      <c r="BZ82" s="71" t="str">
        <f t="shared" si="56"/>
        <v/>
      </c>
      <c r="CA82" s="71" t="str">
        <f t="shared" si="56"/>
        <v/>
      </c>
      <c r="CB82" s="71" t="str">
        <f t="shared" si="56"/>
        <v/>
      </c>
      <c r="CC82" s="71" t="str">
        <f t="shared" ref="CC82:CO82" si="62">IF(ISNUMBER(CC70)=TRUE,CC76/(CC70*(1/1000*10000)),"")</f>
        <v/>
      </c>
      <c r="CD82" s="71" t="str">
        <f t="shared" si="62"/>
        <v/>
      </c>
      <c r="CE82" s="71" t="str">
        <f t="shared" si="62"/>
        <v/>
      </c>
      <c r="CF82" s="71" t="str">
        <f t="shared" si="62"/>
        <v/>
      </c>
      <c r="CG82" s="71" t="str">
        <f t="shared" si="62"/>
        <v/>
      </c>
      <c r="CH82" s="71" t="str">
        <f t="shared" si="62"/>
        <v/>
      </c>
      <c r="CI82" s="71" t="str">
        <f t="shared" si="62"/>
        <v/>
      </c>
      <c r="CJ82" s="71" t="str">
        <f t="shared" si="62"/>
        <v/>
      </c>
      <c r="CK82" s="71" t="str">
        <f t="shared" si="62"/>
        <v/>
      </c>
      <c r="CL82" s="71" t="str">
        <f t="shared" si="62"/>
        <v/>
      </c>
      <c r="CM82" s="71" t="str">
        <f t="shared" si="62"/>
        <v/>
      </c>
      <c r="CN82" s="71" t="str">
        <f t="shared" si="62"/>
        <v/>
      </c>
      <c r="CO82" s="71" t="str">
        <f t="shared" si="62"/>
        <v/>
      </c>
      <c r="CP82" s="71">
        <f t="shared" si="58"/>
        <v>0.85773672055427252</v>
      </c>
      <c r="CQ82" s="71">
        <f t="shared" si="58"/>
        <v>0.96666666666666667</v>
      </c>
      <c r="CR82" s="71" t="str">
        <f t="shared" si="58"/>
        <v/>
      </c>
      <c r="CS82" s="71">
        <f t="shared" si="58"/>
        <v>0.81736111111111109</v>
      </c>
      <c r="CT82" s="71" t="str">
        <f t="shared" si="58"/>
        <v/>
      </c>
      <c r="CU82" s="71" t="str">
        <f t="shared" si="58"/>
        <v/>
      </c>
      <c r="CV82" s="71">
        <f t="shared" si="58"/>
        <v>0.8712793733681462</v>
      </c>
      <c r="CW82" s="71" t="str">
        <f t="shared" si="58"/>
        <v/>
      </c>
      <c r="CX82" s="71" t="str">
        <f t="shared" si="58"/>
        <v/>
      </c>
      <c r="CY82" s="71" t="str">
        <f t="shared" si="58"/>
        <v/>
      </c>
      <c r="CZ82" s="71" t="str">
        <f t="shared" si="58"/>
        <v/>
      </c>
      <c r="DA82" s="71" t="str">
        <f t="shared" si="58"/>
        <v/>
      </c>
      <c r="DB82" s="71" t="str">
        <f t="shared" si="58"/>
        <v/>
      </c>
      <c r="DC82" s="71" t="str">
        <f t="shared" si="58"/>
        <v/>
      </c>
      <c r="DD82" s="71" t="str">
        <f t="shared" si="58"/>
        <v/>
      </c>
      <c r="DE82" s="71" t="str">
        <f t="shared" si="58"/>
        <v/>
      </c>
      <c r="DF82" s="71" t="str">
        <f t="shared" si="58"/>
        <v/>
      </c>
      <c r="DG82" s="71" t="str">
        <f t="shared" si="58"/>
        <v/>
      </c>
    </row>
    <row r="83" spans="1:111" s="70" customFormat="1" x14ac:dyDescent="0.25">
      <c r="A83" s="70" t="s">
        <v>77</v>
      </c>
      <c r="B83" s="70">
        <v>2021</v>
      </c>
      <c r="C83" s="71">
        <f>IF(COUNTIFS('Data(perSeason,perCrop)'!$S:$S,Indicators!$B83)&gt;0,SUMPRODUCT(S18:AW18,S83:AW83)/SUM(S18:AW18),"")</f>
        <v>1.7117526189572794</v>
      </c>
      <c r="D83" s="71">
        <f>IF(COUNTIFS('Data(perSeason,perCrop)'!$S:$S,Indicators!$B83)&gt;0,SUMPRODUCT(AX18:CB18,AX83:CB83)/SUM(AX18:CB18),"")</f>
        <v>2.4470121184487335</v>
      </c>
      <c r="E83" s="71">
        <f>IF(COUNTIFS('Data(perSeason,perCrop)'!$S:$S,Indicators!$B83)&gt;0,SUMPRODUCT(CC18:DG18,CC83:DG83)/SUM(CC18:DG18),"")</f>
        <v>0.64157111801386746</v>
      </c>
      <c r="F83" s="71">
        <f>IF(COUNTIFS('Data(perSeason,perCrop)'!$S:$S,Indicators!$B83)&gt;0,SUMPRODUCT(K18:R18,K83:R83)/SUM(K18:R18),"")</f>
        <v>1.8150261521513418</v>
      </c>
      <c r="G83" s="71"/>
      <c r="H83" s="71"/>
      <c r="J83" s="72" t="s">
        <v>18</v>
      </c>
      <c r="K83" s="71">
        <f t="shared" si="54"/>
        <v>2.1864864864864866</v>
      </c>
      <c r="L83" s="71">
        <f t="shared" si="54"/>
        <v>1.2662618083670716</v>
      </c>
      <c r="M83" s="71">
        <f t="shared" si="54"/>
        <v>1.2872773536895674</v>
      </c>
      <c r="N83" s="71">
        <f t="shared" si="54"/>
        <v>1.7690235690235689</v>
      </c>
      <c r="O83" s="71">
        <f t="shared" si="54"/>
        <v>2.0747619047619046</v>
      </c>
      <c r="P83" s="71">
        <f t="shared" si="54"/>
        <v>2.3926045016077171</v>
      </c>
      <c r="Q83" s="71">
        <f t="shared" si="54"/>
        <v>1.3098475967174679</v>
      </c>
      <c r="R83" s="71" t="str">
        <f t="shared" si="54"/>
        <v/>
      </c>
      <c r="S83" s="73" t="str">
        <f t="shared" si="54"/>
        <v/>
      </c>
      <c r="T83" s="73">
        <f t="shared" si="54"/>
        <v>1.725462962962963</v>
      </c>
      <c r="U83" s="73" t="str">
        <f t="shared" ref="U83:AF83" si="63">IF(ISNUMBER(U71)=TRUE,U77/(U71*(1/1000*10000)),"")</f>
        <v/>
      </c>
      <c r="V83" s="73" t="str">
        <f t="shared" si="63"/>
        <v/>
      </c>
      <c r="W83" s="73" t="str">
        <f t="shared" si="63"/>
        <v/>
      </c>
      <c r="X83" s="73" t="str">
        <f t="shared" si="63"/>
        <v/>
      </c>
      <c r="Y83" s="73" t="str">
        <f t="shared" si="63"/>
        <v/>
      </c>
      <c r="Z83" s="73" t="str">
        <f t="shared" si="63"/>
        <v/>
      </c>
      <c r="AA83" s="73" t="str">
        <f t="shared" si="63"/>
        <v/>
      </c>
      <c r="AB83" s="73" t="str">
        <f t="shared" si="63"/>
        <v/>
      </c>
      <c r="AC83" s="73" t="str">
        <f t="shared" si="63"/>
        <v/>
      </c>
      <c r="AD83" s="73" t="str">
        <f t="shared" si="63"/>
        <v/>
      </c>
      <c r="AE83" s="73" t="str">
        <f t="shared" si="63"/>
        <v/>
      </c>
      <c r="AF83" s="73">
        <f t="shared" si="63"/>
        <v>1.5358361774744027</v>
      </c>
      <c r="AG83" s="73">
        <f t="shared" si="54"/>
        <v>1.7090534979423868</v>
      </c>
      <c r="AH83" s="73" t="str">
        <f t="shared" si="54"/>
        <v/>
      </c>
      <c r="AI83" s="73">
        <f t="shared" si="54"/>
        <v>1.7159090909090908</v>
      </c>
      <c r="AJ83" s="73" t="str">
        <f t="shared" si="54"/>
        <v/>
      </c>
      <c r="AK83" s="73" t="str">
        <f t="shared" si="54"/>
        <v/>
      </c>
      <c r="AL83" s="73">
        <f t="shared" si="54"/>
        <v>1.6364000000000001</v>
      </c>
      <c r="AM83" s="73" t="str">
        <f t="shared" si="54"/>
        <v/>
      </c>
      <c r="AN83" s="73" t="str">
        <f t="shared" si="54"/>
        <v/>
      </c>
      <c r="AO83" s="73" t="str">
        <f t="shared" si="54"/>
        <v/>
      </c>
      <c r="AP83" s="73" t="str">
        <f t="shared" si="54"/>
        <v/>
      </c>
      <c r="AQ83" s="73" t="str">
        <f t="shared" si="54"/>
        <v/>
      </c>
      <c r="AR83" s="73" t="str">
        <f t="shared" si="54"/>
        <v/>
      </c>
      <c r="AS83" s="73" t="str">
        <f t="shared" si="54"/>
        <v/>
      </c>
      <c r="AT83" s="73" t="str">
        <f t="shared" si="54"/>
        <v/>
      </c>
      <c r="AU83" s="73" t="str">
        <f t="shared" si="54"/>
        <v/>
      </c>
      <c r="AV83" s="73" t="str">
        <f t="shared" si="54"/>
        <v/>
      </c>
      <c r="AW83" s="73" t="str">
        <f t="shared" si="54"/>
        <v/>
      </c>
      <c r="AX83" s="71"/>
      <c r="AY83" s="71">
        <f t="shared" si="56"/>
        <v>2.4265217391304348</v>
      </c>
      <c r="AZ83" s="71" t="str">
        <f t="shared" si="56"/>
        <v/>
      </c>
      <c r="BA83" s="71"/>
      <c r="BB83" s="71" t="str">
        <f t="shared" si="56"/>
        <v/>
      </c>
      <c r="BC83" s="71" t="str">
        <f t="shared" si="56"/>
        <v/>
      </c>
      <c r="BD83" s="71" t="str">
        <f t="shared" si="56"/>
        <v/>
      </c>
      <c r="BE83" s="71" t="str">
        <f t="shared" si="56"/>
        <v/>
      </c>
      <c r="BF83" s="71"/>
      <c r="BG83" s="71" t="str">
        <f t="shared" si="56"/>
        <v/>
      </c>
      <c r="BH83" s="71"/>
      <c r="BI83" s="71" t="str">
        <f t="shared" si="56"/>
        <v/>
      </c>
      <c r="BJ83" s="71" t="str">
        <f t="shared" si="56"/>
        <v/>
      </c>
      <c r="BK83" s="71" t="str">
        <f t="shared" si="56"/>
        <v/>
      </c>
      <c r="BL83" s="71">
        <f t="shared" si="56"/>
        <v>2.4726141078838175</v>
      </c>
      <c r="BM83" s="71" t="str">
        <f t="shared" si="56"/>
        <v/>
      </c>
      <c r="BN83" s="71">
        <f t="shared" si="56"/>
        <v>2.4322033898305087</v>
      </c>
      <c r="BO83" s="71" t="str">
        <f t="shared" si="56"/>
        <v/>
      </c>
      <c r="BP83" s="71" t="str">
        <f t="shared" si="56"/>
        <v/>
      </c>
      <c r="BQ83" s="71">
        <f t="shared" si="56"/>
        <v>2.6070110701107012</v>
      </c>
      <c r="BR83" s="71" t="str">
        <f t="shared" si="56"/>
        <v/>
      </c>
      <c r="BS83" s="71" t="str">
        <f t="shared" si="56"/>
        <v/>
      </c>
      <c r="BT83" s="71" t="str">
        <f t="shared" si="56"/>
        <v/>
      </c>
      <c r="BU83" s="71" t="str">
        <f t="shared" si="56"/>
        <v/>
      </c>
      <c r="BV83" s="71" t="str">
        <f t="shared" si="56"/>
        <v/>
      </c>
      <c r="BW83" s="71" t="str">
        <f t="shared" si="56"/>
        <v/>
      </c>
      <c r="BX83" s="71" t="str">
        <f t="shared" si="56"/>
        <v/>
      </c>
      <c r="BY83" s="71" t="str">
        <f t="shared" si="56"/>
        <v/>
      </c>
      <c r="BZ83" s="71" t="str">
        <f t="shared" si="56"/>
        <v/>
      </c>
      <c r="CA83" s="71" t="str">
        <f t="shared" si="56"/>
        <v/>
      </c>
      <c r="CB83" s="71" t="str">
        <f t="shared" si="56"/>
        <v/>
      </c>
      <c r="CC83" s="71" t="str">
        <f t="shared" ref="CC83:CO83" si="64">IF(ISNUMBER(CC71)=TRUE,CC77/(CC71*(1/1000*10000)),"")</f>
        <v/>
      </c>
      <c r="CD83" s="71" t="str">
        <f t="shared" si="64"/>
        <v/>
      </c>
      <c r="CE83" s="71" t="str">
        <f t="shared" si="64"/>
        <v/>
      </c>
      <c r="CF83" s="71" t="str">
        <f t="shared" si="64"/>
        <v/>
      </c>
      <c r="CG83" s="71" t="str">
        <f t="shared" si="64"/>
        <v/>
      </c>
      <c r="CH83" s="71" t="str">
        <f t="shared" si="64"/>
        <v/>
      </c>
      <c r="CI83" s="71" t="str">
        <f t="shared" si="64"/>
        <v/>
      </c>
      <c r="CJ83" s="71" t="str">
        <f t="shared" si="64"/>
        <v/>
      </c>
      <c r="CK83" s="71" t="str">
        <f t="shared" si="64"/>
        <v/>
      </c>
      <c r="CL83" s="71" t="str">
        <f t="shared" si="64"/>
        <v/>
      </c>
      <c r="CM83" s="71" t="str">
        <f t="shared" si="64"/>
        <v/>
      </c>
      <c r="CN83" s="71" t="str">
        <f t="shared" si="64"/>
        <v/>
      </c>
      <c r="CO83" s="71" t="str">
        <f t="shared" si="64"/>
        <v/>
      </c>
      <c r="CP83" s="71">
        <f t="shared" si="58"/>
        <v>0.60949367088607598</v>
      </c>
      <c r="CQ83" s="71">
        <f t="shared" si="58"/>
        <v>1.104494382022472</v>
      </c>
      <c r="CR83" s="71" t="str">
        <f t="shared" si="58"/>
        <v/>
      </c>
      <c r="CS83" s="71">
        <f t="shared" si="58"/>
        <v>0.87358490566037739</v>
      </c>
      <c r="CT83" s="71" t="str">
        <f t="shared" si="58"/>
        <v/>
      </c>
      <c r="CU83" s="71" t="str">
        <f t="shared" si="58"/>
        <v/>
      </c>
      <c r="CV83" s="71">
        <f t="shared" si="58"/>
        <v>0.65101580135440185</v>
      </c>
      <c r="CW83" s="71" t="str">
        <f t="shared" si="58"/>
        <v/>
      </c>
      <c r="CX83" s="71" t="str">
        <f t="shared" si="58"/>
        <v/>
      </c>
      <c r="CY83" s="71" t="str">
        <f t="shared" si="58"/>
        <v/>
      </c>
      <c r="CZ83" s="71" t="str">
        <f t="shared" si="58"/>
        <v/>
      </c>
      <c r="DA83" s="71" t="str">
        <f t="shared" si="58"/>
        <v/>
      </c>
      <c r="DB83" s="71" t="str">
        <f t="shared" si="58"/>
        <v/>
      </c>
      <c r="DC83" s="71" t="str">
        <f t="shared" si="58"/>
        <v/>
      </c>
      <c r="DD83" s="71" t="str">
        <f t="shared" si="58"/>
        <v/>
      </c>
      <c r="DE83" s="71" t="str">
        <f t="shared" si="58"/>
        <v/>
      </c>
      <c r="DF83" s="71" t="str">
        <f t="shared" si="58"/>
        <v/>
      </c>
      <c r="DG83" s="71" t="str">
        <f t="shared" si="58"/>
        <v/>
      </c>
    </row>
    <row r="84" spans="1:111" s="70" customFormat="1" x14ac:dyDescent="0.25">
      <c r="B84" s="70">
        <v>2022</v>
      </c>
      <c r="C84" s="71">
        <f>IF(COUNTIFS('Data(perSeason,perCrop)'!$S:$S,Indicators!$B84)&gt;0,SUMPRODUCT(S19:AW19,S84:AW84)/SUM(S19:AW19),"")</f>
        <v>1.8293958497218885</v>
      </c>
      <c r="D84" s="71">
        <f>IF(COUNTIFS('Data(perSeason,perCrop)'!$S:$S,Indicators!$B84)&gt;0,SUMPRODUCT(AX19:CB19,AX84:CB84)/SUM(AX19:CB19),"")</f>
        <v>2.8587855987107749</v>
      </c>
      <c r="E84" s="71">
        <f>IF(COUNTIFS('Data(perSeason,perCrop)'!$S:$S,Indicators!$B84)&gt;0,SUMPRODUCT(CC19:DG19,CC84:DG84)/SUM(CC19:DG19),"")</f>
        <v>0.86010637031036208</v>
      </c>
      <c r="F84" s="71">
        <f>IF(COUNTIFS('Data(perSeason,perCrop)'!$S:$S,Indicators!$B84)&gt;0,SUMPRODUCT(K19:R19,K84:R84)/SUM(K19:R19),"")</f>
        <v>1.9794975736209042</v>
      </c>
      <c r="G84" s="71"/>
      <c r="H84" s="71"/>
      <c r="J84" s="72" t="s">
        <v>18</v>
      </c>
      <c r="K84" s="71" t="str">
        <f t="shared" si="54"/>
        <v/>
      </c>
      <c r="L84" s="71" t="str">
        <f t="shared" si="54"/>
        <v/>
      </c>
      <c r="M84" s="71" t="str">
        <f t="shared" si="54"/>
        <v/>
      </c>
      <c r="N84" s="71">
        <f t="shared" si="54"/>
        <v>1.7686293436293437</v>
      </c>
      <c r="O84" s="71">
        <f t="shared" si="54"/>
        <v>2.3178571428571431</v>
      </c>
      <c r="P84" s="71" t="str">
        <f t="shared" si="54"/>
        <v/>
      </c>
      <c r="Q84" s="71">
        <f t="shared" si="54"/>
        <v>1.6125146198830409</v>
      </c>
      <c r="R84" s="71" t="str">
        <f t="shared" si="54"/>
        <v/>
      </c>
      <c r="S84" s="73" t="str">
        <f t="shared" si="54"/>
        <v/>
      </c>
      <c r="T84" s="73">
        <f t="shared" si="54"/>
        <v>1.8534136546184738</v>
      </c>
      <c r="U84" s="73" t="str">
        <f t="shared" ref="U84:AF84" si="65">IF(ISNUMBER(U72)=TRUE,U78/(U72*(1/1000*10000)),"")</f>
        <v/>
      </c>
      <c r="V84" s="73" t="str">
        <f t="shared" si="65"/>
        <v/>
      </c>
      <c r="W84" s="73" t="str">
        <f t="shared" si="65"/>
        <v/>
      </c>
      <c r="X84" s="73" t="str">
        <f t="shared" si="65"/>
        <v/>
      </c>
      <c r="Y84" s="73" t="str">
        <f t="shared" si="65"/>
        <v/>
      </c>
      <c r="Z84" s="73" t="str">
        <f t="shared" si="65"/>
        <v/>
      </c>
      <c r="AA84" s="73" t="str">
        <f t="shared" si="65"/>
        <v/>
      </c>
      <c r="AB84" s="73" t="str">
        <f t="shared" si="65"/>
        <v/>
      </c>
      <c r="AC84" s="73" t="str">
        <f t="shared" si="65"/>
        <v/>
      </c>
      <c r="AD84" s="73" t="str">
        <f t="shared" si="65"/>
        <v/>
      </c>
      <c r="AE84" s="73" t="str">
        <f t="shared" si="65"/>
        <v/>
      </c>
      <c r="AF84" s="73">
        <f t="shared" si="65"/>
        <v>1.3237388724035608</v>
      </c>
      <c r="AG84" s="73">
        <f t="shared" si="54"/>
        <v>1.7903571428571428</v>
      </c>
      <c r="AH84" s="73" t="str">
        <f t="shared" si="54"/>
        <v/>
      </c>
      <c r="AI84" s="73">
        <f t="shared" si="54"/>
        <v>1.8392452830188679</v>
      </c>
      <c r="AJ84" s="73" t="str">
        <f t="shared" si="54"/>
        <v/>
      </c>
      <c r="AK84" s="73" t="str">
        <f t="shared" si="54"/>
        <v/>
      </c>
      <c r="AL84" s="73">
        <f t="shared" si="54"/>
        <v>1.7540145985401461</v>
      </c>
      <c r="AM84" s="73" t="str">
        <f t="shared" si="54"/>
        <v/>
      </c>
      <c r="AN84" s="73" t="str">
        <f t="shared" si="54"/>
        <v/>
      </c>
      <c r="AO84" s="73" t="str">
        <f t="shared" si="54"/>
        <v/>
      </c>
      <c r="AP84" s="73" t="str">
        <f t="shared" si="54"/>
        <v/>
      </c>
      <c r="AQ84" s="73" t="str">
        <f t="shared" si="54"/>
        <v/>
      </c>
      <c r="AR84" s="73" t="str">
        <f t="shared" si="54"/>
        <v/>
      </c>
      <c r="AS84" s="73" t="str">
        <f t="shared" si="54"/>
        <v/>
      </c>
      <c r="AT84" s="73" t="str">
        <f t="shared" si="54"/>
        <v/>
      </c>
      <c r="AU84" s="73" t="str">
        <f t="shared" si="54"/>
        <v/>
      </c>
      <c r="AV84" s="73" t="str">
        <f t="shared" si="54"/>
        <v/>
      </c>
      <c r="AW84" s="73" t="str">
        <f t="shared" si="54"/>
        <v/>
      </c>
      <c r="AX84" s="71"/>
      <c r="AY84" s="71">
        <f t="shared" si="56"/>
        <v>2.8630630630630631</v>
      </c>
      <c r="AZ84" s="71" t="str">
        <f t="shared" si="56"/>
        <v/>
      </c>
      <c r="BA84" s="71"/>
      <c r="BB84" s="71" t="str">
        <f t="shared" si="56"/>
        <v/>
      </c>
      <c r="BC84" s="71" t="str">
        <f t="shared" si="56"/>
        <v/>
      </c>
      <c r="BD84" s="71" t="str">
        <f t="shared" si="56"/>
        <v/>
      </c>
      <c r="BE84" s="71" t="str">
        <f t="shared" si="56"/>
        <v/>
      </c>
      <c r="BF84" s="71"/>
      <c r="BG84" s="71" t="str">
        <f t="shared" si="56"/>
        <v/>
      </c>
      <c r="BH84" s="71"/>
      <c r="BI84" s="71" t="str">
        <f t="shared" si="56"/>
        <v/>
      </c>
      <c r="BJ84" s="71" t="str">
        <f t="shared" si="56"/>
        <v/>
      </c>
      <c r="BK84" s="71" t="str">
        <f t="shared" si="56"/>
        <v/>
      </c>
      <c r="BL84" s="71">
        <f t="shared" si="56"/>
        <v>2.7944444444444443</v>
      </c>
      <c r="BM84" s="71" t="str">
        <f t="shared" si="56"/>
        <v/>
      </c>
      <c r="BN84" s="71">
        <f t="shared" si="56"/>
        <v>2.7836134453781511</v>
      </c>
      <c r="BO84" s="71" t="str">
        <f t="shared" si="56"/>
        <v/>
      </c>
      <c r="BP84" s="71" t="str">
        <f t="shared" si="56"/>
        <v/>
      </c>
      <c r="BQ84" s="71">
        <f t="shared" si="56"/>
        <v>2.8585964912280701</v>
      </c>
      <c r="BR84" s="71" t="str">
        <f t="shared" si="56"/>
        <v/>
      </c>
      <c r="BS84" s="71" t="str">
        <f t="shared" si="56"/>
        <v/>
      </c>
      <c r="BT84" s="71" t="str">
        <f t="shared" si="56"/>
        <v/>
      </c>
      <c r="BU84" s="71" t="str">
        <f t="shared" si="56"/>
        <v/>
      </c>
      <c r="BV84" s="71" t="str">
        <f t="shared" si="56"/>
        <v/>
      </c>
      <c r="BW84" s="71" t="str">
        <f t="shared" si="56"/>
        <v/>
      </c>
      <c r="BX84" s="71" t="str">
        <f t="shared" si="56"/>
        <v/>
      </c>
      <c r="BY84" s="71" t="str">
        <f t="shared" si="56"/>
        <v/>
      </c>
      <c r="BZ84" s="71" t="str">
        <f t="shared" si="56"/>
        <v/>
      </c>
      <c r="CA84" s="71" t="str">
        <f t="shared" si="56"/>
        <v/>
      </c>
      <c r="CB84" s="71" t="str">
        <f t="shared" si="56"/>
        <v/>
      </c>
      <c r="CC84" s="71" t="str">
        <f t="shared" ref="CC84:CO84" si="66">IF(ISNUMBER(CC72)=TRUE,CC78/(CC72*(1/1000*10000)),"")</f>
        <v/>
      </c>
      <c r="CD84" s="71" t="str">
        <f t="shared" si="66"/>
        <v/>
      </c>
      <c r="CE84" s="71" t="str">
        <f t="shared" si="66"/>
        <v/>
      </c>
      <c r="CF84" s="71" t="str">
        <f t="shared" si="66"/>
        <v/>
      </c>
      <c r="CG84" s="71" t="str">
        <f t="shared" si="66"/>
        <v/>
      </c>
      <c r="CH84" s="71" t="str">
        <f t="shared" si="66"/>
        <v/>
      </c>
      <c r="CI84" s="71" t="str">
        <f t="shared" si="66"/>
        <v/>
      </c>
      <c r="CJ84" s="71" t="str">
        <f t="shared" si="66"/>
        <v/>
      </c>
      <c r="CK84" s="71" t="str">
        <f t="shared" si="66"/>
        <v/>
      </c>
      <c r="CL84" s="71" t="str">
        <f t="shared" si="66"/>
        <v/>
      </c>
      <c r="CM84" s="71" t="str">
        <f t="shared" si="66"/>
        <v/>
      </c>
      <c r="CN84" s="71" t="str">
        <f t="shared" si="66"/>
        <v/>
      </c>
      <c r="CO84" s="71" t="str">
        <f t="shared" si="66"/>
        <v/>
      </c>
      <c r="CP84" s="71">
        <f t="shared" si="58"/>
        <v>0.85377777777777775</v>
      </c>
      <c r="CQ84" s="71">
        <f t="shared" si="58"/>
        <v>0.86443661971830987</v>
      </c>
      <c r="CR84" s="71" t="str">
        <f t="shared" si="58"/>
        <v/>
      </c>
      <c r="CS84" s="71">
        <f t="shared" si="58"/>
        <v>0.80566037735849061</v>
      </c>
      <c r="CT84" s="71" t="str">
        <f t="shared" si="58"/>
        <v/>
      </c>
      <c r="CU84" s="71" t="str">
        <f t="shared" si="58"/>
        <v/>
      </c>
      <c r="CV84" s="71">
        <f t="shared" si="58"/>
        <v>0.87709923664122136</v>
      </c>
      <c r="CW84" s="71" t="str">
        <f t="shared" si="58"/>
        <v/>
      </c>
      <c r="CX84" s="71" t="str">
        <f t="shared" si="58"/>
        <v/>
      </c>
      <c r="CY84" s="71" t="str">
        <f t="shared" si="58"/>
        <v/>
      </c>
      <c r="CZ84" s="71" t="str">
        <f t="shared" si="58"/>
        <v/>
      </c>
      <c r="DA84" s="71" t="str">
        <f t="shared" si="58"/>
        <v/>
      </c>
      <c r="DB84" s="71" t="str">
        <f t="shared" si="58"/>
        <v/>
      </c>
      <c r="DC84" s="71" t="str">
        <f t="shared" si="58"/>
        <v/>
      </c>
      <c r="DD84" s="71" t="str">
        <f t="shared" si="58"/>
        <v/>
      </c>
      <c r="DE84" s="71" t="str">
        <f t="shared" si="58"/>
        <v/>
      </c>
      <c r="DF84" s="71" t="str">
        <f t="shared" si="58"/>
        <v/>
      </c>
      <c r="DG84" s="71" t="str">
        <f t="shared" si="58"/>
        <v/>
      </c>
    </row>
    <row r="85" spans="1:111" s="70" customFormat="1" x14ac:dyDescent="0.25">
      <c r="B85" s="74" t="s">
        <v>66</v>
      </c>
      <c r="C85" s="75">
        <f t="shared" ref="C85:E85" si="67">AVERAGE(C80:C84)</f>
        <v>1.7921183377086767</v>
      </c>
      <c r="D85" s="75">
        <f t="shared" si="67"/>
        <v>2.6750218614482661</v>
      </c>
      <c r="E85" s="75">
        <f t="shared" si="67"/>
        <v>0.86598862535365184</v>
      </c>
      <c r="F85" s="75">
        <f>AVERAGE(F80:F84)</f>
        <v>1.917568612695046</v>
      </c>
      <c r="G85" s="75"/>
      <c r="H85" s="75"/>
      <c r="I85" s="74"/>
      <c r="J85" s="72" t="s">
        <v>18</v>
      </c>
      <c r="K85" s="75" t="str">
        <f>IF(ISNUMBER(K73)=TRUE,K79/(K73*(1/1000*10000)),"")</f>
        <v/>
      </c>
      <c r="L85" s="75" t="str">
        <f t="shared" si="54"/>
        <v/>
      </c>
      <c r="M85" s="75" t="str">
        <f t="shared" si="54"/>
        <v/>
      </c>
      <c r="N85" s="75">
        <f t="shared" si="54"/>
        <v>1.7856854431657581</v>
      </c>
      <c r="O85" s="75">
        <f t="shared" si="54"/>
        <v>2.1881810193321618</v>
      </c>
      <c r="P85" s="75" t="str">
        <f t="shared" si="54"/>
        <v/>
      </c>
      <c r="Q85" s="75">
        <f t="shared" si="54"/>
        <v>1.5254545454545456</v>
      </c>
      <c r="R85" s="75" t="str">
        <f t="shared" si="54"/>
        <v/>
      </c>
      <c r="S85" s="76" t="str">
        <f t="shared" si="54"/>
        <v/>
      </c>
      <c r="T85" s="76">
        <f t="shared" si="54"/>
        <v>1.8171875</v>
      </c>
      <c r="U85" s="76" t="str">
        <f t="shared" ref="U85:AF85" si="68">IF(ISNUMBER(U73)=TRUE,U79/(U73*(1/1000*10000)),"")</f>
        <v/>
      </c>
      <c r="V85" s="76" t="str">
        <f t="shared" si="68"/>
        <v/>
      </c>
      <c r="W85" s="76" t="str">
        <f t="shared" si="68"/>
        <v/>
      </c>
      <c r="X85" s="76" t="str">
        <f t="shared" si="68"/>
        <v/>
      </c>
      <c r="Y85" s="76" t="str">
        <f t="shared" si="68"/>
        <v/>
      </c>
      <c r="Z85" s="76" t="str">
        <f t="shared" si="68"/>
        <v/>
      </c>
      <c r="AA85" s="76" t="str">
        <f t="shared" si="68"/>
        <v/>
      </c>
      <c r="AB85" s="76" t="str">
        <f t="shared" si="68"/>
        <v/>
      </c>
      <c r="AC85" s="76" t="str">
        <f t="shared" si="68"/>
        <v/>
      </c>
      <c r="AD85" s="76" t="str">
        <f t="shared" si="68"/>
        <v/>
      </c>
      <c r="AE85" s="76" t="str">
        <f t="shared" si="68"/>
        <v/>
      </c>
      <c r="AF85" s="76">
        <f t="shared" si="68"/>
        <v>1.5680169286577992</v>
      </c>
      <c r="AG85" s="76">
        <f t="shared" si="54"/>
        <v>1.7766961651917403</v>
      </c>
      <c r="AH85" s="76" t="str">
        <f t="shared" si="54"/>
        <v/>
      </c>
      <c r="AI85" s="76">
        <f t="shared" si="54"/>
        <v>1.8019578313253013</v>
      </c>
      <c r="AJ85" s="76" t="str">
        <f t="shared" si="54"/>
        <v/>
      </c>
      <c r="AK85" s="76" t="str">
        <f t="shared" si="54"/>
        <v/>
      </c>
      <c r="AL85" s="76">
        <f t="shared" si="54"/>
        <v>1.7411722659042173</v>
      </c>
      <c r="AM85" s="76" t="str">
        <f t="shared" si="54"/>
        <v/>
      </c>
      <c r="AN85" s="76" t="str">
        <f t="shared" si="54"/>
        <v/>
      </c>
      <c r="AO85" s="76" t="str">
        <f t="shared" si="54"/>
        <v/>
      </c>
      <c r="AP85" s="76" t="str">
        <f t="shared" si="54"/>
        <v/>
      </c>
      <c r="AQ85" s="76" t="str">
        <f t="shared" si="54"/>
        <v/>
      </c>
      <c r="AR85" s="76" t="str">
        <f t="shared" si="54"/>
        <v/>
      </c>
      <c r="AS85" s="76" t="str">
        <f t="shared" si="54"/>
        <v/>
      </c>
      <c r="AT85" s="76" t="str">
        <f t="shared" si="54"/>
        <v/>
      </c>
      <c r="AU85" s="76" t="str">
        <f t="shared" si="54"/>
        <v/>
      </c>
      <c r="AV85" s="76" t="str">
        <f t="shared" si="54"/>
        <v/>
      </c>
      <c r="AW85" s="76" t="str">
        <f t="shared" si="54"/>
        <v/>
      </c>
      <c r="AX85" s="75"/>
      <c r="AY85" s="75">
        <f t="shared" si="56"/>
        <v>2.6735373537353735</v>
      </c>
      <c r="AZ85" s="75" t="str">
        <f t="shared" si="56"/>
        <v/>
      </c>
      <c r="BA85" s="75"/>
      <c r="BB85" s="75" t="str">
        <f t="shared" si="56"/>
        <v/>
      </c>
      <c r="BC85" s="75" t="str">
        <f t="shared" si="56"/>
        <v/>
      </c>
      <c r="BD85" s="75" t="str">
        <f t="shared" si="56"/>
        <v/>
      </c>
      <c r="BE85" s="75" t="str">
        <f t="shared" si="56"/>
        <v/>
      </c>
      <c r="BF85" s="75"/>
      <c r="BG85" s="75" t="str">
        <f t="shared" si="56"/>
        <v/>
      </c>
      <c r="BH85" s="75"/>
      <c r="BI85" s="75" t="str">
        <f t="shared" si="56"/>
        <v/>
      </c>
      <c r="BJ85" s="75" t="str">
        <f t="shared" si="56"/>
        <v/>
      </c>
      <c r="BK85" s="75" t="str">
        <f t="shared" si="56"/>
        <v/>
      </c>
      <c r="BL85" s="75">
        <f t="shared" si="56"/>
        <v>2.6491610738255034</v>
      </c>
      <c r="BM85" s="75" t="str">
        <f t="shared" si="56"/>
        <v/>
      </c>
      <c r="BN85" s="75">
        <f t="shared" si="56"/>
        <v>2.5951072961373391</v>
      </c>
      <c r="BO85" s="75" t="str">
        <f t="shared" si="56"/>
        <v/>
      </c>
      <c r="BP85" s="75" t="str">
        <f t="shared" si="56"/>
        <v/>
      </c>
      <c r="BQ85" s="75">
        <f t="shared" si="56"/>
        <v>2.7243795620437958</v>
      </c>
      <c r="BR85" s="75" t="str">
        <f t="shared" si="56"/>
        <v/>
      </c>
      <c r="BS85" s="75" t="str">
        <f t="shared" si="56"/>
        <v/>
      </c>
      <c r="BT85" s="75" t="str">
        <f t="shared" si="56"/>
        <v/>
      </c>
      <c r="BU85" s="75" t="str">
        <f t="shared" si="56"/>
        <v/>
      </c>
      <c r="BV85" s="75" t="str">
        <f t="shared" si="56"/>
        <v/>
      </c>
      <c r="BW85" s="75" t="str">
        <f t="shared" si="56"/>
        <v/>
      </c>
      <c r="BX85" s="75" t="str">
        <f t="shared" si="56"/>
        <v/>
      </c>
      <c r="BY85" s="75" t="str">
        <f t="shared" si="56"/>
        <v/>
      </c>
      <c r="BZ85" s="75" t="str">
        <f t="shared" si="56"/>
        <v/>
      </c>
      <c r="CA85" s="75" t="str">
        <f t="shared" si="56"/>
        <v/>
      </c>
      <c r="CB85" s="75" t="str">
        <f t="shared" si="56"/>
        <v/>
      </c>
      <c r="CC85" s="75"/>
      <c r="CD85" s="75" t="str">
        <f t="shared" si="58"/>
        <v/>
      </c>
      <c r="CE85" s="75" t="str">
        <f t="shared" si="58"/>
        <v/>
      </c>
      <c r="CF85" s="75"/>
      <c r="CG85" s="75" t="str">
        <f t="shared" si="58"/>
        <v/>
      </c>
      <c r="CH85" s="75" t="str">
        <f t="shared" si="58"/>
        <v/>
      </c>
      <c r="CI85" s="75" t="str">
        <f t="shared" si="58"/>
        <v/>
      </c>
      <c r="CJ85" s="75" t="str">
        <f t="shared" si="58"/>
        <v/>
      </c>
      <c r="CK85" s="75"/>
      <c r="CL85" s="75" t="str">
        <f t="shared" si="58"/>
        <v/>
      </c>
      <c r="CM85" s="75"/>
      <c r="CN85" s="75" t="str">
        <f t="shared" si="58"/>
        <v/>
      </c>
      <c r="CO85" s="75" t="str">
        <f t="shared" si="58"/>
        <v/>
      </c>
      <c r="CP85" s="75">
        <f t="shared" si="58"/>
        <v>0.83081220455522131</v>
      </c>
      <c r="CQ85" s="75">
        <f t="shared" si="58"/>
        <v>0.99804713804713796</v>
      </c>
      <c r="CR85" s="75" t="str">
        <f t="shared" si="58"/>
        <v/>
      </c>
      <c r="CS85" s="75">
        <f t="shared" si="58"/>
        <v>0.89102564102564108</v>
      </c>
      <c r="CT85" s="75" t="str">
        <f t="shared" si="58"/>
        <v/>
      </c>
      <c r="CU85" s="75" t="str">
        <f t="shared" si="58"/>
        <v/>
      </c>
      <c r="CV85" s="75">
        <f t="shared" si="58"/>
        <v>0.87916466634661539</v>
      </c>
      <c r="CW85" s="75" t="str">
        <f t="shared" si="58"/>
        <v/>
      </c>
      <c r="CX85" s="75" t="str">
        <f t="shared" si="58"/>
        <v/>
      </c>
      <c r="CY85" s="75" t="str">
        <f t="shared" si="58"/>
        <v/>
      </c>
      <c r="CZ85" s="75" t="str">
        <f t="shared" si="58"/>
        <v/>
      </c>
      <c r="DA85" s="75" t="str">
        <f t="shared" si="58"/>
        <v/>
      </c>
      <c r="DB85" s="75" t="str">
        <f t="shared" si="58"/>
        <v/>
      </c>
      <c r="DC85" s="75" t="str">
        <f t="shared" si="58"/>
        <v/>
      </c>
      <c r="DD85" s="75" t="str">
        <f t="shared" si="58"/>
        <v/>
      </c>
      <c r="DE85" s="75" t="str">
        <f t="shared" si="58"/>
        <v/>
      </c>
      <c r="DF85" s="75" t="str">
        <f t="shared" si="58"/>
        <v/>
      </c>
      <c r="DG85" s="75" t="str">
        <f t="shared" si="58"/>
        <v/>
      </c>
    </row>
    <row r="86" spans="1:111" s="70" customFormat="1" ht="18.75" x14ac:dyDescent="0.3">
      <c r="F86" s="77" t="s">
        <v>11</v>
      </c>
      <c r="G86" s="77"/>
      <c r="J86" s="72"/>
      <c r="K86" s="77"/>
      <c r="L86" s="77"/>
      <c r="M86" s="77"/>
      <c r="N86" s="77"/>
      <c r="O86" s="77"/>
      <c r="P86" s="77"/>
      <c r="Q86" s="77"/>
      <c r="R86" s="77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</row>
    <row r="87" spans="1:111" ht="18.75" x14ac:dyDescent="0.3">
      <c r="A87" s="12" t="s">
        <v>1</v>
      </c>
      <c r="B87">
        <v>2018</v>
      </c>
      <c r="F87" s="8">
        <f>IF(COUNTIFS('Data(perSeason,perCrop)'!$S:$S,Indicators!$B87)&gt;0,'Indicators(perCrop)'!AH$38,"")</f>
        <v>0.27271164328178576</v>
      </c>
      <c r="K87" s="17"/>
      <c r="L87" s="17"/>
      <c r="M87" s="17"/>
      <c r="N87" s="17"/>
      <c r="O87" s="17"/>
      <c r="Q87" s="17"/>
      <c r="R87" s="17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8"/>
      <c r="AY87" s="8"/>
      <c r="AZ87" s="8"/>
      <c r="BA87" s="8"/>
      <c r="BB87" s="8"/>
      <c r="BC87" s="8"/>
      <c r="BE87" s="8"/>
      <c r="BF87" s="8"/>
      <c r="BJ87" s="8"/>
      <c r="CD87" s="8"/>
      <c r="CE87" s="8"/>
      <c r="CF87" s="8"/>
      <c r="CH87" s="8"/>
      <c r="CJ87" s="8"/>
      <c r="CK87" s="8"/>
      <c r="CO87" s="8"/>
    </row>
    <row r="88" spans="1:111" x14ac:dyDescent="0.25">
      <c r="A88" s="3"/>
      <c r="B88">
        <v>2019</v>
      </c>
      <c r="F88" s="8">
        <f>IF(COUNTIFS('Data(perSeason,perCrop)'!$S:$S,Indicators!$B88)&gt;0,'Indicators(perCrop)'!AI$38,"")</f>
        <v>0.31350035330928422</v>
      </c>
      <c r="G88" s="8"/>
      <c r="K88" s="17"/>
      <c r="L88" s="17"/>
      <c r="M88" s="17"/>
      <c r="N88" s="17"/>
      <c r="O88" s="17"/>
      <c r="Q88" s="17"/>
      <c r="R88" s="17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8"/>
      <c r="AY88" s="8"/>
      <c r="AZ88" s="8"/>
      <c r="BA88" s="8"/>
      <c r="BB88" s="8"/>
      <c r="BC88" s="8"/>
      <c r="BE88" s="8"/>
      <c r="BF88" s="8"/>
      <c r="BJ88" s="8"/>
      <c r="CD88" s="8"/>
      <c r="CE88" s="8"/>
      <c r="CF88" s="8"/>
      <c r="CH88" s="8"/>
      <c r="CJ88" s="8"/>
      <c r="CK88" s="8"/>
      <c r="CO88" s="8"/>
    </row>
    <row r="89" spans="1:111" x14ac:dyDescent="0.25">
      <c r="B89">
        <v>2020</v>
      </c>
      <c r="F89" s="8">
        <f>IF(COUNTIFS('Data(perSeason,perCrop)'!$S:$S,Indicators!$B89)&gt;0,'Indicators(perCrop)'!AJ$38,"")</f>
        <v>0.2075321953932269</v>
      </c>
      <c r="K89" s="17"/>
      <c r="L89" s="17"/>
      <c r="M89" s="17"/>
      <c r="N89" s="17"/>
      <c r="O89" s="17"/>
      <c r="Q89" s="17"/>
      <c r="R89" s="17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8"/>
      <c r="AY89" s="8"/>
      <c r="AZ89" s="8"/>
      <c r="BA89" s="8"/>
      <c r="BB89" s="8"/>
      <c r="BC89" s="8"/>
      <c r="BE89" s="8"/>
      <c r="BF89" s="8"/>
      <c r="BJ89" s="8"/>
      <c r="CD89" s="8"/>
      <c r="CE89" s="8"/>
      <c r="CF89" s="8"/>
      <c r="CH89" s="8"/>
      <c r="CJ89" s="8"/>
      <c r="CK89" s="8"/>
      <c r="CO89" s="8"/>
    </row>
    <row r="90" spans="1:111" x14ac:dyDescent="0.25">
      <c r="B90">
        <v>2021</v>
      </c>
      <c r="F90" s="8">
        <f>IF(COUNTIFS('Data(perSeason,perCrop)'!$S:$S,Indicators!$B90)&gt;0,'Indicators(perCrop)'!AK$38,"")</f>
        <v>0.28468755685851393</v>
      </c>
      <c r="G90" s="8"/>
      <c r="K90" s="17"/>
      <c r="L90" s="17"/>
      <c r="M90" s="17"/>
      <c r="N90" s="17"/>
      <c r="O90" s="17"/>
      <c r="Q90" s="17"/>
      <c r="R90" s="17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8"/>
      <c r="AY90" s="8"/>
      <c r="AZ90" s="8"/>
      <c r="BA90" s="8"/>
      <c r="BB90" s="8"/>
      <c r="BC90" s="8"/>
      <c r="BE90" s="8"/>
      <c r="BF90" s="8"/>
      <c r="BJ90" s="8"/>
      <c r="CD90" s="8"/>
      <c r="CE90" s="8"/>
      <c r="CF90" s="8"/>
      <c r="CH90" s="8"/>
      <c r="CJ90" s="8"/>
      <c r="CK90" s="8"/>
      <c r="CO90" s="8"/>
    </row>
    <row r="91" spans="1:111" x14ac:dyDescent="0.25">
      <c r="B91">
        <v>2022</v>
      </c>
      <c r="F91" s="8">
        <f>IF(COUNTIFS('Data(perSeason,perCrop)'!$S:$S,Indicators!$B91)&gt;0,'Indicators(perCrop)'!AL$38,"")</f>
        <v>0.25699745838289012</v>
      </c>
      <c r="G91" s="8"/>
      <c r="K91" s="17"/>
      <c r="L91" s="17"/>
      <c r="M91" s="17"/>
      <c r="N91" s="17"/>
      <c r="O91" s="17"/>
      <c r="Q91" s="17"/>
      <c r="R91" s="17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8"/>
      <c r="AY91" s="8"/>
      <c r="AZ91" s="8"/>
      <c r="BA91" s="8"/>
      <c r="BB91" s="8"/>
      <c r="BC91" s="8"/>
      <c r="BE91" s="8"/>
      <c r="BF91" s="8"/>
      <c r="BJ91" s="8"/>
      <c r="CD91" s="8"/>
      <c r="CE91" s="8"/>
      <c r="CF91" s="8"/>
      <c r="CH91" s="8"/>
      <c r="CJ91" s="8"/>
      <c r="CK91" s="8"/>
      <c r="CO91" s="8"/>
    </row>
    <row r="92" spans="1:111" x14ac:dyDescent="0.25">
      <c r="B92" s="5" t="s">
        <v>66</v>
      </c>
      <c r="F92" s="11">
        <f>AVERAGE(F87:F91)</f>
        <v>0.26708584144514019</v>
      </c>
      <c r="G92" s="11"/>
      <c r="I92" s="5"/>
      <c r="K92" s="18"/>
      <c r="L92" s="18"/>
      <c r="M92" s="18"/>
      <c r="N92" s="18"/>
      <c r="O92" s="18"/>
      <c r="Q92" s="18"/>
      <c r="R92" s="18"/>
      <c r="S92" s="66"/>
      <c r="AY92" s="11"/>
      <c r="AZ92" s="11"/>
      <c r="BA92" s="11"/>
      <c r="BC92" s="11"/>
      <c r="BE92" s="11"/>
      <c r="BF92" s="11"/>
      <c r="BJ92" s="11"/>
      <c r="CD92" s="11"/>
      <c r="CE92" s="11"/>
      <c r="CF92" s="11"/>
      <c r="CH92" s="11"/>
      <c r="CJ92" s="11"/>
      <c r="CK92" s="11"/>
      <c r="CO92" s="11"/>
    </row>
    <row r="93" spans="1:111" ht="18.75" x14ac:dyDescent="0.3">
      <c r="B93" s="5"/>
      <c r="F93" s="4" t="s">
        <v>11</v>
      </c>
      <c r="G93" s="4"/>
      <c r="I93" s="5"/>
      <c r="S93" s="66"/>
      <c r="AY93" s="11"/>
      <c r="AZ93" s="11"/>
      <c r="BA93" s="11"/>
      <c r="BC93" s="11"/>
      <c r="BE93" s="11"/>
      <c r="BF93" s="11"/>
      <c r="BJ93" s="11"/>
      <c r="CD93" s="11"/>
      <c r="CE93" s="11"/>
      <c r="CF93" s="11"/>
      <c r="CH93" s="11"/>
      <c r="CJ93" s="11"/>
      <c r="CK93" s="11"/>
      <c r="CO93" s="11"/>
    </row>
    <row r="94" spans="1:111" ht="18.75" x14ac:dyDescent="0.3">
      <c r="A94" s="12" t="s">
        <v>15</v>
      </c>
      <c r="B94">
        <v>2018</v>
      </c>
      <c r="F94" s="8">
        <f>IF(COUNTIFS('Data(perSeason,perCrop)'!$S:$S,Indicators!$B94)&gt;0,'Indicators(perCrop)'!AB$38,"")</f>
        <v>0.20085748757203595</v>
      </c>
      <c r="J94" s="16"/>
      <c r="K94" s="17"/>
      <c r="L94" s="17"/>
      <c r="M94" s="17"/>
      <c r="N94" s="17"/>
      <c r="O94" s="17"/>
      <c r="P94" s="17"/>
      <c r="Q94" s="17"/>
      <c r="R94" s="1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</row>
    <row r="95" spans="1:111" ht="19.149999999999999" customHeight="1" x14ac:dyDescent="0.25">
      <c r="A95" s="3" t="s">
        <v>21</v>
      </c>
      <c r="B95">
        <v>2019</v>
      </c>
      <c r="F95" s="8">
        <f>IF(COUNTIFS('Data(perSeason,perCrop)'!$S:$S,Indicators!$B95)&gt;0,'Indicators(perCrop)'!AC$38,"")</f>
        <v>0.24216257229357302</v>
      </c>
      <c r="G95" s="8"/>
      <c r="J95" s="16"/>
      <c r="K95" s="17"/>
      <c r="L95" s="17"/>
      <c r="M95" s="17"/>
      <c r="N95" s="17"/>
      <c r="O95" s="17"/>
      <c r="P95" s="17"/>
      <c r="Q95" s="17"/>
      <c r="R95" s="1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</row>
    <row r="96" spans="1:111" x14ac:dyDescent="0.25">
      <c r="B96">
        <v>2020</v>
      </c>
      <c r="F96" s="8">
        <f>IF(COUNTIFS('Data(perSeason,perCrop)'!$S:$S,Indicators!$B96)&gt;0,'Indicators(perCrop)'!AD$38,"")</f>
        <v>0.25755934983391321</v>
      </c>
      <c r="J96" s="16"/>
      <c r="K96" s="17"/>
      <c r="L96" s="17"/>
      <c r="M96" s="17"/>
      <c r="N96" s="17"/>
      <c r="O96" s="17"/>
      <c r="P96" s="17"/>
      <c r="Q96" s="17"/>
      <c r="R96" s="1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</row>
    <row r="97" spans="1:111" x14ac:dyDescent="0.25">
      <c r="B97">
        <v>2021</v>
      </c>
      <c r="F97" s="8">
        <f>IF(COUNTIFS('Data(perSeason,perCrop)'!$S:$S,Indicators!$B97)&gt;0,'Indicators(perCrop)'!AE$38,"")</f>
        <v>0.27366613632069664</v>
      </c>
      <c r="G97" s="8"/>
      <c r="J97" s="16"/>
      <c r="K97" s="17"/>
      <c r="L97" s="17"/>
      <c r="M97" s="17"/>
      <c r="N97" s="17"/>
      <c r="O97" s="17"/>
      <c r="P97" s="17"/>
      <c r="Q97" s="17"/>
      <c r="R97" s="1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</row>
    <row r="98" spans="1:111" x14ac:dyDescent="0.25">
      <c r="B98">
        <v>2022</v>
      </c>
      <c r="F98" s="8">
        <f>IF(COUNTIFS('Data(perSeason,perCrop)'!$S:$S,Indicators!$B98)&gt;0,'Indicators(perCrop)'!AF$38,"")</f>
        <v>0.21149678857841764</v>
      </c>
      <c r="G98" s="8"/>
      <c r="J98" s="16"/>
      <c r="K98" s="17"/>
      <c r="L98" s="17"/>
      <c r="M98" s="17"/>
      <c r="N98" s="17"/>
      <c r="O98" s="17"/>
      <c r="P98" s="17"/>
      <c r="Q98" s="17"/>
      <c r="R98" s="1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</row>
    <row r="99" spans="1:111" s="5" customFormat="1" x14ac:dyDescent="0.25">
      <c r="B99" s="5" t="s">
        <v>66</v>
      </c>
      <c r="F99" s="11">
        <f>AVERAGE(F94:F98)</f>
        <v>0.2371484669197273</v>
      </c>
      <c r="G99" s="11"/>
      <c r="H99"/>
      <c r="J99" s="19"/>
      <c r="K99" s="18"/>
      <c r="L99" s="18"/>
      <c r="M99" s="18"/>
      <c r="N99" s="18"/>
      <c r="O99" s="18"/>
      <c r="P99" s="18"/>
      <c r="Q99" s="18"/>
      <c r="R99" s="1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</row>
    <row r="100" spans="1:111" ht="18.75" x14ac:dyDescent="0.3">
      <c r="A100" s="4" t="s">
        <v>28</v>
      </c>
      <c r="B100">
        <v>2018</v>
      </c>
      <c r="C100" s="8">
        <f>IF(COUNTIFS('Data(perSeason,perCrop)'!$S:$S,Indicators!$B100)&gt;0,SUM(S107:AW107),"")</f>
        <v>5.6305712953084015</v>
      </c>
      <c r="D100" s="8">
        <f>IF(COUNTIFS('Data(perSeason,perCrop)'!$S:$S,Indicators!$B100)&gt;0,SUM(AX107:CB107),"")</f>
        <v>2.3958270618668891</v>
      </c>
      <c r="E100" s="8">
        <f>IF(COUNTIFS('Data(perSeason,perCrop)'!$S:$S,Indicators!$B100)&gt;0,SUM(CC107:DG107),"")</f>
        <v>4.0537155622459089</v>
      </c>
      <c r="F100" s="8">
        <f>IF(COUNTIFS('Data(perSeason,perCrop)'!$S:$S,Indicators!$B100)&gt;0,SUMIFS('Data(perCrop)'!$Q:$Q,'Data(perCrop)'!$O:$O,Indicators!$B100),"")</f>
        <v>12.303746291998911</v>
      </c>
      <c r="G100" s="8"/>
      <c r="H100" s="8"/>
      <c r="J100" s="2" t="s">
        <v>113</v>
      </c>
      <c r="K100" s="7">
        <f>AVERAGEIFS('Data(perSeason,perCrop)'!$G:$G,'Data(perSeason,perCrop)'!$S:$S,Indicators!$B100,'Data(perSeason,perCrop)'!$O:$O,Indicators!K$7,'Data(perSeason,perCrop)'!$C:$C,Indicators!K$3,'Data(perSeason,perCrop)'!$R:$R,"IRRIGATED")</f>
        <v>88</v>
      </c>
      <c r="L100" s="7" t="e">
        <f>AVERAGEIFS('Data(perSeason,perCrop)'!$G:$G,'Data(perSeason,perCrop)'!$S:$S,Indicators!$B100,'Data(perSeason,perCrop)'!$O:$O,Indicators!L$7,'Data(perSeason,perCrop)'!$C:$C,Indicators!L$3,'Data(perSeason,perCrop)'!$R:$R,"IRRIGATED")</f>
        <v>#DIV/0!</v>
      </c>
      <c r="M100" s="7" t="e">
        <f>AVERAGEIFS('Data(perSeason,perCrop)'!$G:$G,'Data(perSeason,perCrop)'!$S:$S,Indicators!$B100,'Data(perSeason,perCrop)'!$O:$O,Indicators!M$7,'Data(perSeason,perCrop)'!$C:$C,Indicators!M$3,'Data(perSeason,perCrop)'!$R:$R,"IRRIGATED")</f>
        <v>#DIV/0!</v>
      </c>
      <c r="N100" s="7">
        <f>AVERAGEIFS('Data(perSeason,perCrop)'!$G:$G,'Data(perSeason,perCrop)'!$S:$S,Indicators!$B100,'Data(perSeason,perCrop)'!$O:$O,Indicators!N$7,'Data(perSeason,perCrop)'!$C:$C,Indicators!N$3,'Data(perSeason,perCrop)'!$R:$R,"IRRIGATED")</f>
        <v>224</v>
      </c>
      <c r="O100" s="7">
        <f>AVERAGEIFS('Data(perSeason,perCrop)'!$G:$G,'Data(perSeason,perCrop)'!$S:$S,Indicators!$B100,'Data(perSeason,perCrop)'!$O:$O,Indicators!O$7,'Data(perSeason,perCrop)'!$C:$C,Indicators!O$3,'Data(perSeason,perCrop)'!$R:$R,"IRRIGATED")</f>
        <v>81</v>
      </c>
      <c r="P100" s="7" t="e">
        <f>AVERAGEIFS('Data(perSeason,perCrop)'!$G:$G,'Data(perSeason,perCrop)'!$S:$S,Indicators!$B100,'Data(perSeason,perCrop)'!$O:$O,Indicators!P$7,'Data(perSeason,perCrop)'!$C:$C,Indicators!P$3,'Data(perSeason,perCrop)'!$R:$R,"IRRIGATED")</f>
        <v>#DIV/0!</v>
      </c>
      <c r="Q100" s="7">
        <f>AVERAGEIFS('Data(perSeason,perCrop)'!$G:$G,'Data(perSeason,perCrop)'!$S:$S,Indicators!$B100,'Data(perSeason,perCrop)'!$O:$O,Indicators!Q$7,'Data(perSeason,perCrop)'!$C:$C,Indicators!Q$3,'Data(perSeason,perCrop)'!$R:$R,"IRRIGATED")</f>
        <v>248</v>
      </c>
      <c r="R100" s="7" t="e">
        <f>AVERAGEIFS('Data(perSeason,perCrop)'!$G:$G,'Data(perSeason,perCrop)'!$S:$S,Indicators!$B100,'Data(perSeason,perCrop)'!$O:$O,Indicators!R$7,'Data(perSeason,perCrop)'!$C:$C,Indicators!R$3,'Data(perSeason,perCrop)'!$R:$R,"IRRIGATED")</f>
        <v>#DIV/0!</v>
      </c>
      <c r="S100" s="62" t="e">
        <f>AVERAGEIFS('Data(perSeason,perCrop)'!$G:$G,'Data(perSeason,perCrop)'!$S:$S,Indicators!$B100,'Data(perSeason,perCrop)'!$O:$O,Indicators!S$7,'Data(perSeason,perCrop)'!$C:$C,Indicators!S$3,'Data(perSeason,perCrop)'!$R:$R,"IRRIGATED")</f>
        <v>#DIV/0!</v>
      </c>
      <c r="T100" s="62">
        <f>AVERAGEIFS('Data(perSeason,perCrop)'!$G:$G,'Data(perSeason,perCrop)'!$S:$S,Indicators!$B100,'Data(perSeason,perCrop)'!$O:$O,Indicators!T$7,'Data(perSeason,perCrop)'!$C:$C,Indicators!T$3,'Data(perSeason,perCrop)'!$R:$R,"IRRIGATED")</f>
        <v>71</v>
      </c>
      <c r="U100" s="62" t="e">
        <f>AVERAGEIFS('Data(perSeason,perCrop)'!$G:$G,'Data(perSeason,perCrop)'!$S:$S,Indicators!$B100,'Data(perSeason,perCrop)'!$O:$O,Indicators!U$7,'Data(perSeason,perCrop)'!$C:$C,Indicators!U$3,'Data(perSeason,perCrop)'!$R:$R,"IRRIGATED")</f>
        <v>#DIV/0!</v>
      </c>
      <c r="V100" s="62" t="e">
        <f>AVERAGEIFS('Data(perSeason,perCrop)'!$G:$G,'Data(perSeason,perCrop)'!$S:$S,Indicators!$B100,'Data(perSeason,perCrop)'!$O:$O,Indicators!V$7,'Data(perSeason,perCrop)'!$C:$C,Indicators!V$3,'Data(perSeason,perCrop)'!$R:$R,"IRRIGATED")</f>
        <v>#DIV/0!</v>
      </c>
      <c r="W100" s="62" t="e">
        <f>AVERAGEIFS('Data(perSeason,perCrop)'!$G:$G,'Data(perSeason,perCrop)'!$S:$S,Indicators!$B100,'Data(perSeason,perCrop)'!$O:$O,Indicators!W$7,'Data(perSeason,perCrop)'!$C:$C,Indicators!W$3,'Data(perSeason,perCrop)'!$R:$R,"IRRIGATED")</f>
        <v>#DIV/0!</v>
      </c>
      <c r="X100" s="62" t="e">
        <f>AVERAGEIFS('Data(perSeason,perCrop)'!$G:$G,'Data(perSeason,perCrop)'!$S:$S,Indicators!$B100,'Data(perSeason,perCrop)'!$O:$O,Indicators!X$7,'Data(perSeason,perCrop)'!$C:$C,Indicators!X$3,'Data(perSeason,perCrop)'!$R:$R,"IRRIGATED")</f>
        <v>#DIV/0!</v>
      </c>
      <c r="Y100" s="62" t="e">
        <f>AVERAGEIFS('Data(perSeason,perCrop)'!$G:$G,'Data(perSeason,perCrop)'!$S:$S,Indicators!$B100,'Data(perSeason,perCrop)'!$O:$O,Indicators!Y$7,'Data(perSeason,perCrop)'!$C:$C,Indicators!Y$3,'Data(perSeason,perCrop)'!$R:$R,"IRRIGATED")</f>
        <v>#DIV/0!</v>
      </c>
      <c r="Z100" s="62" t="e">
        <f>AVERAGEIFS('Data(perSeason,perCrop)'!$G:$G,'Data(perSeason,perCrop)'!$S:$S,Indicators!$B100,'Data(perSeason,perCrop)'!$O:$O,Indicators!Z$7,'Data(perSeason,perCrop)'!$C:$C,Indicators!Z$3,'Data(perSeason,perCrop)'!$R:$R,"IRRIGATED")</f>
        <v>#DIV/0!</v>
      </c>
      <c r="AA100" s="62" t="e">
        <f>AVERAGEIFS('Data(perSeason,perCrop)'!$G:$G,'Data(perSeason,perCrop)'!$S:$S,Indicators!$B100,'Data(perSeason,perCrop)'!$O:$O,Indicators!AA$7,'Data(perSeason,perCrop)'!$C:$C,Indicators!AA$3,'Data(perSeason,perCrop)'!$R:$R,"IRRIGATED")</f>
        <v>#DIV/0!</v>
      </c>
      <c r="AB100" s="62" t="e">
        <f>AVERAGEIFS('Data(perSeason,perCrop)'!$G:$G,'Data(perSeason,perCrop)'!$S:$S,Indicators!$B100,'Data(perSeason,perCrop)'!$O:$O,Indicators!AB$7,'Data(perSeason,perCrop)'!$C:$C,Indicators!AB$3,'Data(perSeason,perCrop)'!$R:$R,"IRRIGATED")</f>
        <v>#DIV/0!</v>
      </c>
      <c r="AC100" s="62" t="e">
        <f>AVERAGEIFS('Data(perSeason,perCrop)'!$G:$G,'Data(perSeason,perCrop)'!$S:$S,Indicators!$B100,'Data(perSeason,perCrop)'!$O:$O,Indicators!AC$7,'Data(perSeason,perCrop)'!$C:$C,Indicators!AC$3,'Data(perSeason,perCrop)'!$R:$R,"IRRIGATED")</f>
        <v>#DIV/0!</v>
      </c>
      <c r="AD100" s="62" t="e">
        <f>AVERAGEIFS('Data(perSeason,perCrop)'!$G:$G,'Data(perSeason,perCrop)'!$S:$S,Indicators!$B100,'Data(perSeason,perCrop)'!$O:$O,Indicators!AD$7,'Data(perSeason,perCrop)'!$C:$C,Indicators!AD$3,'Data(perSeason,perCrop)'!$R:$R,"IRRIGATED")</f>
        <v>#DIV/0!</v>
      </c>
      <c r="AE100" s="62" t="e">
        <f>AVERAGEIFS('Data(perSeason,perCrop)'!$G:$G,'Data(perSeason,perCrop)'!$S:$S,Indicators!$B100,'Data(perSeason,perCrop)'!$O:$O,Indicators!AE$7,'Data(perSeason,perCrop)'!$C:$C,Indicators!AE$3,'Data(perSeason,perCrop)'!$R:$R,"IRRIGATED")</f>
        <v>#DIV/0!</v>
      </c>
      <c r="AF100" s="62">
        <f>AVERAGEIFS('Data(perSeason,perCrop)'!$G:$G,'Data(perSeason,perCrop)'!$S:$S,Indicators!$B100,'Data(perSeason,perCrop)'!$O:$O,Indicators!AF$7,'Data(perSeason,perCrop)'!$C:$C,Indicators!AF$3,'Data(perSeason,perCrop)'!$R:$R,"IRRIGATED")</f>
        <v>125</v>
      </c>
      <c r="AG100" s="62">
        <f>AVERAGEIFS('Data(perSeason,perCrop)'!$G:$G,'Data(perSeason,perCrop)'!$S:$S,Indicators!$B100,'Data(perSeason,perCrop)'!$O:$O,Indicators!AG$7,'Data(perSeason,perCrop)'!$C:$C,Indicators!AG$3,'Data(perSeason,perCrop)'!$R:$R,"IRRIGATED")</f>
        <v>71</v>
      </c>
      <c r="AH100" s="62" t="e">
        <f>AVERAGEIFS('Data(perSeason,perCrop)'!$G:$G,'Data(perSeason,perCrop)'!$S:$S,Indicators!$B100,'Data(perSeason,perCrop)'!$O:$O,Indicators!AH$7,'Data(perSeason,perCrop)'!$C:$C,Indicators!AH$3,'Data(perSeason,perCrop)'!$R:$R,"IRRIGATED")</f>
        <v>#DIV/0!</v>
      </c>
      <c r="AI100" s="62">
        <f>AVERAGEIFS('Data(perSeason,perCrop)'!$G:$G,'Data(perSeason,perCrop)'!$S:$S,Indicators!$B100,'Data(perSeason,perCrop)'!$O:$O,Indicators!AI$7,'Data(perSeason,perCrop)'!$C:$C,Indicators!AI$3,'Data(perSeason,perCrop)'!$R:$R,"IRRIGATED")</f>
        <v>68</v>
      </c>
      <c r="AJ100" s="62" t="e">
        <f>AVERAGEIFS('Data(perSeason,perCrop)'!$G:$G,'Data(perSeason,perCrop)'!$S:$S,Indicators!$B100,'Data(perSeason,perCrop)'!$O:$O,Indicators!AJ$7,'Data(perSeason,perCrop)'!$C:$C,Indicators!AJ$3,'Data(perSeason,perCrop)'!$R:$R,"IRRIGATED")</f>
        <v>#DIV/0!</v>
      </c>
      <c r="AK100" s="62" t="e">
        <f>AVERAGEIFS('Data(perSeason,perCrop)'!$G:$G,'Data(perSeason,perCrop)'!$S:$S,Indicators!$B100,'Data(perSeason,perCrop)'!$O:$O,Indicators!AK$7,'Data(perSeason,perCrop)'!$C:$C,Indicators!AK$3,'Data(perSeason,perCrop)'!$R:$R,"IRRIGATED")</f>
        <v>#DIV/0!</v>
      </c>
      <c r="AL100" s="62">
        <f>AVERAGEIFS('Data(perSeason,perCrop)'!$G:$G,'Data(perSeason,perCrop)'!$S:$S,Indicators!$B100,'Data(perSeason,perCrop)'!$O:$O,Indicators!AL$7,'Data(perSeason,perCrop)'!$C:$C,Indicators!AL$3,'Data(perSeason,perCrop)'!$R:$R,"IRRIGATED")</f>
        <v>82</v>
      </c>
      <c r="AM100" s="62" t="e">
        <f>AVERAGEIFS('Data(perSeason,perCrop)'!$G:$G,'Data(perSeason,perCrop)'!$S:$S,Indicators!$B100,'Data(perSeason,perCrop)'!$O:$O,Indicators!AM$7,'Data(perSeason,perCrop)'!$C:$C,Indicators!AM$3,'Data(perSeason,perCrop)'!$R:$R,"IRRIGATED")</f>
        <v>#DIV/0!</v>
      </c>
      <c r="AN100" s="62" t="e">
        <f>AVERAGEIFS('Data(perSeason,perCrop)'!$G:$G,'Data(perSeason,perCrop)'!$S:$S,Indicators!$B100,'Data(perSeason,perCrop)'!$O:$O,Indicators!AN$7,'Data(perSeason,perCrop)'!$C:$C,Indicators!AN$3,'Data(perSeason,perCrop)'!$R:$R,"IRRIGATED")</f>
        <v>#DIV/0!</v>
      </c>
      <c r="AO100" s="62" t="e">
        <f>AVERAGEIFS('Data(perSeason,perCrop)'!$G:$G,'Data(perSeason,perCrop)'!$S:$S,Indicators!$B100,'Data(perSeason,perCrop)'!$O:$O,Indicators!AO$7,'Data(perSeason,perCrop)'!$C:$C,Indicators!AO$3,'Data(perSeason,perCrop)'!$R:$R,"IRRIGATED")</f>
        <v>#DIV/0!</v>
      </c>
      <c r="AP100" s="62" t="e">
        <f>AVERAGEIFS('Data(perSeason,perCrop)'!$G:$G,'Data(perSeason,perCrop)'!$S:$S,Indicators!$B100,'Data(perSeason,perCrop)'!$O:$O,Indicators!AP$7,'Data(perSeason,perCrop)'!$C:$C,Indicators!AP$3,'Data(perSeason,perCrop)'!$R:$R,"IRRIGATED")</f>
        <v>#DIV/0!</v>
      </c>
      <c r="AQ100" s="62" t="e">
        <f>AVERAGEIFS('Data(perSeason,perCrop)'!$G:$G,'Data(perSeason,perCrop)'!$S:$S,Indicators!$B100,'Data(perSeason,perCrop)'!$O:$O,Indicators!AQ$7,'Data(perSeason,perCrop)'!$C:$C,Indicators!AQ$3,'Data(perSeason,perCrop)'!$R:$R,"IRRIGATED")</f>
        <v>#DIV/0!</v>
      </c>
      <c r="AR100" s="62" t="e">
        <f>AVERAGEIFS('Data(perSeason,perCrop)'!$G:$G,'Data(perSeason,perCrop)'!$S:$S,Indicators!$B100,'Data(perSeason,perCrop)'!$O:$O,Indicators!AR$7,'Data(perSeason,perCrop)'!$C:$C,Indicators!AR$3,'Data(perSeason,perCrop)'!$R:$R,"IRRIGATED")</f>
        <v>#DIV/0!</v>
      </c>
      <c r="AS100" s="62" t="e">
        <f>AVERAGEIFS('Data(perSeason,perCrop)'!$G:$G,'Data(perSeason,perCrop)'!$S:$S,Indicators!$B100,'Data(perSeason,perCrop)'!$O:$O,Indicators!AS$7,'Data(perSeason,perCrop)'!$C:$C,Indicators!AS$3,'Data(perSeason,perCrop)'!$R:$R,"IRRIGATED")</f>
        <v>#DIV/0!</v>
      </c>
      <c r="AT100" s="62" t="e">
        <f>AVERAGEIFS('Data(perSeason,perCrop)'!$G:$G,'Data(perSeason,perCrop)'!$S:$S,Indicators!$B100,'Data(perSeason,perCrop)'!$O:$O,Indicators!AT$7,'Data(perSeason,perCrop)'!$C:$C,Indicators!AT$3,'Data(perSeason,perCrop)'!$R:$R,"IRRIGATED")</f>
        <v>#DIV/0!</v>
      </c>
      <c r="AU100" s="62" t="e">
        <f>AVERAGEIFS('Data(perSeason,perCrop)'!$G:$G,'Data(perSeason,perCrop)'!$S:$S,Indicators!$B100,'Data(perSeason,perCrop)'!$O:$O,Indicators!AU$7,'Data(perSeason,perCrop)'!$C:$C,Indicators!AU$3,'Data(perSeason,perCrop)'!$R:$R,"IRRIGATED")</f>
        <v>#DIV/0!</v>
      </c>
      <c r="AV100" s="62" t="e">
        <f>AVERAGEIFS('Data(perSeason,perCrop)'!$G:$G,'Data(perSeason,perCrop)'!$S:$S,Indicators!$B100,'Data(perSeason,perCrop)'!$O:$O,Indicators!AV$7,'Data(perSeason,perCrop)'!$C:$C,Indicators!AV$3,'Data(perSeason,perCrop)'!$R:$R,"IRRIGATED")</f>
        <v>#DIV/0!</v>
      </c>
      <c r="AW100" s="62" t="e">
        <f>AVERAGEIFS('Data(perSeason,perCrop)'!$G:$G,'Data(perSeason,perCrop)'!$S:$S,Indicators!$B100,'Data(perSeason,perCrop)'!$O:$O,Indicators!AW$7,'Data(perSeason,perCrop)'!$C:$C,Indicators!AW$3,'Data(perSeason,perCrop)'!$R:$R,"IRRIGATED")</f>
        <v>#DIV/0!</v>
      </c>
      <c r="AX100" s="7" t="e">
        <f>AVERAGEIFS('Data(perSeason,perCrop)'!$G:$G,'Data(perSeason,perCrop)'!$S:$S,Indicators!$B100,'Data(perSeason,perCrop)'!$O:$O,Indicators!AX$7,'Data(perSeason,perCrop)'!$C:$C,Indicators!AX$3,'Data(perSeason,perCrop)'!$R:$R,"IRRIGATED")</f>
        <v>#DIV/0!</v>
      </c>
      <c r="AY100" s="7">
        <f>AVERAGEIFS('Data(perSeason,perCrop)'!$G:$G,'Data(perSeason,perCrop)'!$S:$S,Indicators!$B100,'Data(perSeason,perCrop)'!$O:$O,Indicators!AY$7,'Data(perSeason,perCrop)'!$C:$C,Indicators!AY$3,'Data(perSeason,perCrop)'!$R:$R,"IRRIGATED")</f>
        <v>32</v>
      </c>
      <c r="AZ100" s="7" t="e">
        <f>AVERAGEIFS('Data(perSeason,perCrop)'!$G:$G,'Data(perSeason,perCrop)'!$S:$S,Indicators!$B100,'Data(perSeason,perCrop)'!$O:$O,Indicators!AZ$7,'Data(perSeason,perCrop)'!$C:$C,Indicators!AZ$3,'Data(perSeason,perCrop)'!$R:$R,"IRRIGATED")</f>
        <v>#DIV/0!</v>
      </c>
      <c r="BA100" s="7" t="e">
        <f>AVERAGEIFS('Data(perSeason,perCrop)'!$G:$G,'Data(perSeason,perCrop)'!$S:$S,Indicators!$B100,'Data(perSeason,perCrop)'!$O:$O,Indicators!BA$7,'Data(perSeason,perCrop)'!$C:$C,Indicators!BA$3,'Data(perSeason,perCrop)'!$R:$R,"IRRIGATED")</f>
        <v>#DIV/0!</v>
      </c>
      <c r="BB100" s="7" t="e">
        <f>AVERAGEIFS('Data(perSeason,perCrop)'!$G:$G,'Data(perSeason,perCrop)'!$S:$S,Indicators!$B100,'Data(perSeason,perCrop)'!$O:$O,Indicators!BB$7,'Data(perSeason,perCrop)'!$C:$C,Indicators!BB$3,'Data(perSeason,perCrop)'!$R:$R,"IRRIGATED")</f>
        <v>#DIV/0!</v>
      </c>
      <c r="BC100" s="7" t="e">
        <f>AVERAGEIFS('Data(perSeason,perCrop)'!$G:$G,'Data(perSeason,perCrop)'!$S:$S,Indicators!$B100,'Data(perSeason,perCrop)'!$O:$O,Indicators!BC$7,'Data(perSeason,perCrop)'!$C:$C,Indicators!BC$3,'Data(perSeason,perCrop)'!$R:$R,"IRRIGATED")</f>
        <v>#DIV/0!</v>
      </c>
      <c r="BD100" s="7" t="e">
        <f>AVERAGEIFS('Data(perSeason,perCrop)'!$G:$G,'Data(perSeason,perCrop)'!$S:$S,Indicators!$B100,'Data(perSeason,perCrop)'!$O:$O,Indicators!BD$7,'Data(perSeason,perCrop)'!$C:$C,Indicators!BD$3,'Data(perSeason,perCrop)'!$R:$R,"IRRIGATED")</f>
        <v>#DIV/0!</v>
      </c>
      <c r="BE100" s="7" t="e">
        <f>AVERAGEIFS('Data(perSeason,perCrop)'!$G:$G,'Data(perSeason,perCrop)'!$S:$S,Indicators!$B100,'Data(perSeason,perCrop)'!$O:$O,Indicators!BE$7,'Data(perSeason,perCrop)'!$C:$C,Indicators!BE$3,'Data(perSeason,perCrop)'!$R:$R,"IRRIGATED")</f>
        <v>#DIV/0!</v>
      </c>
      <c r="BF100" s="7" t="e">
        <f>AVERAGEIFS('Data(perSeason,perCrop)'!$G:$G,'Data(perSeason,perCrop)'!$S:$S,Indicators!$B100,'Data(perSeason,perCrop)'!$O:$O,Indicators!BF$7,'Data(perSeason,perCrop)'!$C:$C,Indicators!BF$3,'Data(perSeason,perCrop)'!$R:$R,"IRRIGATED")</f>
        <v>#DIV/0!</v>
      </c>
      <c r="BG100" s="7" t="e">
        <f>AVERAGEIFS('Data(perSeason,perCrop)'!$G:$G,'Data(perSeason,perCrop)'!$S:$S,Indicators!$B100,'Data(perSeason,perCrop)'!$O:$O,Indicators!BG$7,'Data(perSeason,perCrop)'!$C:$C,Indicators!BG$3,'Data(perSeason,perCrop)'!$R:$R,"IRRIGATED")</f>
        <v>#DIV/0!</v>
      </c>
      <c r="BH100" s="7" t="e">
        <f>AVERAGEIFS('Data(perSeason,perCrop)'!$G:$G,'Data(perSeason,perCrop)'!$S:$S,Indicators!$B100,'Data(perSeason,perCrop)'!$O:$O,Indicators!BH$7,'Data(perSeason,perCrop)'!$C:$C,Indicators!BH$3,'Data(perSeason,perCrop)'!$R:$R,"IRRIGATED")</f>
        <v>#DIV/0!</v>
      </c>
      <c r="BI100" s="7" t="e">
        <f>AVERAGEIFS('Data(perSeason,perCrop)'!$G:$G,'Data(perSeason,perCrop)'!$S:$S,Indicators!$B100,'Data(perSeason,perCrop)'!$O:$O,Indicators!BI$7,'Data(perSeason,perCrop)'!$C:$C,Indicators!BI$3,'Data(perSeason,perCrop)'!$R:$R,"IRRIGATED")</f>
        <v>#DIV/0!</v>
      </c>
      <c r="BJ100" s="7" t="e">
        <f>AVERAGEIFS('Data(perSeason,perCrop)'!$G:$G,'Data(perSeason,perCrop)'!$S:$S,Indicators!$B100,'Data(perSeason,perCrop)'!$O:$O,Indicators!BJ$7,'Data(perSeason,perCrop)'!$C:$C,Indicators!BJ$3,'Data(perSeason,perCrop)'!$R:$R,"IRRIGATED")</f>
        <v>#DIV/0!</v>
      </c>
      <c r="BK100" s="7" t="e">
        <f>AVERAGEIFS('Data(perSeason,perCrop)'!$G:$G,'Data(perSeason,perCrop)'!$S:$S,Indicators!$B100,'Data(perSeason,perCrop)'!$O:$O,Indicators!BK$7,'Data(perSeason,perCrop)'!$C:$C,Indicators!BK$3,'Data(perSeason,perCrop)'!$R:$R,"IRRIGATED")</f>
        <v>#DIV/0!</v>
      </c>
      <c r="BL100" s="7">
        <f>AVERAGEIFS('Data(perSeason,perCrop)'!$G:$G,'Data(perSeason,perCrop)'!$S:$S,Indicators!$B100,'Data(perSeason,perCrop)'!$O:$O,Indicators!BL$7,'Data(perSeason,perCrop)'!$C:$C,Indicators!BL$3,'Data(perSeason,perCrop)'!$R:$R,"IRRIGATED")</f>
        <v>28</v>
      </c>
      <c r="BM100" s="7" t="e">
        <f>AVERAGEIFS('Data(perSeason,perCrop)'!$G:$G,'Data(perSeason,perCrop)'!$S:$S,Indicators!$B100,'Data(perSeason,perCrop)'!$O:$O,Indicators!BM$7,'Data(perSeason,perCrop)'!$C:$C,Indicators!BM$3,'Data(perSeason,perCrop)'!$R:$R,"IRRIGATED")</f>
        <v>#DIV/0!</v>
      </c>
      <c r="BN100" s="7">
        <f>AVERAGEIFS('Data(perSeason,perCrop)'!$G:$G,'Data(perSeason,perCrop)'!$S:$S,Indicators!$B100,'Data(perSeason,perCrop)'!$O:$O,Indicators!BN$7,'Data(perSeason,perCrop)'!$C:$C,Indicators!BN$3,'Data(perSeason,perCrop)'!$R:$R,"IRRIGATED")</f>
        <v>23</v>
      </c>
      <c r="BO100" s="7" t="e">
        <f>AVERAGEIFS('Data(perSeason,perCrop)'!$G:$G,'Data(perSeason,perCrop)'!$S:$S,Indicators!$B100,'Data(perSeason,perCrop)'!$O:$O,Indicators!BO$7,'Data(perSeason,perCrop)'!$C:$C,Indicators!BO$3,'Data(perSeason,perCrop)'!$R:$R,"IRRIGATED")</f>
        <v>#DIV/0!</v>
      </c>
      <c r="BP100" s="7" t="e">
        <f>AVERAGEIFS('Data(perSeason,perCrop)'!$G:$G,'Data(perSeason,perCrop)'!$S:$S,Indicators!$B100,'Data(perSeason,perCrop)'!$O:$O,Indicators!BP$7,'Data(perSeason,perCrop)'!$C:$C,Indicators!BP$3,'Data(perSeason,perCrop)'!$R:$R,"IRRIGATED")</f>
        <v>#DIV/0!</v>
      </c>
      <c r="BQ100" s="7">
        <f>AVERAGEIFS('Data(perSeason,perCrop)'!$G:$G,'Data(perSeason,perCrop)'!$S:$S,Indicators!$B100,'Data(perSeason,perCrop)'!$O:$O,Indicators!BQ$7,'Data(perSeason,perCrop)'!$C:$C,Indicators!BQ$3,'Data(perSeason,perCrop)'!$R:$R,"IRRIGATED")</f>
        <v>34</v>
      </c>
      <c r="BR100" s="7" t="e">
        <f>AVERAGEIFS('Data(perSeason,perCrop)'!$G:$G,'Data(perSeason,perCrop)'!$S:$S,Indicators!$B100,'Data(perSeason,perCrop)'!$O:$O,Indicators!BR$7,'Data(perSeason,perCrop)'!$C:$C,Indicators!BR$3,'Data(perSeason,perCrop)'!$R:$R,"IRRIGATED")</f>
        <v>#DIV/0!</v>
      </c>
      <c r="BS100" s="7" t="e">
        <f>AVERAGEIFS('Data(perSeason,perCrop)'!$G:$G,'Data(perSeason,perCrop)'!$S:$S,Indicators!$B100,'Data(perSeason,perCrop)'!$O:$O,Indicators!BS$7,'Data(perSeason,perCrop)'!$C:$C,Indicators!BS$3,'Data(perSeason,perCrop)'!$R:$R,"IRRIGATED")</f>
        <v>#DIV/0!</v>
      </c>
      <c r="BT100" s="7" t="e">
        <f>AVERAGEIFS('Data(perSeason,perCrop)'!$G:$G,'Data(perSeason,perCrop)'!$S:$S,Indicators!$B100,'Data(perSeason,perCrop)'!$O:$O,Indicators!BT$7,'Data(perSeason,perCrop)'!$C:$C,Indicators!BT$3,'Data(perSeason,perCrop)'!$R:$R,"IRRIGATED")</f>
        <v>#DIV/0!</v>
      </c>
      <c r="BU100" s="7" t="e">
        <f>AVERAGEIFS('Data(perSeason,perCrop)'!$G:$G,'Data(perSeason,perCrop)'!$S:$S,Indicators!$B100,'Data(perSeason,perCrop)'!$O:$O,Indicators!BU$7,'Data(perSeason,perCrop)'!$C:$C,Indicators!BU$3,'Data(perSeason,perCrop)'!$R:$R,"IRRIGATED")</f>
        <v>#DIV/0!</v>
      </c>
      <c r="BV100" s="7" t="e">
        <f>AVERAGEIFS('Data(perSeason,perCrop)'!$G:$G,'Data(perSeason,perCrop)'!$S:$S,Indicators!$B100,'Data(perSeason,perCrop)'!$O:$O,Indicators!BV$7,'Data(perSeason,perCrop)'!$C:$C,Indicators!BV$3,'Data(perSeason,perCrop)'!$R:$R,"IRRIGATED")</f>
        <v>#DIV/0!</v>
      </c>
      <c r="BW100" s="7" t="e">
        <f>AVERAGEIFS('Data(perSeason,perCrop)'!$G:$G,'Data(perSeason,perCrop)'!$S:$S,Indicators!$B100,'Data(perSeason,perCrop)'!$O:$O,Indicators!BW$7,'Data(perSeason,perCrop)'!$C:$C,Indicators!BW$3,'Data(perSeason,perCrop)'!$R:$R,"IRRIGATED")</f>
        <v>#DIV/0!</v>
      </c>
      <c r="BX100" s="7" t="e">
        <f>AVERAGEIFS('Data(perSeason,perCrop)'!$G:$G,'Data(perSeason,perCrop)'!$S:$S,Indicators!$B100,'Data(perSeason,perCrop)'!$O:$O,Indicators!BX$7,'Data(perSeason,perCrop)'!$C:$C,Indicators!BX$3,'Data(perSeason,perCrop)'!$R:$R,"IRRIGATED")</f>
        <v>#DIV/0!</v>
      </c>
      <c r="BY100" s="7" t="e">
        <f>AVERAGEIFS('Data(perSeason,perCrop)'!$G:$G,'Data(perSeason,perCrop)'!$S:$S,Indicators!$B100,'Data(perSeason,perCrop)'!$O:$O,Indicators!BY$7,'Data(perSeason,perCrop)'!$C:$C,Indicators!BY$3,'Data(perSeason,perCrop)'!$R:$R,"IRRIGATED")</f>
        <v>#DIV/0!</v>
      </c>
      <c r="BZ100" s="7" t="e">
        <f>AVERAGEIFS('Data(perSeason,perCrop)'!$G:$G,'Data(perSeason,perCrop)'!$S:$S,Indicators!$B100,'Data(perSeason,perCrop)'!$O:$O,Indicators!BZ$7,'Data(perSeason,perCrop)'!$C:$C,Indicators!BZ$3,'Data(perSeason,perCrop)'!$R:$R,"IRRIGATED")</f>
        <v>#DIV/0!</v>
      </c>
      <c r="CA100" s="7" t="e">
        <f>AVERAGEIFS('Data(perSeason,perCrop)'!$G:$G,'Data(perSeason,perCrop)'!$S:$S,Indicators!$B100,'Data(perSeason,perCrop)'!$O:$O,Indicators!CA$7,'Data(perSeason,perCrop)'!$C:$C,Indicators!CA$3,'Data(perSeason,perCrop)'!$R:$R,"IRRIGATED")</f>
        <v>#DIV/0!</v>
      </c>
      <c r="CB100" s="7" t="e">
        <f>AVERAGEIFS('Data(perSeason,perCrop)'!$G:$G,'Data(perSeason,perCrop)'!$S:$S,Indicators!$B100,'Data(perSeason,perCrop)'!$O:$O,Indicators!CB$7,'Data(perSeason,perCrop)'!$C:$C,Indicators!CB$3,'Data(perSeason,perCrop)'!$R:$R,"IRRIGATED")</f>
        <v>#DIV/0!</v>
      </c>
      <c r="CC100" s="7" t="e">
        <f>AVERAGEIFS('Data(perSeason,perCrop)'!$G:$G,'Data(perSeason,perCrop)'!$S:$S,Indicators!$B100,'Data(perSeason,perCrop)'!$O:$O,Indicators!CC$7,'Data(perSeason,perCrop)'!$C:$C,Indicators!CC$3,'Data(perSeason,perCrop)'!$R:$R,"IRRIGATED")</f>
        <v>#DIV/0!</v>
      </c>
      <c r="CD100" s="7" t="e">
        <f>AVERAGEIFS('Data(perSeason,perCrop)'!$G:$G,'Data(perSeason,perCrop)'!$S:$S,Indicators!$B100,'Data(perSeason,perCrop)'!$O:$O,Indicators!CD$7,'Data(perSeason,perCrop)'!$C:$C,Indicators!CD$3,'Data(perSeason,perCrop)'!$R:$R,"IRRIGATED")</f>
        <v>#DIV/0!</v>
      </c>
      <c r="CE100" s="7" t="e">
        <f>AVERAGEIFS('Data(perSeason,perCrop)'!$G:$G,'Data(perSeason,perCrop)'!$S:$S,Indicators!$B100,'Data(perSeason,perCrop)'!$O:$O,Indicators!CE$7,'Data(perSeason,perCrop)'!$C:$C,Indicators!CE$3,'Data(perSeason,perCrop)'!$R:$R,"IRRIGATED")</f>
        <v>#DIV/0!</v>
      </c>
      <c r="CF100" s="7" t="e">
        <f>AVERAGEIFS('Data(perSeason,perCrop)'!$G:$G,'Data(perSeason,perCrop)'!$S:$S,Indicators!$B100,'Data(perSeason,perCrop)'!$O:$O,Indicators!CF$7,'Data(perSeason,perCrop)'!$C:$C,Indicators!CF$3,'Data(perSeason,perCrop)'!$R:$R,"IRRIGATED")</f>
        <v>#DIV/0!</v>
      </c>
      <c r="CG100" s="7" t="e">
        <f>AVERAGEIFS('Data(perSeason,perCrop)'!$G:$G,'Data(perSeason,perCrop)'!$S:$S,Indicators!$B100,'Data(perSeason,perCrop)'!$O:$O,Indicators!CG$7,'Data(perSeason,perCrop)'!$C:$C,Indicators!CG$3,'Data(perSeason,perCrop)'!$R:$R,"IRRIGATED")</f>
        <v>#DIV/0!</v>
      </c>
      <c r="CH100" s="7" t="e">
        <f>AVERAGEIFS('Data(perSeason,perCrop)'!$G:$G,'Data(perSeason,perCrop)'!$S:$S,Indicators!$B100,'Data(perSeason,perCrop)'!$O:$O,Indicators!CH$7,'Data(perSeason,perCrop)'!$C:$C,Indicators!CH$3,'Data(perSeason,perCrop)'!$R:$R,"IRRIGATED")</f>
        <v>#DIV/0!</v>
      </c>
      <c r="CI100" s="7" t="e">
        <f>AVERAGEIFS('Data(perSeason,perCrop)'!$G:$G,'Data(perSeason,perCrop)'!$S:$S,Indicators!$B100,'Data(perSeason,perCrop)'!$O:$O,Indicators!CI$7,'Data(perSeason,perCrop)'!$C:$C,Indicators!CI$3,'Data(perSeason,perCrop)'!$R:$R,"IRRIGATED")</f>
        <v>#DIV/0!</v>
      </c>
      <c r="CJ100" s="7" t="e">
        <f>AVERAGEIFS('Data(perSeason,perCrop)'!$G:$G,'Data(perSeason,perCrop)'!$S:$S,Indicators!$B100,'Data(perSeason,perCrop)'!$O:$O,Indicators!CJ$7,'Data(perSeason,perCrop)'!$C:$C,Indicators!CJ$3,'Data(perSeason,perCrop)'!$R:$R,"IRRIGATED")</f>
        <v>#DIV/0!</v>
      </c>
      <c r="CK100" s="7" t="e">
        <f>AVERAGEIFS('Data(perSeason,perCrop)'!$G:$G,'Data(perSeason,perCrop)'!$S:$S,Indicators!$B100,'Data(perSeason,perCrop)'!$O:$O,Indicators!CK$7,'Data(perSeason,perCrop)'!$C:$C,Indicators!CK$3,'Data(perSeason,perCrop)'!$R:$R,"IRRIGATED")</f>
        <v>#DIV/0!</v>
      </c>
      <c r="CL100" s="7" t="e">
        <f>AVERAGEIFS('Data(perSeason,perCrop)'!$G:$G,'Data(perSeason,perCrop)'!$S:$S,Indicators!$B100,'Data(perSeason,perCrop)'!$O:$O,Indicators!CL$7,'Data(perSeason,perCrop)'!$C:$C,Indicators!CL$3,'Data(perSeason,perCrop)'!$R:$R,"IRRIGATED")</f>
        <v>#DIV/0!</v>
      </c>
      <c r="CM100" s="7" t="e">
        <f>AVERAGEIFS('Data(perSeason,perCrop)'!$G:$G,'Data(perSeason,perCrop)'!$S:$S,Indicators!$B100,'Data(perSeason,perCrop)'!$O:$O,Indicators!CM$7,'Data(perSeason,perCrop)'!$C:$C,Indicators!CM$3,'Data(perSeason,perCrop)'!$R:$R,"IRRIGATED")</f>
        <v>#DIV/0!</v>
      </c>
      <c r="CN100" s="7" t="e">
        <f>AVERAGEIFS('Data(perSeason,perCrop)'!$G:$G,'Data(perSeason,perCrop)'!$S:$S,Indicators!$B100,'Data(perSeason,perCrop)'!$O:$O,Indicators!CN$7,'Data(perSeason,perCrop)'!$C:$C,Indicators!CN$3,'Data(perSeason,perCrop)'!$R:$R,"IRRIGATED")</f>
        <v>#DIV/0!</v>
      </c>
      <c r="CO100" s="7" t="e">
        <f>AVERAGEIFS('Data(perSeason,perCrop)'!$G:$G,'Data(perSeason,perCrop)'!$S:$S,Indicators!$B100,'Data(perSeason,perCrop)'!$O:$O,Indicators!CO$7,'Data(perSeason,perCrop)'!$C:$C,Indicators!CO$3,'Data(perSeason,perCrop)'!$R:$R,"IRRIGATED")</f>
        <v>#DIV/0!</v>
      </c>
      <c r="CP100" s="7">
        <f>AVERAGEIFS('Data(perSeason,perCrop)'!$G:$G,'Data(perSeason,perCrop)'!$S:$S,Indicators!$B100,'Data(perSeason,perCrop)'!$O:$O,Indicators!CP$7,'Data(perSeason,perCrop)'!$C:$C,Indicators!CP$3,'Data(perSeason,perCrop)'!$R:$R,"IRRIGATED")</f>
        <v>181</v>
      </c>
      <c r="CQ100" s="7">
        <f>AVERAGEIFS('Data(perSeason,perCrop)'!$G:$G,'Data(perSeason,perCrop)'!$S:$S,Indicators!$B100,'Data(perSeason,perCrop)'!$O:$O,Indicators!CQ$7,'Data(perSeason,perCrop)'!$C:$C,Indicators!CQ$3,'Data(perSeason,perCrop)'!$R:$R,"IRRIGATED")</f>
        <v>76</v>
      </c>
      <c r="CR100" s="7" t="e">
        <f>AVERAGEIFS('Data(perSeason,perCrop)'!$G:$G,'Data(perSeason,perCrop)'!$S:$S,Indicators!$B100,'Data(perSeason,perCrop)'!$O:$O,Indicators!CR$7,'Data(perSeason,perCrop)'!$C:$C,Indicators!CR$3,'Data(perSeason,perCrop)'!$R:$R,"IRRIGATED")</f>
        <v>#DIV/0!</v>
      </c>
      <c r="CS100" s="7">
        <f>AVERAGEIFS('Data(perSeason,perCrop)'!$G:$G,'Data(perSeason,perCrop)'!$S:$S,Indicators!$B100,'Data(perSeason,perCrop)'!$O:$O,Indicators!CS$7,'Data(perSeason,perCrop)'!$C:$C,Indicators!CS$3,'Data(perSeason,perCrop)'!$R:$R,"IRRIGATED")</f>
        <v>109</v>
      </c>
      <c r="CT100" s="7" t="e">
        <f>AVERAGEIFS('Data(perSeason,perCrop)'!$G:$G,'Data(perSeason,perCrop)'!$S:$S,Indicators!$B100,'Data(perSeason,perCrop)'!$O:$O,Indicators!CT$7,'Data(perSeason,perCrop)'!$C:$C,Indicators!CT$3,'Data(perSeason,perCrop)'!$R:$R,"IRRIGATED")</f>
        <v>#DIV/0!</v>
      </c>
      <c r="CU100" s="7" t="e">
        <f>AVERAGEIFS('Data(perSeason,perCrop)'!$G:$G,'Data(perSeason,perCrop)'!$S:$S,Indicators!$B100,'Data(perSeason,perCrop)'!$O:$O,Indicators!CU$7,'Data(perSeason,perCrop)'!$C:$C,Indicators!CU$3,'Data(perSeason,perCrop)'!$R:$R,"IRRIGATED")</f>
        <v>#DIV/0!</v>
      </c>
      <c r="CV100" s="7">
        <f>AVERAGEIFS('Data(perSeason,perCrop)'!$G:$G,'Data(perSeason,perCrop)'!$S:$S,Indicators!$B100,'Data(perSeason,perCrop)'!$O:$O,Indicators!CV$7,'Data(perSeason,perCrop)'!$C:$C,Indicators!CV$3,'Data(perSeason,perCrop)'!$R:$R,"IRRIGATED")</f>
        <v>151</v>
      </c>
      <c r="CW100" s="7" t="e">
        <f>AVERAGEIFS('Data(perSeason,perCrop)'!$G:$G,'Data(perSeason,perCrop)'!$S:$S,Indicators!$B100,'Data(perSeason,perCrop)'!$O:$O,Indicators!CW$7,'Data(perSeason,perCrop)'!$C:$C,Indicators!CW$3,'Data(perSeason,perCrop)'!$R:$R,"IRRIGATED")</f>
        <v>#DIV/0!</v>
      </c>
      <c r="CX100" s="7" t="e">
        <f>AVERAGEIFS('Data(perSeason,perCrop)'!$G:$G,'Data(perSeason,perCrop)'!$S:$S,Indicators!$B100,'Data(perSeason,perCrop)'!$O:$O,Indicators!CX$7,'Data(perSeason,perCrop)'!$C:$C,Indicators!CX$3,'Data(perSeason,perCrop)'!$R:$R,"IRRIGATED")</f>
        <v>#DIV/0!</v>
      </c>
      <c r="CY100" s="7" t="e">
        <f>AVERAGEIFS('Data(perSeason,perCrop)'!$G:$G,'Data(perSeason,perCrop)'!$S:$S,Indicators!$B100,'Data(perSeason,perCrop)'!$O:$O,Indicators!CY$7,'Data(perSeason,perCrop)'!$C:$C,Indicators!CY$3,'Data(perSeason,perCrop)'!$R:$R,"IRRIGATED")</f>
        <v>#DIV/0!</v>
      </c>
      <c r="CZ100" s="7" t="e">
        <f>AVERAGEIFS('Data(perSeason,perCrop)'!$G:$G,'Data(perSeason,perCrop)'!$S:$S,Indicators!$B100,'Data(perSeason,perCrop)'!$O:$O,Indicators!CZ$7,'Data(perSeason,perCrop)'!$C:$C,Indicators!CZ$3,'Data(perSeason,perCrop)'!$R:$R,"IRRIGATED")</f>
        <v>#DIV/0!</v>
      </c>
      <c r="DA100" s="7" t="e">
        <f>AVERAGEIFS('Data(perSeason,perCrop)'!$G:$G,'Data(perSeason,perCrop)'!$S:$S,Indicators!$B100,'Data(perSeason,perCrop)'!$O:$O,Indicators!DA$7,'Data(perSeason,perCrop)'!$C:$C,Indicators!DA$3,'Data(perSeason,perCrop)'!$R:$R,"IRRIGATED")</f>
        <v>#DIV/0!</v>
      </c>
      <c r="DB100" s="7" t="e">
        <f>AVERAGEIFS('Data(perSeason,perCrop)'!$G:$G,'Data(perSeason,perCrop)'!$S:$S,Indicators!$B100,'Data(perSeason,perCrop)'!$O:$O,Indicators!DB$7,'Data(perSeason,perCrop)'!$C:$C,Indicators!DB$3,'Data(perSeason,perCrop)'!$R:$R,"IRRIGATED")</f>
        <v>#DIV/0!</v>
      </c>
      <c r="DC100" s="7" t="e">
        <f>AVERAGEIFS('Data(perSeason,perCrop)'!$G:$G,'Data(perSeason,perCrop)'!$S:$S,Indicators!$B100,'Data(perSeason,perCrop)'!$O:$O,Indicators!DC$7,'Data(perSeason,perCrop)'!$C:$C,Indicators!DC$3,'Data(perSeason,perCrop)'!$R:$R,"IRRIGATED")</f>
        <v>#DIV/0!</v>
      </c>
      <c r="DD100" s="7" t="e">
        <f>AVERAGEIFS('Data(perSeason,perCrop)'!$G:$G,'Data(perSeason,perCrop)'!$S:$S,Indicators!$B100,'Data(perSeason,perCrop)'!$O:$O,Indicators!DD$7,'Data(perSeason,perCrop)'!$C:$C,Indicators!DD$3,'Data(perSeason,perCrop)'!$R:$R,"IRRIGATED")</f>
        <v>#DIV/0!</v>
      </c>
      <c r="DE100" s="7" t="e">
        <f>AVERAGEIFS('Data(perSeason,perCrop)'!$G:$G,'Data(perSeason,perCrop)'!$S:$S,Indicators!$B100,'Data(perSeason,perCrop)'!$O:$O,Indicators!DE$7,'Data(perSeason,perCrop)'!$C:$C,Indicators!DE$3,'Data(perSeason,perCrop)'!$R:$R,"IRRIGATED")</f>
        <v>#DIV/0!</v>
      </c>
      <c r="DF100" s="7" t="e">
        <f>AVERAGEIFS('Data(perSeason,perCrop)'!$G:$G,'Data(perSeason,perCrop)'!$S:$S,Indicators!$B100,'Data(perSeason,perCrop)'!$O:$O,Indicators!DF$7,'Data(perSeason,perCrop)'!$C:$C,Indicators!DF$3,'Data(perSeason,perCrop)'!$R:$R,"IRRIGATED")</f>
        <v>#DIV/0!</v>
      </c>
      <c r="DG100" s="7" t="e">
        <f>AVERAGEIFS('Data(perSeason,perCrop)'!$G:$G,'Data(perSeason,perCrop)'!$S:$S,Indicators!$B100,'Data(perSeason,perCrop)'!$O:$O,Indicators!DG$7,'Data(perSeason,perCrop)'!$C:$C,Indicators!DG$3,'Data(perSeason,perCrop)'!$R:$R,"IRRIGATED")</f>
        <v>#DIV/0!</v>
      </c>
    </row>
    <row r="101" spans="1:111" x14ac:dyDescent="0.25">
      <c r="A101" t="s">
        <v>116</v>
      </c>
      <c r="B101">
        <v>2019</v>
      </c>
      <c r="C101" s="8">
        <f>IF(COUNTIFS('Data(perSeason,perCrop)'!$S:$S,Indicators!$B101)&gt;0,SUM(S108:AW108),"")</f>
        <v>3.6579440880267549</v>
      </c>
      <c r="D101" s="8">
        <f>IF(COUNTIFS('Data(perSeason,perCrop)'!$S:$S,Indicators!$B101)&gt;0,SUM(AX108:CB108),"")</f>
        <v>2.3613140422219772</v>
      </c>
      <c r="E101" s="8">
        <f>IF(COUNTIFS('Data(perSeason,perCrop)'!$S:$S,Indicators!$B101)&gt;0,SUM(CC108:DG108),"")</f>
        <v>8.7916961153306428</v>
      </c>
      <c r="F101" s="8">
        <f>IF(COUNTIFS('Data(perSeason,perCrop)'!$S:$S,Indicators!$B101)&gt;0,SUMIFS('Data(perCrop)'!$Q:$Q,'Data(perCrop)'!$O:$O,Indicators!$B101),"")</f>
        <v>15.145846175310515</v>
      </c>
      <c r="G101" s="8"/>
      <c r="H101" s="8"/>
      <c r="J101" s="2" t="s">
        <v>113</v>
      </c>
      <c r="K101" s="7">
        <f>AVERAGEIFS('Data(perSeason,perCrop)'!$G:$G,'Data(perSeason,perCrop)'!$S:$S,Indicators!$B101,'Data(perSeason,perCrop)'!$O:$O,Indicators!K$7,'Data(perSeason,perCrop)'!$C:$C,Indicators!K$3,'Data(perSeason,perCrop)'!$R:$R,"IRRIGATED")</f>
        <v>69</v>
      </c>
      <c r="L101" s="7">
        <f>AVERAGEIFS('Data(perSeason,perCrop)'!$G:$G,'Data(perSeason,perCrop)'!$S:$S,Indicators!$B101,'Data(perSeason,perCrop)'!$O:$O,Indicators!L$7,'Data(perSeason,perCrop)'!$C:$C,Indicators!L$3,'Data(perSeason,perCrop)'!$R:$R,"IRRIGATED")</f>
        <v>138</v>
      </c>
      <c r="M101" s="7">
        <f>AVERAGEIFS('Data(perSeason,perCrop)'!$G:$G,'Data(perSeason,perCrop)'!$S:$S,Indicators!$B101,'Data(perSeason,perCrop)'!$O:$O,Indicators!M$7,'Data(perSeason,perCrop)'!$C:$C,Indicators!M$3,'Data(perSeason,perCrop)'!$R:$R,"IRRIGATED")</f>
        <v>165</v>
      </c>
      <c r="N101" s="7">
        <f>AVERAGEIFS('Data(perSeason,perCrop)'!$G:$G,'Data(perSeason,perCrop)'!$S:$S,Indicators!$B101,'Data(perSeason,perCrop)'!$O:$O,Indicators!N$7,'Data(perSeason,perCrop)'!$C:$C,Indicators!N$3,'Data(perSeason,perCrop)'!$R:$R,"IRRIGATED")</f>
        <v>185</v>
      </c>
      <c r="O101" s="7">
        <f>AVERAGEIFS('Data(perSeason,perCrop)'!$G:$G,'Data(perSeason,perCrop)'!$S:$S,Indicators!$B101,'Data(perSeason,perCrop)'!$O:$O,Indicators!O$7,'Data(perSeason,perCrop)'!$C:$C,Indicators!O$3,'Data(perSeason,perCrop)'!$R:$R,"IRRIGATED")</f>
        <v>49</v>
      </c>
      <c r="P101" s="7">
        <f>AVERAGEIFS('Data(perSeason,perCrop)'!$G:$G,'Data(perSeason,perCrop)'!$S:$S,Indicators!$B101,'Data(perSeason,perCrop)'!$O:$O,Indicators!P$7,'Data(perSeason,perCrop)'!$C:$C,Indicators!P$3,'Data(perSeason,perCrop)'!$R:$R,"IRRIGATED")</f>
        <v>80</v>
      </c>
      <c r="Q101" s="7">
        <f>AVERAGEIFS('Data(perSeason,perCrop)'!$G:$G,'Data(perSeason,perCrop)'!$S:$S,Indicators!$B101,'Data(perSeason,perCrop)'!$O:$O,Indicators!Q$7,'Data(perSeason,perCrop)'!$C:$C,Indicators!Q$3,'Data(perSeason,perCrop)'!$R:$R,"IRRIGATED")</f>
        <v>171</v>
      </c>
      <c r="R101" s="7">
        <f>AVERAGEIFS('Data(perSeason,perCrop)'!$G:$G,'Data(perSeason,perCrop)'!$S:$S,Indicators!$B101,'Data(perSeason,perCrop)'!$O:$O,Indicators!R$7,'Data(perSeason,perCrop)'!$C:$C,Indicators!R$3,'Data(perSeason,perCrop)'!$R:$R,"IRRIGATED")</f>
        <v>101</v>
      </c>
      <c r="S101" s="62" t="e">
        <f>AVERAGEIFS('Data(perSeason,perCrop)'!$G:$G,'Data(perSeason,perCrop)'!$S:$S,Indicators!$B101,'Data(perSeason,perCrop)'!$O:$O,Indicators!S$7,'Data(perSeason,perCrop)'!$C:$C,Indicators!S$3,'Data(perSeason,perCrop)'!$R:$R,"IRRIGATED")</f>
        <v>#DIV/0!</v>
      </c>
      <c r="T101" s="62">
        <f>AVERAGEIFS('Data(perSeason,perCrop)'!$G:$G,'Data(perSeason,perCrop)'!$S:$S,Indicators!$B101,'Data(perSeason,perCrop)'!$O:$O,Indicators!T$7,'Data(perSeason,perCrop)'!$C:$C,Indicators!T$3,'Data(perSeason,perCrop)'!$R:$R,"IRRIGATED")</f>
        <v>47</v>
      </c>
      <c r="U101" s="62" t="e">
        <f>AVERAGEIFS('Data(perSeason,perCrop)'!$G:$G,'Data(perSeason,perCrop)'!$S:$S,Indicators!$B101,'Data(perSeason,perCrop)'!$O:$O,Indicators!U$7,'Data(perSeason,perCrop)'!$C:$C,Indicators!U$3,'Data(perSeason,perCrop)'!$R:$R,"IRRIGATED")</f>
        <v>#DIV/0!</v>
      </c>
      <c r="V101" s="62" t="e">
        <f>AVERAGEIFS('Data(perSeason,perCrop)'!$G:$G,'Data(perSeason,perCrop)'!$S:$S,Indicators!$B101,'Data(perSeason,perCrop)'!$O:$O,Indicators!V$7,'Data(perSeason,perCrop)'!$C:$C,Indicators!V$3,'Data(perSeason,perCrop)'!$R:$R,"IRRIGATED")</f>
        <v>#DIV/0!</v>
      </c>
      <c r="W101" s="62" t="e">
        <f>AVERAGEIFS('Data(perSeason,perCrop)'!$G:$G,'Data(perSeason,perCrop)'!$S:$S,Indicators!$B101,'Data(perSeason,perCrop)'!$O:$O,Indicators!W$7,'Data(perSeason,perCrop)'!$C:$C,Indicators!W$3,'Data(perSeason,perCrop)'!$R:$R,"IRRIGATED")</f>
        <v>#DIV/0!</v>
      </c>
      <c r="X101" s="62" t="e">
        <f>AVERAGEIFS('Data(perSeason,perCrop)'!$G:$G,'Data(perSeason,perCrop)'!$S:$S,Indicators!$B101,'Data(perSeason,perCrop)'!$O:$O,Indicators!X$7,'Data(perSeason,perCrop)'!$C:$C,Indicators!X$3,'Data(perSeason,perCrop)'!$R:$R,"IRRIGATED")</f>
        <v>#DIV/0!</v>
      </c>
      <c r="Y101" s="62" t="e">
        <f>AVERAGEIFS('Data(perSeason,perCrop)'!$G:$G,'Data(perSeason,perCrop)'!$S:$S,Indicators!$B101,'Data(perSeason,perCrop)'!$O:$O,Indicators!Y$7,'Data(perSeason,perCrop)'!$C:$C,Indicators!Y$3,'Data(perSeason,perCrop)'!$R:$R,"IRRIGATED")</f>
        <v>#DIV/0!</v>
      </c>
      <c r="Z101" s="62" t="e">
        <f>AVERAGEIFS('Data(perSeason,perCrop)'!$G:$G,'Data(perSeason,perCrop)'!$S:$S,Indicators!$B101,'Data(perSeason,perCrop)'!$O:$O,Indicators!Z$7,'Data(perSeason,perCrop)'!$C:$C,Indicators!Z$3,'Data(perSeason,perCrop)'!$R:$R,"IRRIGATED")</f>
        <v>#DIV/0!</v>
      </c>
      <c r="AA101" s="62" t="e">
        <f>AVERAGEIFS('Data(perSeason,perCrop)'!$G:$G,'Data(perSeason,perCrop)'!$S:$S,Indicators!$B101,'Data(perSeason,perCrop)'!$O:$O,Indicators!AA$7,'Data(perSeason,perCrop)'!$C:$C,Indicators!AA$3,'Data(perSeason,perCrop)'!$R:$R,"IRRIGATED")</f>
        <v>#DIV/0!</v>
      </c>
      <c r="AB101" s="62" t="e">
        <f>AVERAGEIFS('Data(perSeason,perCrop)'!$G:$G,'Data(perSeason,perCrop)'!$S:$S,Indicators!$B101,'Data(perSeason,perCrop)'!$O:$O,Indicators!AB$7,'Data(perSeason,perCrop)'!$C:$C,Indicators!AB$3,'Data(perSeason,perCrop)'!$R:$R,"IRRIGATED")</f>
        <v>#DIV/0!</v>
      </c>
      <c r="AC101" s="62" t="e">
        <f>AVERAGEIFS('Data(perSeason,perCrop)'!$G:$G,'Data(perSeason,perCrop)'!$S:$S,Indicators!$B101,'Data(perSeason,perCrop)'!$O:$O,Indicators!AC$7,'Data(perSeason,perCrop)'!$C:$C,Indicators!AC$3,'Data(perSeason,perCrop)'!$R:$R,"IRRIGATED")</f>
        <v>#DIV/0!</v>
      </c>
      <c r="AD101" s="62" t="e">
        <f>AVERAGEIFS('Data(perSeason,perCrop)'!$G:$G,'Data(perSeason,perCrop)'!$S:$S,Indicators!$B101,'Data(perSeason,perCrop)'!$O:$O,Indicators!AD$7,'Data(perSeason,perCrop)'!$C:$C,Indicators!AD$3,'Data(perSeason,perCrop)'!$R:$R,"IRRIGATED")</f>
        <v>#DIV/0!</v>
      </c>
      <c r="AE101" s="62" t="e">
        <f>AVERAGEIFS('Data(perSeason,perCrop)'!$G:$G,'Data(perSeason,perCrop)'!$S:$S,Indicators!$B101,'Data(perSeason,perCrop)'!$O:$O,Indicators!AE$7,'Data(perSeason,perCrop)'!$C:$C,Indicators!AE$3,'Data(perSeason,perCrop)'!$R:$R,"IRRIGATED")</f>
        <v>#DIV/0!</v>
      </c>
      <c r="AF101" s="62">
        <f>AVERAGEIFS('Data(perSeason,perCrop)'!$G:$G,'Data(perSeason,perCrop)'!$S:$S,Indicators!$B101,'Data(perSeason,perCrop)'!$O:$O,Indicators!AF$7,'Data(perSeason,perCrop)'!$C:$C,Indicators!AF$3,'Data(perSeason,perCrop)'!$R:$R,"IRRIGATED")</f>
        <v>134</v>
      </c>
      <c r="AG101" s="62">
        <f>AVERAGEIFS('Data(perSeason,perCrop)'!$G:$G,'Data(perSeason,perCrop)'!$S:$S,Indicators!$B101,'Data(perSeason,perCrop)'!$O:$O,Indicators!AG$7,'Data(perSeason,perCrop)'!$C:$C,Indicators!AG$3,'Data(perSeason,perCrop)'!$R:$R,"IRRIGATED")</f>
        <v>44</v>
      </c>
      <c r="AH101" s="62" t="e">
        <f>AVERAGEIFS('Data(perSeason,perCrop)'!$G:$G,'Data(perSeason,perCrop)'!$S:$S,Indicators!$B101,'Data(perSeason,perCrop)'!$O:$O,Indicators!AH$7,'Data(perSeason,perCrop)'!$C:$C,Indicators!AH$3,'Data(perSeason,perCrop)'!$R:$R,"IRRIGATED")</f>
        <v>#DIV/0!</v>
      </c>
      <c r="AI101" s="62">
        <f>AVERAGEIFS('Data(perSeason,perCrop)'!$G:$G,'Data(perSeason,perCrop)'!$S:$S,Indicators!$B101,'Data(perSeason,perCrop)'!$O:$O,Indicators!AI$7,'Data(perSeason,perCrop)'!$C:$C,Indicators!AI$3,'Data(perSeason,perCrop)'!$R:$R,"IRRIGATED")</f>
        <v>45</v>
      </c>
      <c r="AJ101" s="62" t="e">
        <f>AVERAGEIFS('Data(perSeason,perCrop)'!$G:$G,'Data(perSeason,perCrop)'!$S:$S,Indicators!$B101,'Data(perSeason,perCrop)'!$O:$O,Indicators!AJ$7,'Data(perSeason,perCrop)'!$C:$C,Indicators!AJ$3,'Data(perSeason,perCrop)'!$R:$R,"IRRIGATED")</f>
        <v>#DIV/0!</v>
      </c>
      <c r="AK101" s="62" t="e">
        <f>AVERAGEIFS('Data(perSeason,perCrop)'!$G:$G,'Data(perSeason,perCrop)'!$S:$S,Indicators!$B101,'Data(perSeason,perCrop)'!$O:$O,Indicators!AK$7,'Data(perSeason,perCrop)'!$C:$C,Indicators!AK$3,'Data(perSeason,perCrop)'!$R:$R,"IRRIGATED")</f>
        <v>#DIV/0!</v>
      </c>
      <c r="AL101" s="62">
        <f>AVERAGEIFS('Data(perSeason,perCrop)'!$G:$G,'Data(perSeason,perCrop)'!$S:$S,Indicators!$B101,'Data(perSeason,perCrop)'!$O:$O,Indicators!AL$7,'Data(perSeason,perCrop)'!$C:$C,Indicators!AL$3,'Data(perSeason,perCrop)'!$R:$R,"IRRIGATED")</f>
        <v>58</v>
      </c>
      <c r="AM101" s="62" t="e">
        <f>AVERAGEIFS('Data(perSeason,perCrop)'!$G:$G,'Data(perSeason,perCrop)'!$S:$S,Indicators!$B101,'Data(perSeason,perCrop)'!$O:$O,Indicators!AM$7,'Data(perSeason,perCrop)'!$C:$C,Indicators!AM$3,'Data(perSeason,perCrop)'!$R:$R,"IRRIGATED")</f>
        <v>#DIV/0!</v>
      </c>
      <c r="AN101" s="62" t="e">
        <f>AVERAGEIFS('Data(perSeason,perCrop)'!$G:$G,'Data(perSeason,perCrop)'!$S:$S,Indicators!$B101,'Data(perSeason,perCrop)'!$O:$O,Indicators!AN$7,'Data(perSeason,perCrop)'!$C:$C,Indicators!AN$3,'Data(perSeason,perCrop)'!$R:$R,"IRRIGATED")</f>
        <v>#DIV/0!</v>
      </c>
      <c r="AO101" s="62" t="e">
        <f>AVERAGEIFS('Data(perSeason,perCrop)'!$G:$G,'Data(perSeason,perCrop)'!$S:$S,Indicators!$B101,'Data(perSeason,perCrop)'!$O:$O,Indicators!AO$7,'Data(perSeason,perCrop)'!$C:$C,Indicators!AO$3,'Data(perSeason,perCrop)'!$R:$R,"IRRIGATED")</f>
        <v>#DIV/0!</v>
      </c>
      <c r="AP101" s="62" t="e">
        <f>AVERAGEIFS('Data(perSeason,perCrop)'!$G:$G,'Data(perSeason,perCrop)'!$S:$S,Indicators!$B101,'Data(perSeason,perCrop)'!$O:$O,Indicators!AP$7,'Data(perSeason,perCrop)'!$C:$C,Indicators!AP$3,'Data(perSeason,perCrop)'!$R:$R,"IRRIGATED")</f>
        <v>#DIV/0!</v>
      </c>
      <c r="AQ101" s="62" t="e">
        <f>AVERAGEIFS('Data(perSeason,perCrop)'!$G:$G,'Data(perSeason,perCrop)'!$S:$S,Indicators!$B101,'Data(perSeason,perCrop)'!$O:$O,Indicators!AQ$7,'Data(perSeason,perCrop)'!$C:$C,Indicators!AQ$3,'Data(perSeason,perCrop)'!$R:$R,"IRRIGATED")</f>
        <v>#DIV/0!</v>
      </c>
      <c r="AR101" s="62" t="e">
        <f>AVERAGEIFS('Data(perSeason,perCrop)'!$G:$G,'Data(perSeason,perCrop)'!$S:$S,Indicators!$B101,'Data(perSeason,perCrop)'!$O:$O,Indicators!AR$7,'Data(perSeason,perCrop)'!$C:$C,Indicators!AR$3,'Data(perSeason,perCrop)'!$R:$R,"IRRIGATED")</f>
        <v>#DIV/0!</v>
      </c>
      <c r="AS101" s="62" t="e">
        <f>AVERAGEIFS('Data(perSeason,perCrop)'!$G:$G,'Data(perSeason,perCrop)'!$S:$S,Indicators!$B101,'Data(perSeason,perCrop)'!$O:$O,Indicators!AS$7,'Data(perSeason,perCrop)'!$C:$C,Indicators!AS$3,'Data(perSeason,perCrop)'!$R:$R,"IRRIGATED")</f>
        <v>#DIV/0!</v>
      </c>
      <c r="AT101" s="62" t="e">
        <f>AVERAGEIFS('Data(perSeason,perCrop)'!$G:$G,'Data(perSeason,perCrop)'!$S:$S,Indicators!$B101,'Data(perSeason,perCrop)'!$O:$O,Indicators!AT$7,'Data(perSeason,perCrop)'!$C:$C,Indicators!AT$3,'Data(perSeason,perCrop)'!$R:$R,"IRRIGATED")</f>
        <v>#DIV/0!</v>
      </c>
      <c r="AU101" s="62" t="e">
        <f>AVERAGEIFS('Data(perSeason,perCrop)'!$G:$G,'Data(perSeason,perCrop)'!$S:$S,Indicators!$B101,'Data(perSeason,perCrop)'!$O:$O,Indicators!AU$7,'Data(perSeason,perCrop)'!$C:$C,Indicators!AU$3,'Data(perSeason,perCrop)'!$R:$R,"IRRIGATED")</f>
        <v>#DIV/0!</v>
      </c>
      <c r="AV101" s="62" t="e">
        <f>AVERAGEIFS('Data(perSeason,perCrop)'!$G:$G,'Data(perSeason,perCrop)'!$S:$S,Indicators!$B101,'Data(perSeason,perCrop)'!$O:$O,Indicators!AV$7,'Data(perSeason,perCrop)'!$C:$C,Indicators!AV$3,'Data(perSeason,perCrop)'!$R:$R,"IRRIGATED")</f>
        <v>#DIV/0!</v>
      </c>
      <c r="AW101" s="62" t="e">
        <f>AVERAGEIFS('Data(perSeason,perCrop)'!$G:$G,'Data(perSeason,perCrop)'!$S:$S,Indicators!$B101,'Data(perSeason,perCrop)'!$O:$O,Indicators!AW$7,'Data(perSeason,perCrop)'!$C:$C,Indicators!AW$3,'Data(perSeason,perCrop)'!$R:$R,"IRRIGATED")</f>
        <v>#DIV/0!</v>
      </c>
      <c r="AX101" s="7" t="e">
        <f>AVERAGEIFS('Data(perSeason,perCrop)'!$G:$G,'Data(perSeason,perCrop)'!$S:$S,Indicators!$B101,'Data(perSeason,perCrop)'!$O:$O,Indicators!AX$7,'Data(perSeason,perCrop)'!$C:$C,Indicators!AX$3,'Data(perSeason,perCrop)'!$R:$R,"IRRIGATED")</f>
        <v>#DIV/0!</v>
      </c>
      <c r="AY101" s="7">
        <f>AVERAGEIFS('Data(perSeason,perCrop)'!$G:$G,'Data(perSeason,perCrop)'!$S:$S,Indicators!$B101,'Data(perSeason,perCrop)'!$O:$O,Indicators!AY$7,'Data(perSeason,perCrop)'!$C:$C,Indicators!AY$3,'Data(perSeason,perCrop)'!$R:$R,"IRRIGATED")</f>
        <v>25</v>
      </c>
      <c r="AZ101" s="7" t="e">
        <f>AVERAGEIFS('Data(perSeason,perCrop)'!$G:$G,'Data(perSeason,perCrop)'!$S:$S,Indicators!$B101,'Data(perSeason,perCrop)'!$O:$O,Indicators!AZ$7,'Data(perSeason,perCrop)'!$C:$C,Indicators!AZ$3,'Data(perSeason,perCrop)'!$R:$R,"IRRIGATED")</f>
        <v>#DIV/0!</v>
      </c>
      <c r="BA101" s="7" t="e">
        <f>AVERAGEIFS('Data(perSeason,perCrop)'!$G:$G,'Data(perSeason,perCrop)'!$S:$S,Indicators!$B101,'Data(perSeason,perCrop)'!$O:$O,Indicators!BA$7,'Data(perSeason,perCrop)'!$C:$C,Indicators!BA$3,'Data(perSeason,perCrop)'!$R:$R,"IRRIGATED")</f>
        <v>#DIV/0!</v>
      </c>
      <c r="BB101" s="7" t="e">
        <f>AVERAGEIFS('Data(perSeason,perCrop)'!$G:$G,'Data(perSeason,perCrop)'!$S:$S,Indicators!$B101,'Data(perSeason,perCrop)'!$O:$O,Indicators!BB$7,'Data(perSeason,perCrop)'!$C:$C,Indicators!BB$3,'Data(perSeason,perCrop)'!$R:$R,"IRRIGATED")</f>
        <v>#DIV/0!</v>
      </c>
      <c r="BC101" s="7" t="e">
        <f>AVERAGEIFS('Data(perSeason,perCrop)'!$G:$G,'Data(perSeason,perCrop)'!$S:$S,Indicators!$B101,'Data(perSeason,perCrop)'!$O:$O,Indicators!BC$7,'Data(perSeason,perCrop)'!$C:$C,Indicators!BC$3,'Data(perSeason,perCrop)'!$R:$R,"IRRIGATED")</f>
        <v>#DIV/0!</v>
      </c>
      <c r="BD101" s="7" t="e">
        <f>AVERAGEIFS('Data(perSeason,perCrop)'!$G:$G,'Data(perSeason,perCrop)'!$S:$S,Indicators!$B101,'Data(perSeason,perCrop)'!$O:$O,Indicators!BD$7,'Data(perSeason,perCrop)'!$C:$C,Indicators!BD$3,'Data(perSeason,perCrop)'!$R:$R,"IRRIGATED")</f>
        <v>#DIV/0!</v>
      </c>
      <c r="BE101" s="7" t="e">
        <f>AVERAGEIFS('Data(perSeason,perCrop)'!$G:$G,'Data(perSeason,perCrop)'!$S:$S,Indicators!$B101,'Data(perSeason,perCrop)'!$O:$O,Indicators!BE$7,'Data(perSeason,perCrop)'!$C:$C,Indicators!BE$3,'Data(perSeason,perCrop)'!$R:$R,"IRRIGATED")</f>
        <v>#DIV/0!</v>
      </c>
      <c r="BF101" s="7" t="e">
        <f>AVERAGEIFS('Data(perSeason,perCrop)'!$G:$G,'Data(perSeason,perCrop)'!$S:$S,Indicators!$B101,'Data(perSeason,perCrop)'!$O:$O,Indicators!BF$7,'Data(perSeason,perCrop)'!$C:$C,Indicators!BF$3,'Data(perSeason,perCrop)'!$R:$R,"IRRIGATED")</f>
        <v>#DIV/0!</v>
      </c>
      <c r="BG101" s="7" t="e">
        <f>AVERAGEIFS('Data(perSeason,perCrop)'!$G:$G,'Data(perSeason,perCrop)'!$S:$S,Indicators!$B101,'Data(perSeason,perCrop)'!$O:$O,Indicators!BG$7,'Data(perSeason,perCrop)'!$C:$C,Indicators!BG$3,'Data(perSeason,perCrop)'!$R:$R,"IRRIGATED")</f>
        <v>#DIV/0!</v>
      </c>
      <c r="BH101" s="7" t="e">
        <f>AVERAGEIFS('Data(perSeason,perCrop)'!$G:$G,'Data(perSeason,perCrop)'!$S:$S,Indicators!$B101,'Data(perSeason,perCrop)'!$O:$O,Indicators!BH$7,'Data(perSeason,perCrop)'!$C:$C,Indicators!BH$3,'Data(perSeason,perCrop)'!$R:$R,"IRRIGATED")</f>
        <v>#DIV/0!</v>
      </c>
      <c r="BI101" s="7" t="e">
        <f>AVERAGEIFS('Data(perSeason,perCrop)'!$G:$G,'Data(perSeason,perCrop)'!$S:$S,Indicators!$B101,'Data(perSeason,perCrop)'!$O:$O,Indicators!BI$7,'Data(perSeason,perCrop)'!$C:$C,Indicators!BI$3,'Data(perSeason,perCrop)'!$R:$R,"IRRIGATED")</f>
        <v>#DIV/0!</v>
      </c>
      <c r="BJ101" s="7" t="e">
        <f>AVERAGEIFS('Data(perSeason,perCrop)'!$G:$G,'Data(perSeason,perCrop)'!$S:$S,Indicators!$B101,'Data(perSeason,perCrop)'!$O:$O,Indicators!BJ$7,'Data(perSeason,perCrop)'!$C:$C,Indicators!BJ$3,'Data(perSeason,perCrop)'!$R:$R,"IRRIGATED")</f>
        <v>#DIV/0!</v>
      </c>
      <c r="BK101" s="7" t="e">
        <f>AVERAGEIFS('Data(perSeason,perCrop)'!$G:$G,'Data(perSeason,perCrop)'!$S:$S,Indicators!$B101,'Data(perSeason,perCrop)'!$O:$O,Indicators!BK$7,'Data(perSeason,perCrop)'!$C:$C,Indicators!BK$3,'Data(perSeason,perCrop)'!$R:$R,"IRRIGATED")</f>
        <v>#DIV/0!</v>
      </c>
      <c r="BL101" s="7">
        <f>AVERAGEIFS('Data(perSeason,perCrop)'!$G:$G,'Data(perSeason,perCrop)'!$S:$S,Indicators!$B101,'Data(perSeason,perCrop)'!$O:$O,Indicators!BL$7,'Data(perSeason,perCrop)'!$C:$C,Indicators!BL$3,'Data(perSeason,perCrop)'!$R:$R,"IRRIGATED")</f>
        <v>27</v>
      </c>
      <c r="BM101" s="7" t="e">
        <f>AVERAGEIFS('Data(perSeason,perCrop)'!$G:$G,'Data(perSeason,perCrop)'!$S:$S,Indicators!$B101,'Data(perSeason,perCrop)'!$O:$O,Indicators!BM$7,'Data(perSeason,perCrop)'!$C:$C,Indicators!BM$3,'Data(perSeason,perCrop)'!$R:$R,"IRRIGATED")</f>
        <v>#DIV/0!</v>
      </c>
      <c r="BN101" s="7">
        <f>AVERAGEIFS('Data(perSeason,perCrop)'!$G:$G,'Data(perSeason,perCrop)'!$S:$S,Indicators!$B101,'Data(perSeason,perCrop)'!$O:$O,Indicators!BN$7,'Data(perSeason,perCrop)'!$C:$C,Indicators!BN$3,'Data(perSeason,perCrop)'!$R:$R,"IRRIGATED")</f>
        <v>22</v>
      </c>
      <c r="BO101" s="7" t="e">
        <f>AVERAGEIFS('Data(perSeason,perCrop)'!$G:$G,'Data(perSeason,perCrop)'!$S:$S,Indicators!$B101,'Data(perSeason,perCrop)'!$O:$O,Indicators!BO$7,'Data(perSeason,perCrop)'!$C:$C,Indicators!BO$3,'Data(perSeason,perCrop)'!$R:$R,"IRRIGATED")</f>
        <v>#DIV/0!</v>
      </c>
      <c r="BP101" s="7" t="e">
        <f>AVERAGEIFS('Data(perSeason,perCrop)'!$G:$G,'Data(perSeason,perCrop)'!$S:$S,Indicators!$B101,'Data(perSeason,perCrop)'!$O:$O,Indicators!BP$7,'Data(perSeason,perCrop)'!$C:$C,Indicators!BP$3,'Data(perSeason,perCrop)'!$R:$R,"IRRIGATED")</f>
        <v>#DIV/0!</v>
      </c>
      <c r="BQ101" s="7">
        <f>AVERAGEIFS('Data(perSeason,perCrop)'!$G:$G,'Data(perSeason,perCrop)'!$S:$S,Indicators!$B101,'Data(perSeason,perCrop)'!$O:$O,Indicators!BQ$7,'Data(perSeason,perCrop)'!$C:$C,Indicators!BQ$3,'Data(perSeason,perCrop)'!$R:$R,"IRRIGATED")</f>
        <v>34</v>
      </c>
      <c r="BR101" s="7" t="e">
        <f>AVERAGEIFS('Data(perSeason,perCrop)'!$G:$G,'Data(perSeason,perCrop)'!$S:$S,Indicators!$B101,'Data(perSeason,perCrop)'!$O:$O,Indicators!BR$7,'Data(perSeason,perCrop)'!$C:$C,Indicators!BR$3,'Data(perSeason,perCrop)'!$R:$R,"IRRIGATED")</f>
        <v>#DIV/0!</v>
      </c>
      <c r="BS101" s="7" t="e">
        <f>AVERAGEIFS('Data(perSeason,perCrop)'!$G:$G,'Data(perSeason,perCrop)'!$S:$S,Indicators!$B101,'Data(perSeason,perCrop)'!$O:$O,Indicators!BS$7,'Data(perSeason,perCrop)'!$C:$C,Indicators!BS$3,'Data(perSeason,perCrop)'!$R:$R,"IRRIGATED")</f>
        <v>#DIV/0!</v>
      </c>
      <c r="BT101" s="7" t="e">
        <f>AVERAGEIFS('Data(perSeason,perCrop)'!$G:$G,'Data(perSeason,perCrop)'!$S:$S,Indicators!$B101,'Data(perSeason,perCrop)'!$O:$O,Indicators!BT$7,'Data(perSeason,perCrop)'!$C:$C,Indicators!BT$3,'Data(perSeason,perCrop)'!$R:$R,"IRRIGATED")</f>
        <v>#DIV/0!</v>
      </c>
      <c r="BU101" s="7" t="e">
        <f>AVERAGEIFS('Data(perSeason,perCrop)'!$G:$G,'Data(perSeason,perCrop)'!$S:$S,Indicators!$B101,'Data(perSeason,perCrop)'!$O:$O,Indicators!BU$7,'Data(perSeason,perCrop)'!$C:$C,Indicators!BU$3,'Data(perSeason,perCrop)'!$R:$R,"IRRIGATED")</f>
        <v>#DIV/0!</v>
      </c>
      <c r="BV101" s="7" t="e">
        <f>AVERAGEIFS('Data(perSeason,perCrop)'!$G:$G,'Data(perSeason,perCrop)'!$S:$S,Indicators!$B101,'Data(perSeason,perCrop)'!$O:$O,Indicators!BV$7,'Data(perSeason,perCrop)'!$C:$C,Indicators!BV$3,'Data(perSeason,perCrop)'!$R:$R,"IRRIGATED")</f>
        <v>#DIV/0!</v>
      </c>
      <c r="BW101" s="7" t="e">
        <f>AVERAGEIFS('Data(perSeason,perCrop)'!$G:$G,'Data(perSeason,perCrop)'!$S:$S,Indicators!$B101,'Data(perSeason,perCrop)'!$O:$O,Indicators!BW$7,'Data(perSeason,perCrop)'!$C:$C,Indicators!BW$3,'Data(perSeason,perCrop)'!$R:$R,"IRRIGATED")</f>
        <v>#DIV/0!</v>
      </c>
      <c r="BX101" s="7" t="e">
        <f>AVERAGEIFS('Data(perSeason,perCrop)'!$G:$G,'Data(perSeason,perCrop)'!$S:$S,Indicators!$B101,'Data(perSeason,perCrop)'!$O:$O,Indicators!BX$7,'Data(perSeason,perCrop)'!$C:$C,Indicators!BX$3,'Data(perSeason,perCrop)'!$R:$R,"IRRIGATED")</f>
        <v>#DIV/0!</v>
      </c>
      <c r="BY101" s="7" t="e">
        <f>AVERAGEIFS('Data(perSeason,perCrop)'!$G:$G,'Data(perSeason,perCrop)'!$S:$S,Indicators!$B101,'Data(perSeason,perCrop)'!$O:$O,Indicators!BY$7,'Data(perSeason,perCrop)'!$C:$C,Indicators!BY$3,'Data(perSeason,perCrop)'!$R:$R,"IRRIGATED")</f>
        <v>#DIV/0!</v>
      </c>
      <c r="BZ101" s="7" t="e">
        <f>AVERAGEIFS('Data(perSeason,perCrop)'!$G:$G,'Data(perSeason,perCrop)'!$S:$S,Indicators!$B101,'Data(perSeason,perCrop)'!$O:$O,Indicators!BZ$7,'Data(perSeason,perCrop)'!$C:$C,Indicators!BZ$3,'Data(perSeason,perCrop)'!$R:$R,"IRRIGATED")</f>
        <v>#DIV/0!</v>
      </c>
      <c r="CA101" s="7" t="e">
        <f>AVERAGEIFS('Data(perSeason,perCrop)'!$G:$G,'Data(perSeason,perCrop)'!$S:$S,Indicators!$B101,'Data(perSeason,perCrop)'!$O:$O,Indicators!CA$7,'Data(perSeason,perCrop)'!$C:$C,Indicators!CA$3,'Data(perSeason,perCrop)'!$R:$R,"IRRIGATED")</f>
        <v>#DIV/0!</v>
      </c>
      <c r="CB101" s="7" t="e">
        <f>AVERAGEIFS('Data(perSeason,perCrop)'!$G:$G,'Data(perSeason,perCrop)'!$S:$S,Indicators!$B101,'Data(perSeason,perCrop)'!$O:$O,Indicators!CB$7,'Data(perSeason,perCrop)'!$C:$C,Indicators!CB$3,'Data(perSeason,perCrop)'!$R:$R,"IRRIGATED")</f>
        <v>#DIV/0!</v>
      </c>
      <c r="CC101" s="7" t="e">
        <f>AVERAGEIFS('Data(perSeason,perCrop)'!$G:$G,'Data(perSeason,perCrop)'!$S:$S,Indicators!$B101,'Data(perSeason,perCrop)'!$O:$O,Indicators!CC$7,'Data(perSeason,perCrop)'!$C:$C,Indicators!CC$3,'Data(perSeason,perCrop)'!$R:$R,"IRRIGATED")</f>
        <v>#DIV/0!</v>
      </c>
      <c r="CD101" s="7" t="e">
        <f>AVERAGEIFS('Data(perSeason,perCrop)'!$G:$G,'Data(perSeason,perCrop)'!$S:$S,Indicators!$B101,'Data(perSeason,perCrop)'!$O:$O,Indicators!CD$7,'Data(perSeason,perCrop)'!$C:$C,Indicators!CD$3,'Data(perSeason,perCrop)'!$R:$R,"IRRIGATED")</f>
        <v>#DIV/0!</v>
      </c>
      <c r="CE101" s="7" t="e">
        <f>AVERAGEIFS('Data(perSeason,perCrop)'!$G:$G,'Data(perSeason,perCrop)'!$S:$S,Indicators!$B101,'Data(perSeason,perCrop)'!$O:$O,Indicators!CE$7,'Data(perSeason,perCrop)'!$C:$C,Indicators!CE$3,'Data(perSeason,perCrop)'!$R:$R,"IRRIGATED")</f>
        <v>#DIV/0!</v>
      </c>
      <c r="CF101" s="7" t="e">
        <f>AVERAGEIFS('Data(perSeason,perCrop)'!$G:$G,'Data(perSeason,perCrop)'!$S:$S,Indicators!$B101,'Data(perSeason,perCrop)'!$O:$O,Indicators!CF$7,'Data(perSeason,perCrop)'!$C:$C,Indicators!CF$3,'Data(perSeason,perCrop)'!$R:$R,"IRRIGATED")</f>
        <v>#DIV/0!</v>
      </c>
      <c r="CG101" s="7" t="e">
        <f>AVERAGEIFS('Data(perSeason,perCrop)'!$G:$G,'Data(perSeason,perCrop)'!$S:$S,Indicators!$B101,'Data(perSeason,perCrop)'!$O:$O,Indicators!CG$7,'Data(perSeason,perCrop)'!$C:$C,Indicators!CG$3,'Data(perSeason,perCrop)'!$R:$R,"IRRIGATED")</f>
        <v>#DIV/0!</v>
      </c>
      <c r="CH101" s="7" t="e">
        <f>AVERAGEIFS('Data(perSeason,perCrop)'!$G:$G,'Data(perSeason,perCrop)'!$S:$S,Indicators!$B101,'Data(perSeason,perCrop)'!$O:$O,Indicators!CH$7,'Data(perSeason,perCrop)'!$C:$C,Indicators!CH$3,'Data(perSeason,perCrop)'!$R:$R,"IRRIGATED")</f>
        <v>#DIV/0!</v>
      </c>
      <c r="CI101" s="7" t="e">
        <f>AVERAGEIFS('Data(perSeason,perCrop)'!$G:$G,'Data(perSeason,perCrop)'!$S:$S,Indicators!$B101,'Data(perSeason,perCrop)'!$O:$O,Indicators!CI$7,'Data(perSeason,perCrop)'!$C:$C,Indicators!CI$3,'Data(perSeason,perCrop)'!$R:$R,"IRRIGATED")</f>
        <v>#DIV/0!</v>
      </c>
      <c r="CJ101" s="7" t="e">
        <f>AVERAGEIFS('Data(perSeason,perCrop)'!$G:$G,'Data(perSeason,perCrop)'!$S:$S,Indicators!$B101,'Data(perSeason,perCrop)'!$O:$O,Indicators!CJ$7,'Data(perSeason,perCrop)'!$C:$C,Indicators!CJ$3,'Data(perSeason,perCrop)'!$R:$R,"IRRIGATED")</f>
        <v>#DIV/0!</v>
      </c>
      <c r="CK101" s="7" t="e">
        <f>AVERAGEIFS('Data(perSeason,perCrop)'!$G:$G,'Data(perSeason,perCrop)'!$S:$S,Indicators!$B101,'Data(perSeason,perCrop)'!$O:$O,Indicators!CK$7,'Data(perSeason,perCrop)'!$C:$C,Indicators!CK$3,'Data(perSeason,perCrop)'!$R:$R,"IRRIGATED")</f>
        <v>#DIV/0!</v>
      </c>
      <c r="CL101" s="7" t="e">
        <f>AVERAGEIFS('Data(perSeason,perCrop)'!$G:$G,'Data(perSeason,perCrop)'!$S:$S,Indicators!$B101,'Data(perSeason,perCrop)'!$O:$O,Indicators!CL$7,'Data(perSeason,perCrop)'!$C:$C,Indicators!CL$3,'Data(perSeason,perCrop)'!$R:$R,"IRRIGATED")</f>
        <v>#DIV/0!</v>
      </c>
      <c r="CM101" s="7" t="e">
        <f>AVERAGEIFS('Data(perSeason,perCrop)'!$G:$G,'Data(perSeason,perCrop)'!$S:$S,Indicators!$B101,'Data(perSeason,perCrop)'!$O:$O,Indicators!CM$7,'Data(perSeason,perCrop)'!$C:$C,Indicators!CM$3,'Data(perSeason,perCrop)'!$R:$R,"IRRIGATED")</f>
        <v>#DIV/0!</v>
      </c>
      <c r="CN101" s="7" t="e">
        <f>AVERAGEIFS('Data(perSeason,perCrop)'!$G:$G,'Data(perSeason,perCrop)'!$S:$S,Indicators!$B101,'Data(perSeason,perCrop)'!$O:$O,Indicators!CN$7,'Data(perSeason,perCrop)'!$C:$C,Indicators!CN$3,'Data(perSeason,perCrop)'!$R:$R,"IRRIGATED")</f>
        <v>#DIV/0!</v>
      </c>
      <c r="CO101" s="7" t="e">
        <f>AVERAGEIFS('Data(perSeason,perCrop)'!$G:$G,'Data(perSeason,perCrop)'!$S:$S,Indicators!$B101,'Data(perSeason,perCrop)'!$O:$O,Indicators!CO$7,'Data(perSeason,perCrop)'!$C:$C,Indicators!CO$3,'Data(perSeason,perCrop)'!$R:$R,"IRRIGATED")</f>
        <v>#DIV/0!</v>
      </c>
      <c r="CP101" s="7">
        <f>AVERAGEIFS('Data(perSeason,perCrop)'!$G:$G,'Data(perSeason,perCrop)'!$S:$S,Indicators!$B101,'Data(perSeason,perCrop)'!$O:$O,Indicators!CP$7,'Data(perSeason,perCrop)'!$C:$C,Indicators!CP$3,'Data(perSeason,perCrop)'!$R:$R,"IRRIGATED")</f>
        <v>168</v>
      </c>
      <c r="CQ101" s="7">
        <f>AVERAGEIFS('Data(perSeason,perCrop)'!$G:$G,'Data(perSeason,perCrop)'!$S:$S,Indicators!$B101,'Data(perSeason,perCrop)'!$O:$O,Indicators!CQ$7,'Data(perSeason,perCrop)'!$C:$C,Indicators!CQ$3,'Data(perSeason,perCrop)'!$R:$R,"IRRIGATED")</f>
        <v>72</v>
      </c>
      <c r="CR101" s="7" t="e">
        <f>AVERAGEIFS('Data(perSeason,perCrop)'!$G:$G,'Data(perSeason,perCrop)'!$S:$S,Indicators!$B101,'Data(perSeason,perCrop)'!$O:$O,Indicators!CR$7,'Data(perSeason,perCrop)'!$C:$C,Indicators!CR$3,'Data(perSeason,perCrop)'!$R:$R,"IRRIGATED")</f>
        <v>#DIV/0!</v>
      </c>
      <c r="CS101" s="7">
        <f>AVERAGEIFS('Data(perSeason,perCrop)'!$G:$G,'Data(perSeason,perCrop)'!$S:$S,Indicators!$B101,'Data(perSeason,perCrop)'!$O:$O,Indicators!CS$7,'Data(perSeason,perCrop)'!$C:$C,Indicators!CS$3,'Data(perSeason,perCrop)'!$R:$R,"IRRIGATED")</f>
        <v>74</v>
      </c>
      <c r="CT101" s="7" t="e">
        <f>AVERAGEIFS('Data(perSeason,perCrop)'!$G:$G,'Data(perSeason,perCrop)'!$S:$S,Indicators!$B101,'Data(perSeason,perCrop)'!$O:$O,Indicators!CT$7,'Data(perSeason,perCrop)'!$C:$C,Indicators!CT$3,'Data(perSeason,perCrop)'!$R:$R,"IRRIGATED")</f>
        <v>#DIV/0!</v>
      </c>
      <c r="CU101" s="7" t="e">
        <f>AVERAGEIFS('Data(perSeason,perCrop)'!$G:$G,'Data(perSeason,perCrop)'!$S:$S,Indicators!$B101,'Data(perSeason,perCrop)'!$O:$O,Indicators!CU$7,'Data(perSeason,perCrop)'!$C:$C,Indicators!CU$3,'Data(perSeason,perCrop)'!$R:$R,"IRRIGATED")</f>
        <v>#DIV/0!</v>
      </c>
      <c r="CV101" s="7">
        <f>AVERAGEIFS('Data(perSeason,perCrop)'!$G:$G,'Data(perSeason,perCrop)'!$S:$S,Indicators!$B101,'Data(perSeason,perCrop)'!$O:$O,Indicators!CV$7,'Data(perSeason,perCrop)'!$C:$C,Indicators!CV$3,'Data(perSeason,perCrop)'!$R:$R,"IRRIGATED")</f>
        <v>107</v>
      </c>
      <c r="CW101" s="7" t="e">
        <f>AVERAGEIFS('Data(perSeason,perCrop)'!$G:$G,'Data(perSeason,perCrop)'!$S:$S,Indicators!$B101,'Data(perSeason,perCrop)'!$O:$O,Indicators!CW$7,'Data(perSeason,perCrop)'!$C:$C,Indicators!CW$3,'Data(perSeason,perCrop)'!$R:$R,"IRRIGATED")</f>
        <v>#DIV/0!</v>
      </c>
      <c r="CX101" s="7" t="e">
        <f>AVERAGEIFS('Data(perSeason,perCrop)'!$G:$G,'Data(perSeason,perCrop)'!$S:$S,Indicators!$B101,'Data(perSeason,perCrop)'!$O:$O,Indicators!CX$7,'Data(perSeason,perCrop)'!$C:$C,Indicators!CX$3,'Data(perSeason,perCrop)'!$R:$R,"IRRIGATED")</f>
        <v>#DIV/0!</v>
      </c>
      <c r="CY101" s="7" t="e">
        <f>AVERAGEIFS('Data(perSeason,perCrop)'!$G:$G,'Data(perSeason,perCrop)'!$S:$S,Indicators!$B101,'Data(perSeason,perCrop)'!$O:$O,Indicators!CY$7,'Data(perSeason,perCrop)'!$C:$C,Indicators!CY$3,'Data(perSeason,perCrop)'!$R:$R,"IRRIGATED")</f>
        <v>#DIV/0!</v>
      </c>
      <c r="CZ101" s="7" t="e">
        <f>AVERAGEIFS('Data(perSeason,perCrop)'!$G:$G,'Data(perSeason,perCrop)'!$S:$S,Indicators!$B101,'Data(perSeason,perCrop)'!$O:$O,Indicators!CZ$7,'Data(perSeason,perCrop)'!$C:$C,Indicators!CZ$3,'Data(perSeason,perCrop)'!$R:$R,"IRRIGATED")</f>
        <v>#DIV/0!</v>
      </c>
      <c r="DA101" s="7" t="e">
        <f>AVERAGEIFS('Data(perSeason,perCrop)'!$G:$G,'Data(perSeason,perCrop)'!$S:$S,Indicators!$B101,'Data(perSeason,perCrop)'!$O:$O,Indicators!DA$7,'Data(perSeason,perCrop)'!$C:$C,Indicators!DA$3,'Data(perSeason,perCrop)'!$R:$R,"IRRIGATED")</f>
        <v>#DIV/0!</v>
      </c>
      <c r="DB101" s="7" t="e">
        <f>AVERAGEIFS('Data(perSeason,perCrop)'!$G:$G,'Data(perSeason,perCrop)'!$S:$S,Indicators!$B101,'Data(perSeason,perCrop)'!$O:$O,Indicators!DB$7,'Data(perSeason,perCrop)'!$C:$C,Indicators!DB$3,'Data(perSeason,perCrop)'!$R:$R,"IRRIGATED")</f>
        <v>#DIV/0!</v>
      </c>
      <c r="DC101" s="7" t="e">
        <f>AVERAGEIFS('Data(perSeason,perCrop)'!$G:$G,'Data(perSeason,perCrop)'!$S:$S,Indicators!$B101,'Data(perSeason,perCrop)'!$O:$O,Indicators!DC$7,'Data(perSeason,perCrop)'!$C:$C,Indicators!DC$3,'Data(perSeason,perCrop)'!$R:$R,"IRRIGATED")</f>
        <v>#DIV/0!</v>
      </c>
      <c r="DD101" s="7" t="e">
        <f>AVERAGEIFS('Data(perSeason,perCrop)'!$G:$G,'Data(perSeason,perCrop)'!$S:$S,Indicators!$B101,'Data(perSeason,perCrop)'!$O:$O,Indicators!DD$7,'Data(perSeason,perCrop)'!$C:$C,Indicators!DD$3,'Data(perSeason,perCrop)'!$R:$R,"IRRIGATED")</f>
        <v>#DIV/0!</v>
      </c>
      <c r="DE101" s="7" t="e">
        <f>AVERAGEIFS('Data(perSeason,perCrop)'!$G:$G,'Data(perSeason,perCrop)'!$S:$S,Indicators!$B101,'Data(perSeason,perCrop)'!$O:$O,Indicators!DE$7,'Data(perSeason,perCrop)'!$C:$C,Indicators!DE$3,'Data(perSeason,perCrop)'!$R:$R,"IRRIGATED")</f>
        <v>#DIV/0!</v>
      </c>
      <c r="DF101" s="7" t="e">
        <f>AVERAGEIFS('Data(perSeason,perCrop)'!$G:$G,'Data(perSeason,perCrop)'!$S:$S,Indicators!$B101,'Data(perSeason,perCrop)'!$O:$O,Indicators!DF$7,'Data(perSeason,perCrop)'!$C:$C,Indicators!DF$3,'Data(perSeason,perCrop)'!$R:$R,"IRRIGATED")</f>
        <v>#DIV/0!</v>
      </c>
      <c r="DG101" s="7" t="e">
        <f>AVERAGEIFS('Data(perSeason,perCrop)'!$G:$G,'Data(perSeason,perCrop)'!$S:$S,Indicators!$B101,'Data(perSeason,perCrop)'!$O:$O,Indicators!DG$7,'Data(perSeason,perCrop)'!$C:$C,Indicators!DG$3,'Data(perSeason,perCrop)'!$R:$R,"IRRIGATED")</f>
        <v>#DIV/0!</v>
      </c>
    </row>
    <row r="102" spans="1:111" x14ac:dyDescent="0.25">
      <c r="B102">
        <v>2020</v>
      </c>
      <c r="C102" s="8">
        <f>IF(COUNTIFS('Data(perSeason,perCrop)'!$S:$S,Indicators!$B102)&gt;0,SUM(S109:AW109),"")</f>
        <v>3.1325488635915657</v>
      </c>
      <c r="D102" s="8">
        <f>IF(COUNTIFS('Data(perSeason,perCrop)'!$S:$S,Indicators!$B102)&gt;0,SUM(AX109:CB109),"")</f>
        <v>1.1747880524472516</v>
      </c>
      <c r="E102" s="8">
        <f>IF(COUNTIFS('Data(perSeason,perCrop)'!$S:$S,Indicators!$B102)&gt;0,SUM(CC109:DG109),"")</f>
        <v>4.0184655462850687</v>
      </c>
      <c r="F102" s="8">
        <f>IF(COUNTIFS('Data(perSeason,perCrop)'!$S:$S,Indicators!$B102)&gt;0,SUMIFS('Data(perCrop)'!$Q:$Q,'Data(perCrop)'!$O:$O,Indicators!$B102),"")</f>
        <v>8.3441898553050198</v>
      </c>
      <c r="G102" s="8"/>
      <c r="H102" s="8"/>
      <c r="J102" s="2" t="s">
        <v>113</v>
      </c>
      <c r="K102" s="7">
        <f>AVERAGEIFS('Data(perSeason,perCrop)'!$G:$G,'Data(perSeason,perCrop)'!$S:$S,Indicators!$B102,'Data(perSeason,perCrop)'!$O:$O,Indicators!K$7,'Data(perSeason,perCrop)'!$C:$C,Indicators!K$3,'Data(perSeason,perCrop)'!$R:$R,"IRRIGATED")</f>
        <v>80</v>
      </c>
      <c r="L102" s="7">
        <f>AVERAGEIFS('Data(perSeason,perCrop)'!$G:$G,'Data(perSeason,perCrop)'!$S:$S,Indicators!$B102,'Data(perSeason,perCrop)'!$O:$O,Indicators!L$7,'Data(perSeason,perCrop)'!$C:$C,Indicators!L$3,'Data(perSeason,perCrop)'!$R:$R,"IRRIGATED")</f>
        <v>208</v>
      </c>
      <c r="M102" s="7">
        <f>AVERAGEIFS('Data(perSeason,perCrop)'!$G:$G,'Data(perSeason,perCrop)'!$S:$S,Indicators!$B102,'Data(perSeason,perCrop)'!$O:$O,Indicators!M$7,'Data(perSeason,perCrop)'!$C:$C,Indicators!M$3,'Data(perSeason,perCrop)'!$R:$R,"IRRIGATED")</f>
        <v>241</v>
      </c>
      <c r="N102" s="7">
        <f>AVERAGEIFS('Data(perSeason,perCrop)'!$G:$G,'Data(perSeason,perCrop)'!$S:$S,Indicators!$B102,'Data(perSeason,perCrop)'!$O:$O,Indicators!N$7,'Data(perSeason,perCrop)'!$C:$C,Indicators!N$3,'Data(perSeason,perCrop)'!$R:$R,"IRRIGATED")</f>
        <v>231</v>
      </c>
      <c r="O102" s="7">
        <f>AVERAGEIFS('Data(perSeason,perCrop)'!$G:$G,'Data(perSeason,perCrop)'!$S:$S,Indicators!$B102,'Data(perSeason,perCrop)'!$O:$O,Indicators!O$7,'Data(perSeason,perCrop)'!$C:$C,Indicators!O$3,'Data(perSeason,perCrop)'!$R:$R,"IRRIGATED")</f>
        <v>66</v>
      </c>
      <c r="P102" s="7" t="e">
        <f>AVERAGEIFS('Data(perSeason,perCrop)'!$G:$G,'Data(perSeason,perCrop)'!$S:$S,Indicators!$B102,'Data(perSeason,perCrop)'!$O:$O,Indicators!P$7,'Data(perSeason,perCrop)'!$C:$C,Indicators!P$3,'Data(perSeason,perCrop)'!$R:$R,"IRRIGATED")</f>
        <v>#DIV/0!</v>
      </c>
      <c r="Q102" s="7">
        <f>AVERAGEIFS('Data(perSeason,perCrop)'!$G:$G,'Data(perSeason,perCrop)'!$S:$S,Indicators!$B102,'Data(perSeason,perCrop)'!$O:$O,Indicators!Q$7,'Data(perSeason,perCrop)'!$C:$C,Indicators!Q$3,'Data(perSeason,perCrop)'!$R:$R,"IRRIGATED")</f>
        <v>228</v>
      </c>
      <c r="R102" s="7" t="e">
        <f>AVERAGEIFS('Data(perSeason,perCrop)'!$G:$G,'Data(perSeason,perCrop)'!$S:$S,Indicators!$B102,'Data(perSeason,perCrop)'!$O:$O,Indicators!R$7,'Data(perSeason,perCrop)'!$C:$C,Indicators!R$3,'Data(perSeason,perCrop)'!$R:$R,"IRRIGATED")</f>
        <v>#DIV/0!</v>
      </c>
      <c r="S102" s="62" t="e">
        <f>AVERAGEIFS('Data(perSeason,perCrop)'!$G:$G,'Data(perSeason,perCrop)'!$S:$S,Indicators!$B102,'Data(perSeason,perCrop)'!$O:$O,Indicators!S$7,'Data(perSeason,perCrop)'!$C:$C,Indicators!S$3,'Data(perSeason,perCrop)'!$R:$R,"IRRIGATED")</f>
        <v>#DIV/0!</v>
      </c>
      <c r="T102" s="62">
        <f>AVERAGEIFS('Data(perSeason,perCrop)'!$G:$G,'Data(perSeason,perCrop)'!$S:$S,Indicators!$B102,'Data(perSeason,perCrop)'!$O:$O,Indicators!T$7,'Data(perSeason,perCrop)'!$C:$C,Indicators!T$3,'Data(perSeason,perCrop)'!$R:$R,"IRRIGATED")</f>
        <v>70</v>
      </c>
      <c r="U102" s="62" t="e">
        <f>AVERAGEIFS('Data(perSeason,perCrop)'!$G:$G,'Data(perSeason,perCrop)'!$S:$S,Indicators!$B102,'Data(perSeason,perCrop)'!$O:$O,Indicators!U$7,'Data(perSeason,perCrop)'!$C:$C,Indicators!U$3,'Data(perSeason,perCrop)'!$R:$R,"IRRIGATED")</f>
        <v>#DIV/0!</v>
      </c>
      <c r="V102" s="62" t="e">
        <f>AVERAGEIFS('Data(perSeason,perCrop)'!$G:$G,'Data(perSeason,perCrop)'!$S:$S,Indicators!$B102,'Data(perSeason,perCrop)'!$O:$O,Indicators!V$7,'Data(perSeason,perCrop)'!$C:$C,Indicators!V$3,'Data(perSeason,perCrop)'!$R:$R,"IRRIGATED")</f>
        <v>#DIV/0!</v>
      </c>
      <c r="W102" s="62" t="e">
        <f>AVERAGEIFS('Data(perSeason,perCrop)'!$G:$G,'Data(perSeason,perCrop)'!$S:$S,Indicators!$B102,'Data(perSeason,perCrop)'!$O:$O,Indicators!W$7,'Data(perSeason,perCrop)'!$C:$C,Indicators!W$3,'Data(perSeason,perCrop)'!$R:$R,"IRRIGATED")</f>
        <v>#DIV/0!</v>
      </c>
      <c r="X102" s="62" t="e">
        <f>AVERAGEIFS('Data(perSeason,perCrop)'!$G:$G,'Data(perSeason,perCrop)'!$S:$S,Indicators!$B102,'Data(perSeason,perCrop)'!$O:$O,Indicators!X$7,'Data(perSeason,perCrop)'!$C:$C,Indicators!X$3,'Data(perSeason,perCrop)'!$R:$R,"IRRIGATED")</f>
        <v>#DIV/0!</v>
      </c>
      <c r="Y102" s="62" t="e">
        <f>AVERAGEIFS('Data(perSeason,perCrop)'!$G:$G,'Data(perSeason,perCrop)'!$S:$S,Indicators!$B102,'Data(perSeason,perCrop)'!$O:$O,Indicators!Y$7,'Data(perSeason,perCrop)'!$C:$C,Indicators!Y$3,'Data(perSeason,perCrop)'!$R:$R,"IRRIGATED")</f>
        <v>#DIV/0!</v>
      </c>
      <c r="Z102" s="62" t="e">
        <f>AVERAGEIFS('Data(perSeason,perCrop)'!$G:$G,'Data(perSeason,perCrop)'!$S:$S,Indicators!$B102,'Data(perSeason,perCrop)'!$O:$O,Indicators!Z$7,'Data(perSeason,perCrop)'!$C:$C,Indicators!Z$3,'Data(perSeason,perCrop)'!$R:$R,"IRRIGATED")</f>
        <v>#DIV/0!</v>
      </c>
      <c r="AA102" s="62" t="e">
        <f>AVERAGEIFS('Data(perSeason,perCrop)'!$G:$G,'Data(perSeason,perCrop)'!$S:$S,Indicators!$B102,'Data(perSeason,perCrop)'!$O:$O,Indicators!AA$7,'Data(perSeason,perCrop)'!$C:$C,Indicators!AA$3,'Data(perSeason,perCrop)'!$R:$R,"IRRIGATED")</f>
        <v>#DIV/0!</v>
      </c>
      <c r="AB102" s="62" t="e">
        <f>AVERAGEIFS('Data(perSeason,perCrop)'!$G:$G,'Data(perSeason,perCrop)'!$S:$S,Indicators!$B102,'Data(perSeason,perCrop)'!$O:$O,Indicators!AB$7,'Data(perSeason,perCrop)'!$C:$C,Indicators!AB$3,'Data(perSeason,perCrop)'!$R:$R,"IRRIGATED")</f>
        <v>#DIV/0!</v>
      </c>
      <c r="AC102" s="62" t="e">
        <f>AVERAGEIFS('Data(perSeason,perCrop)'!$G:$G,'Data(perSeason,perCrop)'!$S:$S,Indicators!$B102,'Data(perSeason,perCrop)'!$O:$O,Indicators!AC$7,'Data(perSeason,perCrop)'!$C:$C,Indicators!AC$3,'Data(perSeason,perCrop)'!$R:$R,"IRRIGATED")</f>
        <v>#DIV/0!</v>
      </c>
      <c r="AD102" s="62" t="e">
        <f>AVERAGEIFS('Data(perSeason,perCrop)'!$G:$G,'Data(perSeason,perCrop)'!$S:$S,Indicators!$B102,'Data(perSeason,perCrop)'!$O:$O,Indicators!AD$7,'Data(perSeason,perCrop)'!$C:$C,Indicators!AD$3,'Data(perSeason,perCrop)'!$R:$R,"IRRIGATED")</f>
        <v>#DIV/0!</v>
      </c>
      <c r="AE102" s="62" t="e">
        <f>AVERAGEIFS('Data(perSeason,perCrop)'!$G:$G,'Data(perSeason,perCrop)'!$S:$S,Indicators!$B102,'Data(perSeason,perCrop)'!$O:$O,Indicators!AE$7,'Data(perSeason,perCrop)'!$C:$C,Indicators!AE$3,'Data(perSeason,perCrop)'!$R:$R,"IRRIGATED")</f>
        <v>#DIV/0!</v>
      </c>
      <c r="AF102" s="62">
        <f>AVERAGEIFS('Data(perSeason,perCrop)'!$G:$G,'Data(perSeason,perCrop)'!$S:$S,Indicators!$B102,'Data(perSeason,perCrop)'!$O:$O,Indicators!AF$7,'Data(perSeason,perCrop)'!$C:$C,Indicators!AF$3,'Data(perSeason,perCrop)'!$R:$R,"IRRIGATED")</f>
        <v>125</v>
      </c>
      <c r="AG102" s="62">
        <f>AVERAGEIFS('Data(perSeason,perCrop)'!$G:$G,'Data(perSeason,perCrop)'!$S:$S,Indicators!$B102,'Data(perSeason,perCrop)'!$O:$O,Indicators!AG$7,'Data(perSeason,perCrop)'!$C:$C,Indicators!AG$3,'Data(perSeason,perCrop)'!$R:$R,"IRRIGATED")</f>
        <v>84</v>
      </c>
      <c r="AH102" s="62" t="e">
        <f>AVERAGEIFS('Data(perSeason,perCrop)'!$G:$G,'Data(perSeason,perCrop)'!$S:$S,Indicators!$B102,'Data(perSeason,perCrop)'!$O:$O,Indicators!AH$7,'Data(perSeason,perCrop)'!$C:$C,Indicators!AH$3,'Data(perSeason,perCrop)'!$R:$R,"IRRIGATED")</f>
        <v>#DIV/0!</v>
      </c>
      <c r="AI102" s="62">
        <f>AVERAGEIFS('Data(perSeason,perCrop)'!$G:$G,'Data(perSeason,perCrop)'!$S:$S,Indicators!$B102,'Data(perSeason,perCrop)'!$O:$O,Indicators!AI$7,'Data(perSeason,perCrop)'!$C:$C,Indicators!AI$3,'Data(perSeason,perCrop)'!$R:$R,"IRRIGATED")</f>
        <v>91</v>
      </c>
      <c r="AJ102" s="62" t="e">
        <f>AVERAGEIFS('Data(perSeason,perCrop)'!$G:$G,'Data(perSeason,perCrop)'!$S:$S,Indicators!$B102,'Data(perSeason,perCrop)'!$O:$O,Indicators!AJ$7,'Data(perSeason,perCrop)'!$C:$C,Indicators!AJ$3,'Data(perSeason,perCrop)'!$R:$R,"IRRIGATED")</f>
        <v>#DIV/0!</v>
      </c>
      <c r="AK102" s="62" t="e">
        <f>AVERAGEIFS('Data(perSeason,perCrop)'!$G:$G,'Data(perSeason,perCrop)'!$S:$S,Indicators!$B102,'Data(perSeason,perCrop)'!$O:$O,Indicators!AK$7,'Data(perSeason,perCrop)'!$C:$C,Indicators!AK$3,'Data(perSeason,perCrop)'!$R:$R,"IRRIGATED")</f>
        <v>#DIV/0!</v>
      </c>
      <c r="AL102" s="62">
        <f>AVERAGEIFS('Data(perSeason,perCrop)'!$G:$G,'Data(perSeason,perCrop)'!$S:$S,Indicators!$B102,'Data(perSeason,perCrop)'!$O:$O,Indicators!AL$7,'Data(perSeason,perCrop)'!$C:$C,Indicators!AL$3,'Data(perSeason,perCrop)'!$R:$R,"IRRIGATED")</f>
        <v>93</v>
      </c>
      <c r="AM102" s="62" t="e">
        <f>AVERAGEIFS('Data(perSeason,perCrop)'!$G:$G,'Data(perSeason,perCrop)'!$S:$S,Indicators!$B102,'Data(perSeason,perCrop)'!$O:$O,Indicators!AM$7,'Data(perSeason,perCrop)'!$C:$C,Indicators!AM$3,'Data(perSeason,perCrop)'!$R:$R,"IRRIGATED")</f>
        <v>#DIV/0!</v>
      </c>
      <c r="AN102" s="62" t="e">
        <f>AVERAGEIFS('Data(perSeason,perCrop)'!$G:$G,'Data(perSeason,perCrop)'!$S:$S,Indicators!$B102,'Data(perSeason,perCrop)'!$O:$O,Indicators!AN$7,'Data(perSeason,perCrop)'!$C:$C,Indicators!AN$3,'Data(perSeason,perCrop)'!$R:$R,"IRRIGATED")</f>
        <v>#DIV/0!</v>
      </c>
      <c r="AO102" s="62" t="e">
        <f>AVERAGEIFS('Data(perSeason,perCrop)'!$G:$G,'Data(perSeason,perCrop)'!$S:$S,Indicators!$B102,'Data(perSeason,perCrop)'!$O:$O,Indicators!AO$7,'Data(perSeason,perCrop)'!$C:$C,Indicators!AO$3,'Data(perSeason,perCrop)'!$R:$R,"IRRIGATED")</f>
        <v>#DIV/0!</v>
      </c>
      <c r="AP102" s="62" t="e">
        <f>AVERAGEIFS('Data(perSeason,perCrop)'!$G:$G,'Data(perSeason,perCrop)'!$S:$S,Indicators!$B102,'Data(perSeason,perCrop)'!$O:$O,Indicators!AP$7,'Data(perSeason,perCrop)'!$C:$C,Indicators!AP$3,'Data(perSeason,perCrop)'!$R:$R,"IRRIGATED")</f>
        <v>#DIV/0!</v>
      </c>
      <c r="AQ102" s="62" t="e">
        <f>AVERAGEIFS('Data(perSeason,perCrop)'!$G:$G,'Data(perSeason,perCrop)'!$S:$S,Indicators!$B102,'Data(perSeason,perCrop)'!$O:$O,Indicators!AQ$7,'Data(perSeason,perCrop)'!$C:$C,Indicators!AQ$3,'Data(perSeason,perCrop)'!$R:$R,"IRRIGATED")</f>
        <v>#DIV/0!</v>
      </c>
      <c r="AR102" s="62" t="e">
        <f>AVERAGEIFS('Data(perSeason,perCrop)'!$G:$G,'Data(perSeason,perCrop)'!$S:$S,Indicators!$B102,'Data(perSeason,perCrop)'!$O:$O,Indicators!AR$7,'Data(perSeason,perCrop)'!$C:$C,Indicators!AR$3,'Data(perSeason,perCrop)'!$R:$R,"IRRIGATED")</f>
        <v>#DIV/0!</v>
      </c>
      <c r="AS102" s="62" t="e">
        <f>AVERAGEIFS('Data(perSeason,perCrop)'!$G:$G,'Data(perSeason,perCrop)'!$S:$S,Indicators!$B102,'Data(perSeason,perCrop)'!$O:$O,Indicators!AS$7,'Data(perSeason,perCrop)'!$C:$C,Indicators!AS$3,'Data(perSeason,perCrop)'!$R:$R,"IRRIGATED")</f>
        <v>#DIV/0!</v>
      </c>
      <c r="AT102" s="62" t="e">
        <f>AVERAGEIFS('Data(perSeason,perCrop)'!$G:$G,'Data(perSeason,perCrop)'!$S:$S,Indicators!$B102,'Data(perSeason,perCrop)'!$O:$O,Indicators!AT$7,'Data(perSeason,perCrop)'!$C:$C,Indicators!AT$3,'Data(perSeason,perCrop)'!$R:$R,"IRRIGATED")</f>
        <v>#DIV/0!</v>
      </c>
      <c r="AU102" s="62" t="e">
        <f>AVERAGEIFS('Data(perSeason,perCrop)'!$G:$G,'Data(perSeason,perCrop)'!$S:$S,Indicators!$B102,'Data(perSeason,perCrop)'!$O:$O,Indicators!AU$7,'Data(perSeason,perCrop)'!$C:$C,Indicators!AU$3,'Data(perSeason,perCrop)'!$R:$R,"IRRIGATED")</f>
        <v>#DIV/0!</v>
      </c>
      <c r="AV102" s="62" t="e">
        <f>AVERAGEIFS('Data(perSeason,perCrop)'!$G:$G,'Data(perSeason,perCrop)'!$S:$S,Indicators!$B102,'Data(perSeason,perCrop)'!$O:$O,Indicators!AV$7,'Data(perSeason,perCrop)'!$C:$C,Indicators!AV$3,'Data(perSeason,perCrop)'!$R:$R,"IRRIGATED")</f>
        <v>#DIV/0!</v>
      </c>
      <c r="AW102" s="62" t="e">
        <f>AVERAGEIFS('Data(perSeason,perCrop)'!$G:$G,'Data(perSeason,perCrop)'!$S:$S,Indicators!$B102,'Data(perSeason,perCrop)'!$O:$O,Indicators!AW$7,'Data(perSeason,perCrop)'!$C:$C,Indicators!AW$3,'Data(perSeason,perCrop)'!$R:$R,"IRRIGATED")</f>
        <v>#DIV/0!</v>
      </c>
      <c r="AX102" s="7" t="e">
        <f>AVERAGEIFS('Data(perSeason,perCrop)'!$G:$G,'Data(perSeason,perCrop)'!$S:$S,Indicators!$B102,'Data(perSeason,perCrop)'!$O:$O,Indicators!AX$7,'Data(perSeason,perCrop)'!$C:$C,Indicators!AX$3,'Data(perSeason,perCrop)'!$R:$R,"IRRIGATED")</f>
        <v>#DIV/0!</v>
      </c>
      <c r="AY102" s="7">
        <f>AVERAGEIFS('Data(perSeason,perCrop)'!$G:$G,'Data(perSeason,perCrop)'!$S:$S,Indicators!$B102,'Data(perSeason,perCrop)'!$O:$O,Indicators!AY$7,'Data(perSeason,perCrop)'!$C:$C,Indicators!AY$3,'Data(perSeason,perCrop)'!$R:$R,"IRRIGATED")</f>
        <v>25</v>
      </c>
      <c r="AZ102" s="7" t="e">
        <f>AVERAGEIFS('Data(perSeason,perCrop)'!$G:$G,'Data(perSeason,perCrop)'!$S:$S,Indicators!$B102,'Data(perSeason,perCrop)'!$O:$O,Indicators!AZ$7,'Data(perSeason,perCrop)'!$C:$C,Indicators!AZ$3,'Data(perSeason,perCrop)'!$R:$R,"IRRIGATED")</f>
        <v>#DIV/0!</v>
      </c>
      <c r="BA102" s="7" t="e">
        <f>AVERAGEIFS('Data(perSeason,perCrop)'!$G:$G,'Data(perSeason,perCrop)'!$S:$S,Indicators!$B102,'Data(perSeason,perCrop)'!$O:$O,Indicators!BA$7,'Data(perSeason,perCrop)'!$C:$C,Indicators!BA$3,'Data(perSeason,perCrop)'!$R:$R,"IRRIGATED")</f>
        <v>#DIV/0!</v>
      </c>
      <c r="BB102" s="7" t="e">
        <f>AVERAGEIFS('Data(perSeason,perCrop)'!$G:$G,'Data(perSeason,perCrop)'!$S:$S,Indicators!$B102,'Data(perSeason,perCrop)'!$O:$O,Indicators!BB$7,'Data(perSeason,perCrop)'!$C:$C,Indicators!BB$3,'Data(perSeason,perCrop)'!$R:$R,"IRRIGATED")</f>
        <v>#DIV/0!</v>
      </c>
      <c r="BC102" s="7" t="e">
        <f>AVERAGEIFS('Data(perSeason,perCrop)'!$G:$G,'Data(perSeason,perCrop)'!$S:$S,Indicators!$B102,'Data(perSeason,perCrop)'!$O:$O,Indicators!BC$7,'Data(perSeason,perCrop)'!$C:$C,Indicators!BC$3,'Data(perSeason,perCrop)'!$R:$R,"IRRIGATED")</f>
        <v>#DIV/0!</v>
      </c>
      <c r="BD102" s="7" t="e">
        <f>AVERAGEIFS('Data(perSeason,perCrop)'!$G:$G,'Data(perSeason,perCrop)'!$S:$S,Indicators!$B102,'Data(perSeason,perCrop)'!$O:$O,Indicators!BD$7,'Data(perSeason,perCrop)'!$C:$C,Indicators!BD$3,'Data(perSeason,perCrop)'!$R:$R,"IRRIGATED")</f>
        <v>#DIV/0!</v>
      </c>
      <c r="BE102" s="7" t="e">
        <f>AVERAGEIFS('Data(perSeason,perCrop)'!$G:$G,'Data(perSeason,perCrop)'!$S:$S,Indicators!$B102,'Data(perSeason,perCrop)'!$O:$O,Indicators!BE$7,'Data(perSeason,perCrop)'!$C:$C,Indicators!BE$3,'Data(perSeason,perCrop)'!$R:$R,"IRRIGATED")</f>
        <v>#DIV/0!</v>
      </c>
      <c r="BF102" s="7" t="e">
        <f>AVERAGEIFS('Data(perSeason,perCrop)'!$G:$G,'Data(perSeason,perCrop)'!$S:$S,Indicators!$B102,'Data(perSeason,perCrop)'!$O:$O,Indicators!BF$7,'Data(perSeason,perCrop)'!$C:$C,Indicators!BF$3,'Data(perSeason,perCrop)'!$R:$R,"IRRIGATED")</f>
        <v>#DIV/0!</v>
      </c>
      <c r="BG102" s="7" t="e">
        <f>AVERAGEIFS('Data(perSeason,perCrop)'!$G:$G,'Data(perSeason,perCrop)'!$S:$S,Indicators!$B102,'Data(perSeason,perCrop)'!$O:$O,Indicators!BG$7,'Data(perSeason,perCrop)'!$C:$C,Indicators!BG$3,'Data(perSeason,perCrop)'!$R:$R,"IRRIGATED")</f>
        <v>#DIV/0!</v>
      </c>
      <c r="BH102" s="7" t="e">
        <f>AVERAGEIFS('Data(perSeason,perCrop)'!$G:$G,'Data(perSeason,perCrop)'!$S:$S,Indicators!$B102,'Data(perSeason,perCrop)'!$O:$O,Indicators!BH$7,'Data(perSeason,perCrop)'!$C:$C,Indicators!BH$3,'Data(perSeason,perCrop)'!$R:$R,"IRRIGATED")</f>
        <v>#DIV/0!</v>
      </c>
      <c r="BI102" s="7" t="e">
        <f>AVERAGEIFS('Data(perSeason,perCrop)'!$G:$G,'Data(perSeason,perCrop)'!$S:$S,Indicators!$B102,'Data(perSeason,perCrop)'!$O:$O,Indicators!BI$7,'Data(perSeason,perCrop)'!$C:$C,Indicators!BI$3,'Data(perSeason,perCrop)'!$R:$R,"IRRIGATED")</f>
        <v>#DIV/0!</v>
      </c>
      <c r="BJ102" s="7" t="e">
        <f>AVERAGEIFS('Data(perSeason,perCrop)'!$G:$G,'Data(perSeason,perCrop)'!$S:$S,Indicators!$B102,'Data(perSeason,perCrop)'!$O:$O,Indicators!BJ$7,'Data(perSeason,perCrop)'!$C:$C,Indicators!BJ$3,'Data(perSeason,perCrop)'!$R:$R,"IRRIGATED")</f>
        <v>#DIV/0!</v>
      </c>
      <c r="BK102" s="7" t="e">
        <f>AVERAGEIFS('Data(perSeason,perCrop)'!$G:$G,'Data(perSeason,perCrop)'!$S:$S,Indicators!$B102,'Data(perSeason,perCrop)'!$O:$O,Indicators!BK$7,'Data(perSeason,perCrop)'!$C:$C,Indicators!BK$3,'Data(perSeason,perCrop)'!$R:$R,"IRRIGATED")</f>
        <v>#DIV/0!</v>
      </c>
      <c r="BL102" s="7">
        <f>AVERAGEIFS('Data(perSeason,perCrop)'!$G:$G,'Data(perSeason,perCrop)'!$S:$S,Indicators!$B102,'Data(perSeason,perCrop)'!$O:$O,Indicators!BL$7,'Data(perSeason,perCrop)'!$C:$C,Indicators!BL$3,'Data(perSeason,perCrop)'!$R:$R,"IRRIGATED")</f>
        <v>29</v>
      </c>
      <c r="BM102" s="7" t="e">
        <f>AVERAGEIFS('Data(perSeason,perCrop)'!$G:$G,'Data(perSeason,perCrop)'!$S:$S,Indicators!$B102,'Data(perSeason,perCrop)'!$O:$O,Indicators!BM$7,'Data(perSeason,perCrop)'!$C:$C,Indicators!BM$3,'Data(perSeason,perCrop)'!$R:$R,"IRRIGATED")</f>
        <v>#DIV/0!</v>
      </c>
      <c r="BN102" s="7">
        <f>AVERAGEIFS('Data(perSeason,perCrop)'!$G:$G,'Data(perSeason,perCrop)'!$S:$S,Indicators!$B102,'Data(perSeason,perCrop)'!$O:$O,Indicators!BN$7,'Data(perSeason,perCrop)'!$C:$C,Indicators!BN$3,'Data(perSeason,perCrop)'!$R:$R,"IRRIGATED")</f>
        <v>24</v>
      </c>
      <c r="BO102" s="7" t="e">
        <f>AVERAGEIFS('Data(perSeason,perCrop)'!$G:$G,'Data(perSeason,perCrop)'!$S:$S,Indicators!$B102,'Data(perSeason,perCrop)'!$O:$O,Indicators!BO$7,'Data(perSeason,perCrop)'!$C:$C,Indicators!BO$3,'Data(perSeason,perCrop)'!$R:$R,"IRRIGATED")</f>
        <v>#DIV/0!</v>
      </c>
      <c r="BP102" s="7" t="e">
        <f>AVERAGEIFS('Data(perSeason,perCrop)'!$G:$G,'Data(perSeason,perCrop)'!$S:$S,Indicators!$B102,'Data(perSeason,perCrop)'!$O:$O,Indicators!BP$7,'Data(perSeason,perCrop)'!$C:$C,Indicators!BP$3,'Data(perSeason,perCrop)'!$R:$R,"IRRIGATED")</f>
        <v>#DIV/0!</v>
      </c>
      <c r="BQ102" s="7">
        <f>AVERAGEIFS('Data(perSeason,perCrop)'!$G:$G,'Data(perSeason,perCrop)'!$S:$S,Indicators!$B102,'Data(perSeason,perCrop)'!$O:$O,Indicators!BQ$7,'Data(perSeason,perCrop)'!$C:$C,Indicators!BQ$3,'Data(perSeason,perCrop)'!$R:$R,"IRRIGATED")</f>
        <v>33</v>
      </c>
      <c r="BR102" s="7" t="e">
        <f>AVERAGEIFS('Data(perSeason,perCrop)'!$G:$G,'Data(perSeason,perCrop)'!$S:$S,Indicators!$B102,'Data(perSeason,perCrop)'!$O:$O,Indicators!BR$7,'Data(perSeason,perCrop)'!$C:$C,Indicators!BR$3,'Data(perSeason,perCrop)'!$R:$R,"IRRIGATED")</f>
        <v>#DIV/0!</v>
      </c>
      <c r="BS102" s="7" t="e">
        <f>AVERAGEIFS('Data(perSeason,perCrop)'!$G:$G,'Data(perSeason,perCrop)'!$S:$S,Indicators!$B102,'Data(perSeason,perCrop)'!$O:$O,Indicators!BS$7,'Data(perSeason,perCrop)'!$C:$C,Indicators!BS$3,'Data(perSeason,perCrop)'!$R:$R,"IRRIGATED")</f>
        <v>#DIV/0!</v>
      </c>
      <c r="BT102" s="7" t="e">
        <f>AVERAGEIFS('Data(perSeason,perCrop)'!$G:$G,'Data(perSeason,perCrop)'!$S:$S,Indicators!$B102,'Data(perSeason,perCrop)'!$O:$O,Indicators!BT$7,'Data(perSeason,perCrop)'!$C:$C,Indicators!BT$3,'Data(perSeason,perCrop)'!$R:$R,"IRRIGATED")</f>
        <v>#DIV/0!</v>
      </c>
      <c r="BU102" s="7" t="e">
        <f>AVERAGEIFS('Data(perSeason,perCrop)'!$G:$G,'Data(perSeason,perCrop)'!$S:$S,Indicators!$B102,'Data(perSeason,perCrop)'!$O:$O,Indicators!BU$7,'Data(perSeason,perCrop)'!$C:$C,Indicators!BU$3,'Data(perSeason,perCrop)'!$R:$R,"IRRIGATED")</f>
        <v>#DIV/0!</v>
      </c>
      <c r="BV102" s="7" t="e">
        <f>AVERAGEIFS('Data(perSeason,perCrop)'!$G:$G,'Data(perSeason,perCrop)'!$S:$S,Indicators!$B102,'Data(perSeason,perCrop)'!$O:$O,Indicators!BV$7,'Data(perSeason,perCrop)'!$C:$C,Indicators!BV$3,'Data(perSeason,perCrop)'!$R:$R,"IRRIGATED")</f>
        <v>#DIV/0!</v>
      </c>
      <c r="BW102" s="7" t="e">
        <f>AVERAGEIFS('Data(perSeason,perCrop)'!$G:$G,'Data(perSeason,perCrop)'!$S:$S,Indicators!$B102,'Data(perSeason,perCrop)'!$O:$O,Indicators!BW$7,'Data(perSeason,perCrop)'!$C:$C,Indicators!BW$3,'Data(perSeason,perCrop)'!$R:$R,"IRRIGATED")</f>
        <v>#DIV/0!</v>
      </c>
      <c r="BX102" s="7" t="e">
        <f>AVERAGEIFS('Data(perSeason,perCrop)'!$G:$G,'Data(perSeason,perCrop)'!$S:$S,Indicators!$B102,'Data(perSeason,perCrop)'!$O:$O,Indicators!BX$7,'Data(perSeason,perCrop)'!$C:$C,Indicators!BX$3,'Data(perSeason,perCrop)'!$R:$R,"IRRIGATED")</f>
        <v>#DIV/0!</v>
      </c>
      <c r="BY102" s="7" t="e">
        <f>AVERAGEIFS('Data(perSeason,perCrop)'!$G:$G,'Data(perSeason,perCrop)'!$S:$S,Indicators!$B102,'Data(perSeason,perCrop)'!$O:$O,Indicators!BY$7,'Data(perSeason,perCrop)'!$C:$C,Indicators!BY$3,'Data(perSeason,perCrop)'!$R:$R,"IRRIGATED")</f>
        <v>#DIV/0!</v>
      </c>
      <c r="BZ102" s="7" t="e">
        <f>AVERAGEIFS('Data(perSeason,perCrop)'!$G:$G,'Data(perSeason,perCrop)'!$S:$S,Indicators!$B102,'Data(perSeason,perCrop)'!$O:$O,Indicators!BZ$7,'Data(perSeason,perCrop)'!$C:$C,Indicators!BZ$3,'Data(perSeason,perCrop)'!$R:$R,"IRRIGATED")</f>
        <v>#DIV/0!</v>
      </c>
      <c r="CA102" s="7" t="e">
        <f>AVERAGEIFS('Data(perSeason,perCrop)'!$G:$G,'Data(perSeason,perCrop)'!$S:$S,Indicators!$B102,'Data(perSeason,perCrop)'!$O:$O,Indicators!CA$7,'Data(perSeason,perCrop)'!$C:$C,Indicators!CA$3,'Data(perSeason,perCrop)'!$R:$R,"IRRIGATED")</f>
        <v>#DIV/0!</v>
      </c>
      <c r="CB102" s="7" t="e">
        <f>AVERAGEIFS('Data(perSeason,perCrop)'!$G:$G,'Data(perSeason,perCrop)'!$S:$S,Indicators!$B102,'Data(perSeason,perCrop)'!$O:$O,Indicators!CB$7,'Data(perSeason,perCrop)'!$C:$C,Indicators!CB$3,'Data(perSeason,perCrop)'!$R:$R,"IRRIGATED")</f>
        <v>#DIV/0!</v>
      </c>
      <c r="CC102" s="7" t="e">
        <f>AVERAGEIFS('Data(perSeason,perCrop)'!$G:$G,'Data(perSeason,perCrop)'!$S:$S,Indicators!$B102,'Data(perSeason,perCrop)'!$O:$O,Indicators!CC$7,'Data(perSeason,perCrop)'!$C:$C,Indicators!CC$3,'Data(perSeason,perCrop)'!$R:$R,"IRRIGATED")</f>
        <v>#DIV/0!</v>
      </c>
      <c r="CD102" s="7" t="e">
        <f>AVERAGEIFS('Data(perSeason,perCrop)'!$G:$G,'Data(perSeason,perCrop)'!$S:$S,Indicators!$B102,'Data(perSeason,perCrop)'!$O:$O,Indicators!CD$7,'Data(perSeason,perCrop)'!$C:$C,Indicators!CD$3,'Data(perSeason,perCrop)'!$R:$R,"IRRIGATED")</f>
        <v>#DIV/0!</v>
      </c>
      <c r="CE102" s="7" t="e">
        <f>AVERAGEIFS('Data(perSeason,perCrop)'!$G:$G,'Data(perSeason,perCrop)'!$S:$S,Indicators!$B102,'Data(perSeason,perCrop)'!$O:$O,Indicators!CE$7,'Data(perSeason,perCrop)'!$C:$C,Indicators!CE$3,'Data(perSeason,perCrop)'!$R:$R,"IRRIGATED")</f>
        <v>#DIV/0!</v>
      </c>
      <c r="CF102" s="7" t="e">
        <f>AVERAGEIFS('Data(perSeason,perCrop)'!$G:$G,'Data(perSeason,perCrop)'!$S:$S,Indicators!$B102,'Data(perSeason,perCrop)'!$O:$O,Indicators!CF$7,'Data(perSeason,perCrop)'!$C:$C,Indicators!CF$3,'Data(perSeason,perCrop)'!$R:$R,"IRRIGATED")</f>
        <v>#DIV/0!</v>
      </c>
      <c r="CG102" s="7" t="e">
        <f>AVERAGEIFS('Data(perSeason,perCrop)'!$G:$G,'Data(perSeason,perCrop)'!$S:$S,Indicators!$B102,'Data(perSeason,perCrop)'!$O:$O,Indicators!CG$7,'Data(perSeason,perCrop)'!$C:$C,Indicators!CG$3,'Data(perSeason,perCrop)'!$R:$R,"IRRIGATED")</f>
        <v>#DIV/0!</v>
      </c>
      <c r="CH102" s="7" t="e">
        <f>AVERAGEIFS('Data(perSeason,perCrop)'!$G:$G,'Data(perSeason,perCrop)'!$S:$S,Indicators!$B102,'Data(perSeason,perCrop)'!$O:$O,Indicators!CH$7,'Data(perSeason,perCrop)'!$C:$C,Indicators!CH$3,'Data(perSeason,perCrop)'!$R:$R,"IRRIGATED")</f>
        <v>#DIV/0!</v>
      </c>
      <c r="CI102" s="7" t="e">
        <f>AVERAGEIFS('Data(perSeason,perCrop)'!$G:$G,'Data(perSeason,perCrop)'!$S:$S,Indicators!$B102,'Data(perSeason,perCrop)'!$O:$O,Indicators!CI$7,'Data(perSeason,perCrop)'!$C:$C,Indicators!CI$3,'Data(perSeason,perCrop)'!$R:$R,"IRRIGATED")</f>
        <v>#DIV/0!</v>
      </c>
      <c r="CJ102" s="7" t="e">
        <f>AVERAGEIFS('Data(perSeason,perCrop)'!$G:$G,'Data(perSeason,perCrop)'!$S:$S,Indicators!$B102,'Data(perSeason,perCrop)'!$O:$O,Indicators!CJ$7,'Data(perSeason,perCrop)'!$C:$C,Indicators!CJ$3,'Data(perSeason,perCrop)'!$R:$R,"IRRIGATED")</f>
        <v>#DIV/0!</v>
      </c>
      <c r="CK102" s="7" t="e">
        <f>AVERAGEIFS('Data(perSeason,perCrop)'!$G:$G,'Data(perSeason,perCrop)'!$S:$S,Indicators!$B102,'Data(perSeason,perCrop)'!$O:$O,Indicators!CK$7,'Data(perSeason,perCrop)'!$C:$C,Indicators!CK$3,'Data(perSeason,perCrop)'!$R:$R,"IRRIGATED")</f>
        <v>#DIV/0!</v>
      </c>
      <c r="CL102" s="7" t="e">
        <f>AVERAGEIFS('Data(perSeason,perCrop)'!$G:$G,'Data(perSeason,perCrop)'!$S:$S,Indicators!$B102,'Data(perSeason,perCrop)'!$O:$O,Indicators!CL$7,'Data(perSeason,perCrop)'!$C:$C,Indicators!CL$3,'Data(perSeason,perCrop)'!$R:$R,"IRRIGATED")</f>
        <v>#DIV/0!</v>
      </c>
      <c r="CM102" s="7" t="e">
        <f>AVERAGEIFS('Data(perSeason,perCrop)'!$G:$G,'Data(perSeason,perCrop)'!$S:$S,Indicators!$B102,'Data(perSeason,perCrop)'!$O:$O,Indicators!CM$7,'Data(perSeason,perCrop)'!$C:$C,Indicators!CM$3,'Data(perSeason,perCrop)'!$R:$R,"IRRIGATED")</f>
        <v>#DIV/0!</v>
      </c>
      <c r="CN102" s="7" t="e">
        <f>AVERAGEIFS('Data(perSeason,perCrop)'!$G:$G,'Data(perSeason,perCrop)'!$S:$S,Indicators!$B102,'Data(perSeason,perCrop)'!$O:$O,Indicators!CN$7,'Data(perSeason,perCrop)'!$C:$C,Indicators!CN$3,'Data(perSeason,perCrop)'!$R:$R,"IRRIGATED")</f>
        <v>#DIV/0!</v>
      </c>
      <c r="CO102" s="7" t="e">
        <f>AVERAGEIFS('Data(perSeason,perCrop)'!$G:$G,'Data(perSeason,perCrop)'!$S:$S,Indicators!$B102,'Data(perSeason,perCrop)'!$O:$O,Indicators!CO$7,'Data(perSeason,perCrop)'!$C:$C,Indicators!CO$3,'Data(perSeason,perCrop)'!$R:$R,"IRRIGATED")</f>
        <v>#DIV/0!</v>
      </c>
      <c r="CP102" s="7">
        <f>AVERAGEIFS('Data(perSeason,perCrop)'!$G:$G,'Data(perSeason,perCrop)'!$S:$S,Indicators!$B102,'Data(perSeason,perCrop)'!$O:$O,Indicators!CP$7,'Data(perSeason,perCrop)'!$C:$C,Indicators!CP$3,'Data(perSeason,perCrop)'!$R:$R,"IRRIGATED")</f>
        <v>196</v>
      </c>
      <c r="CQ102" s="7">
        <f>AVERAGEIFS('Data(perSeason,perCrop)'!$G:$G,'Data(perSeason,perCrop)'!$S:$S,Indicators!$B102,'Data(perSeason,perCrop)'!$O:$O,Indicators!CQ$7,'Data(perSeason,perCrop)'!$C:$C,Indicators!CQ$3,'Data(perSeason,perCrop)'!$R:$R,"IRRIGATED")</f>
        <v>77</v>
      </c>
      <c r="CR102" s="7" t="e">
        <f>AVERAGEIFS('Data(perSeason,perCrop)'!$G:$G,'Data(perSeason,perCrop)'!$S:$S,Indicators!$B102,'Data(perSeason,perCrop)'!$O:$O,Indicators!CR$7,'Data(perSeason,perCrop)'!$C:$C,Indicators!CR$3,'Data(perSeason,perCrop)'!$R:$R,"IRRIGATED")</f>
        <v>#DIV/0!</v>
      </c>
      <c r="CS102" s="7">
        <f>AVERAGEIFS('Data(perSeason,perCrop)'!$G:$G,'Data(perSeason,perCrop)'!$S:$S,Indicators!$B102,'Data(perSeason,perCrop)'!$O:$O,Indicators!CS$7,'Data(perSeason,perCrop)'!$C:$C,Indicators!CS$3,'Data(perSeason,perCrop)'!$R:$R,"IRRIGATED")</f>
        <v>110</v>
      </c>
      <c r="CT102" s="7" t="e">
        <f>AVERAGEIFS('Data(perSeason,perCrop)'!$G:$G,'Data(perSeason,perCrop)'!$S:$S,Indicators!$B102,'Data(perSeason,perCrop)'!$O:$O,Indicators!CT$7,'Data(perSeason,perCrop)'!$C:$C,Indicators!CT$3,'Data(perSeason,perCrop)'!$R:$R,"IRRIGATED")</f>
        <v>#DIV/0!</v>
      </c>
      <c r="CU102" s="7" t="e">
        <f>AVERAGEIFS('Data(perSeason,perCrop)'!$G:$G,'Data(perSeason,perCrop)'!$S:$S,Indicators!$B102,'Data(perSeason,perCrop)'!$O:$O,Indicators!CU$7,'Data(perSeason,perCrop)'!$C:$C,Indicators!CU$3,'Data(perSeason,perCrop)'!$R:$R,"IRRIGATED")</f>
        <v>#DIV/0!</v>
      </c>
      <c r="CV102" s="7">
        <f>AVERAGEIFS('Data(perSeason,perCrop)'!$G:$G,'Data(perSeason,perCrop)'!$S:$S,Indicators!$B102,'Data(perSeason,perCrop)'!$O:$O,Indicators!CV$7,'Data(perSeason,perCrop)'!$C:$C,Indicators!CV$3,'Data(perSeason,perCrop)'!$R:$R,"IRRIGATED")</f>
        <v>161</v>
      </c>
      <c r="CW102" s="7" t="e">
        <f>AVERAGEIFS('Data(perSeason,perCrop)'!$G:$G,'Data(perSeason,perCrop)'!$S:$S,Indicators!$B102,'Data(perSeason,perCrop)'!$O:$O,Indicators!CW$7,'Data(perSeason,perCrop)'!$C:$C,Indicators!CW$3,'Data(perSeason,perCrop)'!$R:$R,"IRRIGATED")</f>
        <v>#DIV/0!</v>
      </c>
      <c r="CX102" s="7" t="e">
        <f>AVERAGEIFS('Data(perSeason,perCrop)'!$G:$G,'Data(perSeason,perCrop)'!$S:$S,Indicators!$B102,'Data(perSeason,perCrop)'!$O:$O,Indicators!CX$7,'Data(perSeason,perCrop)'!$C:$C,Indicators!CX$3,'Data(perSeason,perCrop)'!$R:$R,"IRRIGATED")</f>
        <v>#DIV/0!</v>
      </c>
      <c r="CY102" s="7" t="e">
        <f>AVERAGEIFS('Data(perSeason,perCrop)'!$G:$G,'Data(perSeason,perCrop)'!$S:$S,Indicators!$B102,'Data(perSeason,perCrop)'!$O:$O,Indicators!CY$7,'Data(perSeason,perCrop)'!$C:$C,Indicators!CY$3,'Data(perSeason,perCrop)'!$R:$R,"IRRIGATED")</f>
        <v>#DIV/0!</v>
      </c>
      <c r="CZ102" s="7" t="e">
        <f>AVERAGEIFS('Data(perSeason,perCrop)'!$G:$G,'Data(perSeason,perCrop)'!$S:$S,Indicators!$B102,'Data(perSeason,perCrop)'!$O:$O,Indicators!CZ$7,'Data(perSeason,perCrop)'!$C:$C,Indicators!CZ$3,'Data(perSeason,perCrop)'!$R:$R,"IRRIGATED")</f>
        <v>#DIV/0!</v>
      </c>
      <c r="DA102" s="7" t="e">
        <f>AVERAGEIFS('Data(perSeason,perCrop)'!$G:$G,'Data(perSeason,perCrop)'!$S:$S,Indicators!$B102,'Data(perSeason,perCrop)'!$O:$O,Indicators!DA$7,'Data(perSeason,perCrop)'!$C:$C,Indicators!DA$3,'Data(perSeason,perCrop)'!$R:$R,"IRRIGATED")</f>
        <v>#DIV/0!</v>
      </c>
      <c r="DB102" s="7" t="e">
        <f>AVERAGEIFS('Data(perSeason,perCrop)'!$G:$G,'Data(perSeason,perCrop)'!$S:$S,Indicators!$B102,'Data(perSeason,perCrop)'!$O:$O,Indicators!DB$7,'Data(perSeason,perCrop)'!$C:$C,Indicators!DB$3,'Data(perSeason,perCrop)'!$R:$R,"IRRIGATED")</f>
        <v>#DIV/0!</v>
      </c>
      <c r="DC102" s="7" t="e">
        <f>AVERAGEIFS('Data(perSeason,perCrop)'!$G:$G,'Data(perSeason,perCrop)'!$S:$S,Indicators!$B102,'Data(perSeason,perCrop)'!$O:$O,Indicators!DC$7,'Data(perSeason,perCrop)'!$C:$C,Indicators!DC$3,'Data(perSeason,perCrop)'!$R:$R,"IRRIGATED")</f>
        <v>#DIV/0!</v>
      </c>
      <c r="DD102" s="7" t="e">
        <f>AVERAGEIFS('Data(perSeason,perCrop)'!$G:$G,'Data(perSeason,perCrop)'!$S:$S,Indicators!$B102,'Data(perSeason,perCrop)'!$O:$O,Indicators!DD$7,'Data(perSeason,perCrop)'!$C:$C,Indicators!DD$3,'Data(perSeason,perCrop)'!$R:$R,"IRRIGATED")</f>
        <v>#DIV/0!</v>
      </c>
      <c r="DE102" s="7" t="e">
        <f>AVERAGEIFS('Data(perSeason,perCrop)'!$G:$G,'Data(perSeason,perCrop)'!$S:$S,Indicators!$B102,'Data(perSeason,perCrop)'!$O:$O,Indicators!DE$7,'Data(perSeason,perCrop)'!$C:$C,Indicators!DE$3,'Data(perSeason,perCrop)'!$R:$R,"IRRIGATED")</f>
        <v>#DIV/0!</v>
      </c>
      <c r="DF102" s="7" t="e">
        <f>AVERAGEIFS('Data(perSeason,perCrop)'!$G:$G,'Data(perSeason,perCrop)'!$S:$S,Indicators!$B102,'Data(perSeason,perCrop)'!$O:$O,Indicators!DF$7,'Data(perSeason,perCrop)'!$C:$C,Indicators!DF$3,'Data(perSeason,perCrop)'!$R:$R,"IRRIGATED")</f>
        <v>#DIV/0!</v>
      </c>
      <c r="DG102" s="7" t="e">
        <f>AVERAGEIFS('Data(perSeason,perCrop)'!$G:$G,'Data(perSeason,perCrop)'!$S:$S,Indicators!$B102,'Data(perSeason,perCrop)'!$O:$O,Indicators!DG$7,'Data(perSeason,perCrop)'!$C:$C,Indicators!DG$3,'Data(perSeason,perCrop)'!$R:$R,"IRRIGATED")</f>
        <v>#DIV/0!</v>
      </c>
    </row>
    <row r="103" spans="1:111" x14ac:dyDescent="0.25">
      <c r="B103">
        <v>2021</v>
      </c>
      <c r="C103" s="8">
        <f>IF(COUNTIFS('Data(perSeason,perCrop)'!$S:$S,Indicators!$B103)&gt;0,SUM(S110:AW110),"")</f>
        <v>2.4770315185799632</v>
      </c>
      <c r="D103" s="8">
        <f>IF(COUNTIFS('Data(perSeason,perCrop)'!$S:$S,Indicators!$B103)&gt;0,SUM(AX110:CB110),"")</f>
        <v>1.8424235802706899</v>
      </c>
      <c r="E103" s="8">
        <f>IF(COUNTIFS('Data(perSeason,perCrop)'!$S:$S,Indicators!$B103)&gt;0,SUM(CC110:DG110),"")</f>
        <v>5.3691194817957797</v>
      </c>
      <c r="F103" s="8">
        <f>IF(COUNTIFS('Data(perSeason,perCrop)'!$S:$S,Indicators!$B103)&gt;0,SUMIFS('Data(perCrop)'!$Q:$Q,'Data(perCrop)'!$O:$O,Indicators!$B103),"")</f>
        <v>9.7481480695429887</v>
      </c>
      <c r="G103" s="8"/>
      <c r="H103" s="8"/>
      <c r="J103" s="2" t="s">
        <v>113</v>
      </c>
      <c r="K103" s="7">
        <f>AVERAGEIFS('Data(perSeason,perCrop)'!$G:$G,'Data(perSeason,perCrop)'!$S:$S,Indicators!$B103,'Data(perSeason,perCrop)'!$O:$O,Indicators!K$7,'Data(perSeason,perCrop)'!$C:$C,Indicators!K$3,'Data(perSeason,perCrop)'!$R:$R,"IRRIGATED")</f>
        <v>64</v>
      </c>
      <c r="L103" s="7">
        <f>AVERAGEIFS('Data(perSeason,perCrop)'!$G:$G,'Data(perSeason,perCrop)'!$S:$S,Indicators!$B103,'Data(perSeason,perCrop)'!$O:$O,Indicators!L$7,'Data(perSeason,perCrop)'!$C:$C,Indicators!L$3,'Data(perSeason,perCrop)'!$R:$R,"IRRIGATED")</f>
        <v>290</v>
      </c>
      <c r="M103" s="7">
        <f>AVERAGEIFS('Data(perSeason,perCrop)'!$G:$G,'Data(perSeason,perCrop)'!$S:$S,Indicators!$B103,'Data(perSeason,perCrop)'!$O:$O,Indicators!M$7,'Data(perSeason,perCrop)'!$C:$C,Indicators!M$3,'Data(perSeason,perCrop)'!$R:$R,"IRRIGATED")</f>
        <v>288</v>
      </c>
      <c r="N103" s="7">
        <f>AVERAGEIFS('Data(perSeason,perCrop)'!$G:$G,'Data(perSeason,perCrop)'!$S:$S,Indicators!$B103,'Data(perSeason,perCrop)'!$O:$O,Indicators!N$7,'Data(perSeason,perCrop)'!$C:$C,Indicators!N$3,'Data(perSeason,perCrop)'!$R:$R,"IRRIGATED")</f>
        <v>209</v>
      </c>
      <c r="O103" s="7">
        <f>AVERAGEIFS('Data(perSeason,perCrop)'!$G:$G,'Data(perSeason,perCrop)'!$S:$S,Indicators!$B103,'Data(perSeason,perCrop)'!$O:$O,Indicators!O$7,'Data(perSeason,perCrop)'!$C:$C,Indicators!O$3,'Data(perSeason,perCrop)'!$R:$R,"IRRIGATED")</f>
        <v>60</v>
      </c>
      <c r="P103" s="7">
        <f>AVERAGEIFS('Data(perSeason,perCrop)'!$G:$G,'Data(perSeason,perCrop)'!$S:$S,Indicators!$B103,'Data(perSeason,perCrop)'!$O:$O,Indicators!P$7,'Data(perSeason,perCrop)'!$C:$C,Indicators!P$3,'Data(perSeason,perCrop)'!$R:$R,"IRRIGATED")</f>
        <v>48</v>
      </c>
      <c r="Q103" s="7">
        <f>AVERAGEIFS('Data(perSeason,perCrop)'!$G:$G,'Data(perSeason,perCrop)'!$S:$S,Indicators!$B103,'Data(perSeason,perCrop)'!$O:$O,Indicators!Q$7,'Data(perSeason,perCrop)'!$C:$C,Indicators!Q$3,'Data(perSeason,perCrop)'!$R:$R,"IRRIGATED")</f>
        <v>276</v>
      </c>
      <c r="R103" s="7" t="e">
        <f>AVERAGEIFS('Data(perSeason,perCrop)'!$G:$G,'Data(perSeason,perCrop)'!$S:$S,Indicators!$B103,'Data(perSeason,perCrop)'!$O:$O,Indicators!R$7,'Data(perSeason,perCrop)'!$C:$C,Indicators!R$3,'Data(perSeason,perCrop)'!$R:$R,"IRRIGATED")</f>
        <v>#DIV/0!</v>
      </c>
      <c r="S103" s="62" t="e">
        <f>AVERAGEIFS('Data(perSeason,perCrop)'!$G:$G,'Data(perSeason,perCrop)'!$S:$S,Indicators!$B103,'Data(perSeason,perCrop)'!$O:$O,Indicators!S$7,'Data(perSeason,perCrop)'!$C:$C,Indicators!S$3,'Data(perSeason,perCrop)'!$R:$R,"IRRIGATED")</f>
        <v>#DIV/0!</v>
      </c>
      <c r="T103" s="62">
        <f>AVERAGEIFS('Data(perSeason,perCrop)'!$G:$G,'Data(perSeason,perCrop)'!$S:$S,Indicators!$B103,'Data(perSeason,perCrop)'!$O:$O,Indicators!T$7,'Data(perSeason,perCrop)'!$C:$C,Indicators!T$3,'Data(perSeason,perCrop)'!$R:$R,"IRRIGATED")</f>
        <v>55</v>
      </c>
      <c r="U103" s="62" t="e">
        <f>AVERAGEIFS('Data(perSeason,perCrop)'!$G:$G,'Data(perSeason,perCrop)'!$S:$S,Indicators!$B103,'Data(perSeason,perCrop)'!$O:$O,Indicators!U$7,'Data(perSeason,perCrop)'!$C:$C,Indicators!U$3,'Data(perSeason,perCrop)'!$R:$R,"IRRIGATED")</f>
        <v>#DIV/0!</v>
      </c>
      <c r="V103" s="62" t="e">
        <f>AVERAGEIFS('Data(perSeason,perCrop)'!$G:$G,'Data(perSeason,perCrop)'!$S:$S,Indicators!$B103,'Data(perSeason,perCrop)'!$O:$O,Indicators!V$7,'Data(perSeason,perCrop)'!$C:$C,Indicators!V$3,'Data(perSeason,perCrop)'!$R:$R,"IRRIGATED")</f>
        <v>#DIV/0!</v>
      </c>
      <c r="W103" s="62" t="e">
        <f>AVERAGEIFS('Data(perSeason,perCrop)'!$G:$G,'Data(perSeason,perCrop)'!$S:$S,Indicators!$B103,'Data(perSeason,perCrop)'!$O:$O,Indicators!W$7,'Data(perSeason,perCrop)'!$C:$C,Indicators!W$3,'Data(perSeason,perCrop)'!$R:$R,"IRRIGATED")</f>
        <v>#DIV/0!</v>
      </c>
      <c r="X103" s="62" t="e">
        <f>AVERAGEIFS('Data(perSeason,perCrop)'!$G:$G,'Data(perSeason,perCrop)'!$S:$S,Indicators!$B103,'Data(perSeason,perCrop)'!$O:$O,Indicators!X$7,'Data(perSeason,perCrop)'!$C:$C,Indicators!X$3,'Data(perSeason,perCrop)'!$R:$R,"IRRIGATED")</f>
        <v>#DIV/0!</v>
      </c>
      <c r="Y103" s="62" t="e">
        <f>AVERAGEIFS('Data(perSeason,perCrop)'!$G:$G,'Data(perSeason,perCrop)'!$S:$S,Indicators!$B103,'Data(perSeason,perCrop)'!$O:$O,Indicators!Y$7,'Data(perSeason,perCrop)'!$C:$C,Indicators!Y$3,'Data(perSeason,perCrop)'!$R:$R,"IRRIGATED")</f>
        <v>#DIV/0!</v>
      </c>
      <c r="Z103" s="62" t="e">
        <f>AVERAGEIFS('Data(perSeason,perCrop)'!$G:$G,'Data(perSeason,perCrop)'!$S:$S,Indicators!$B103,'Data(perSeason,perCrop)'!$O:$O,Indicators!Z$7,'Data(perSeason,perCrop)'!$C:$C,Indicators!Z$3,'Data(perSeason,perCrop)'!$R:$R,"IRRIGATED")</f>
        <v>#DIV/0!</v>
      </c>
      <c r="AA103" s="62" t="e">
        <f>AVERAGEIFS('Data(perSeason,perCrop)'!$G:$G,'Data(perSeason,perCrop)'!$S:$S,Indicators!$B103,'Data(perSeason,perCrop)'!$O:$O,Indicators!AA$7,'Data(perSeason,perCrop)'!$C:$C,Indicators!AA$3,'Data(perSeason,perCrop)'!$R:$R,"IRRIGATED")</f>
        <v>#DIV/0!</v>
      </c>
      <c r="AB103" s="62" t="e">
        <f>AVERAGEIFS('Data(perSeason,perCrop)'!$G:$G,'Data(perSeason,perCrop)'!$S:$S,Indicators!$B103,'Data(perSeason,perCrop)'!$O:$O,Indicators!AB$7,'Data(perSeason,perCrop)'!$C:$C,Indicators!AB$3,'Data(perSeason,perCrop)'!$R:$R,"IRRIGATED")</f>
        <v>#DIV/0!</v>
      </c>
      <c r="AC103" s="62" t="e">
        <f>AVERAGEIFS('Data(perSeason,perCrop)'!$G:$G,'Data(perSeason,perCrop)'!$S:$S,Indicators!$B103,'Data(perSeason,perCrop)'!$O:$O,Indicators!AC$7,'Data(perSeason,perCrop)'!$C:$C,Indicators!AC$3,'Data(perSeason,perCrop)'!$R:$R,"IRRIGATED")</f>
        <v>#DIV/0!</v>
      </c>
      <c r="AD103" s="62" t="e">
        <f>AVERAGEIFS('Data(perSeason,perCrop)'!$G:$G,'Data(perSeason,perCrop)'!$S:$S,Indicators!$B103,'Data(perSeason,perCrop)'!$O:$O,Indicators!AD$7,'Data(perSeason,perCrop)'!$C:$C,Indicators!AD$3,'Data(perSeason,perCrop)'!$R:$R,"IRRIGATED")</f>
        <v>#DIV/0!</v>
      </c>
      <c r="AE103" s="62" t="e">
        <f>AVERAGEIFS('Data(perSeason,perCrop)'!$G:$G,'Data(perSeason,perCrop)'!$S:$S,Indicators!$B103,'Data(perSeason,perCrop)'!$O:$O,Indicators!AE$7,'Data(perSeason,perCrop)'!$C:$C,Indicators!AE$3,'Data(perSeason,perCrop)'!$R:$R,"IRRIGATED")</f>
        <v>#DIV/0!</v>
      </c>
      <c r="AF103" s="62">
        <f>AVERAGEIFS('Data(perSeason,perCrop)'!$G:$G,'Data(perSeason,perCrop)'!$S:$S,Indicators!$B103,'Data(perSeason,perCrop)'!$O:$O,Indicators!AF$7,'Data(perSeason,perCrop)'!$C:$C,Indicators!AF$3,'Data(perSeason,perCrop)'!$R:$R,"IRRIGATED")</f>
        <v>122</v>
      </c>
      <c r="AG103" s="62">
        <f>AVERAGEIFS('Data(perSeason,perCrop)'!$G:$G,'Data(perSeason,perCrop)'!$S:$S,Indicators!$B103,'Data(perSeason,perCrop)'!$O:$O,Indicators!AG$7,'Data(perSeason,perCrop)'!$C:$C,Indicators!AG$3,'Data(perSeason,perCrop)'!$R:$R,"IRRIGATED")</f>
        <v>73</v>
      </c>
      <c r="AH103" s="62" t="e">
        <f>AVERAGEIFS('Data(perSeason,perCrop)'!$G:$G,'Data(perSeason,perCrop)'!$S:$S,Indicators!$B103,'Data(perSeason,perCrop)'!$O:$O,Indicators!AH$7,'Data(perSeason,perCrop)'!$C:$C,Indicators!AH$3,'Data(perSeason,perCrop)'!$R:$R,"IRRIGATED")</f>
        <v>#DIV/0!</v>
      </c>
      <c r="AI103" s="62">
        <f>AVERAGEIFS('Data(perSeason,perCrop)'!$G:$G,'Data(perSeason,perCrop)'!$S:$S,Indicators!$B103,'Data(perSeason,perCrop)'!$O:$O,Indicators!AI$7,'Data(perSeason,perCrop)'!$C:$C,Indicators!AI$3,'Data(perSeason,perCrop)'!$R:$R,"IRRIGATED")</f>
        <v>57</v>
      </c>
      <c r="AJ103" s="62" t="e">
        <f>AVERAGEIFS('Data(perSeason,perCrop)'!$G:$G,'Data(perSeason,perCrop)'!$S:$S,Indicators!$B103,'Data(perSeason,perCrop)'!$O:$O,Indicators!AJ$7,'Data(perSeason,perCrop)'!$C:$C,Indicators!AJ$3,'Data(perSeason,perCrop)'!$R:$R,"IRRIGATED")</f>
        <v>#DIV/0!</v>
      </c>
      <c r="AK103" s="62" t="e">
        <f>AVERAGEIFS('Data(perSeason,perCrop)'!$G:$G,'Data(perSeason,perCrop)'!$S:$S,Indicators!$B103,'Data(perSeason,perCrop)'!$O:$O,Indicators!AK$7,'Data(perSeason,perCrop)'!$C:$C,Indicators!AK$3,'Data(perSeason,perCrop)'!$R:$R,"IRRIGATED")</f>
        <v>#DIV/0!</v>
      </c>
      <c r="AL103" s="62">
        <f>AVERAGEIFS('Data(perSeason,perCrop)'!$G:$G,'Data(perSeason,perCrop)'!$S:$S,Indicators!$B103,'Data(perSeason,perCrop)'!$O:$O,Indicators!AL$7,'Data(perSeason,perCrop)'!$C:$C,Indicators!AL$3,'Data(perSeason,perCrop)'!$R:$R,"IRRIGATED")</f>
        <v>79</v>
      </c>
      <c r="AM103" s="62" t="e">
        <f>AVERAGEIFS('Data(perSeason,perCrop)'!$G:$G,'Data(perSeason,perCrop)'!$S:$S,Indicators!$B103,'Data(perSeason,perCrop)'!$O:$O,Indicators!AM$7,'Data(perSeason,perCrop)'!$C:$C,Indicators!AM$3,'Data(perSeason,perCrop)'!$R:$R,"IRRIGATED")</f>
        <v>#DIV/0!</v>
      </c>
      <c r="AN103" s="62" t="e">
        <f>AVERAGEIFS('Data(perSeason,perCrop)'!$G:$G,'Data(perSeason,perCrop)'!$S:$S,Indicators!$B103,'Data(perSeason,perCrop)'!$O:$O,Indicators!AN$7,'Data(perSeason,perCrop)'!$C:$C,Indicators!AN$3,'Data(perSeason,perCrop)'!$R:$R,"IRRIGATED")</f>
        <v>#DIV/0!</v>
      </c>
      <c r="AO103" s="62" t="e">
        <f>AVERAGEIFS('Data(perSeason,perCrop)'!$G:$G,'Data(perSeason,perCrop)'!$S:$S,Indicators!$B103,'Data(perSeason,perCrop)'!$O:$O,Indicators!AO$7,'Data(perSeason,perCrop)'!$C:$C,Indicators!AO$3,'Data(perSeason,perCrop)'!$R:$R,"IRRIGATED")</f>
        <v>#DIV/0!</v>
      </c>
      <c r="AP103" s="62" t="e">
        <f>AVERAGEIFS('Data(perSeason,perCrop)'!$G:$G,'Data(perSeason,perCrop)'!$S:$S,Indicators!$B103,'Data(perSeason,perCrop)'!$O:$O,Indicators!AP$7,'Data(perSeason,perCrop)'!$C:$C,Indicators!AP$3,'Data(perSeason,perCrop)'!$R:$R,"IRRIGATED")</f>
        <v>#DIV/0!</v>
      </c>
      <c r="AQ103" s="62" t="e">
        <f>AVERAGEIFS('Data(perSeason,perCrop)'!$G:$G,'Data(perSeason,perCrop)'!$S:$S,Indicators!$B103,'Data(perSeason,perCrop)'!$O:$O,Indicators!AQ$7,'Data(perSeason,perCrop)'!$C:$C,Indicators!AQ$3,'Data(perSeason,perCrop)'!$R:$R,"IRRIGATED")</f>
        <v>#DIV/0!</v>
      </c>
      <c r="AR103" s="62" t="e">
        <f>AVERAGEIFS('Data(perSeason,perCrop)'!$G:$G,'Data(perSeason,perCrop)'!$S:$S,Indicators!$B103,'Data(perSeason,perCrop)'!$O:$O,Indicators!AR$7,'Data(perSeason,perCrop)'!$C:$C,Indicators!AR$3,'Data(perSeason,perCrop)'!$R:$R,"IRRIGATED")</f>
        <v>#DIV/0!</v>
      </c>
      <c r="AS103" s="62" t="e">
        <f>AVERAGEIFS('Data(perSeason,perCrop)'!$G:$G,'Data(perSeason,perCrop)'!$S:$S,Indicators!$B103,'Data(perSeason,perCrop)'!$O:$O,Indicators!AS$7,'Data(perSeason,perCrop)'!$C:$C,Indicators!AS$3,'Data(perSeason,perCrop)'!$R:$R,"IRRIGATED")</f>
        <v>#DIV/0!</v>
      </c>
      <c r="AT103" s="62" t="e">
        <f>AVERAGEIFS('Data(perSeason,perCrop)'!$G:$G,'Data(perSeason,perCrop)'!$S:$S,Indicators!$B103,'Data(perSeason,perCrop)'!$O:$O,Indicators!AT$7,'Data(perSeason,perCrop)'!$C:$C,Indicators!AT$3,'Data(perSeason,perCrop)'!$R:$R,"IRRIGATED")</f>
        <v>#DIV/0!</v>
      </c>
      <c r="AU103" s="62" t="e">
        <f>AVERAGEIFS('Data(perSeason,perCrop)'!$G:$G,'Data(perSeason,perCrop)'!$S:$S,Indicators!$B103,'Data(perSeason,perCrop)'!$O:$O,Indicators!AU$7,'Data(perSeason,perCrop)'!$C:$C,Indicators!AU$3,'Data(perSeason,perCrop)'!$R:$R,"IRRIGATED")</f>
        <v>#DIV/0!</v>
      </c>
      <c r="AV103" s="62" t="e">
        <f>AVERAGEIFS('Data(perSeason,perCrop)'!$G:$G,'Data(perSeason,perCrop)'!$S:$S,Indicators!$B103,'Data(perSeason,perCrop)'!$O:$O,Indicators!AV$7,'Data(perSeason,perCrop)'!$C:$C,Indicators!AV$3,'Data(perSeason,perCrop)'!$R:$R,"IRRIGATED")</f>
        <v>#DIV/0!</v>
      </c>
      <c r="AW103" s="62" t="e">
        <f>AVERAGEIFS('Data(perSeason,perCrop)'!$G:$G,'Data(perSeason,perCrop)'!$S:$S,Indicators!$B103,'Data(perSeason,perCrop)'!$O:$O,Indicators!AW$7,'Data(perSeason,perCrop)'!$C:$C,Indicators!AW$3,'Data(perSeason,perCrop)'!$R:$R,"IRRIGATED")</f>
        <v>#DIV/0!</v>
      </c>
      <c r="AX103" s="7" t="e">
        <f>AVERAGEIFS('Data(perSeason,perCrop)'!$G:$G,'Data(perSeason,perCrop)'!$S:$S,Indicators!$B103,'Data(perSeason,perCrop)'!$O:$O,Indicators!AX$7,'Data(perSeason,perCrop)'!$C:$C,Indicators!AX$3,'Data(perSeason,perCrop)'!$R:$R,"IRRIGATED")</f>
        <v>#DIV/0!</v>
      </c>
      <c r="AY103" s="7">
        <f>AVERAGEIFS('Data(perSeason,perCrop)'!$G:$G,'Data(perSeason,perCrop)'!$S:$S,Indicators!$B103,'Data(perSeason,perCrop)'!$O:$O,Indicators!AY$7,'Data(perSeason,perCrop)'!$C:$C,Indicators!AY$3,'Data(perSeason,perCrop)'!$R:$R,"IRRIGATED")</f>
        <v>31</v>
      </c>
      <c r="AZ103" s="7" t="e">
        <f>AVERAGEIFS('Data(perSeason,perCrop)'!$G:$G,'Data(perSeason,perCrop)'!$S:$S,Indicators!$B103,'Data(perSeason,perCrop)'!$O:$O,Indicators!AZ$7,'Data(perSeason,perCrop)'!$C:$C,Indicators!AZ$3,'Data(perSeason,perCrop)'!$R:$R,"IRRIGATED")</f>
        <v>#DIV/0!</v>
      </c>
      <c r="BA103" s="7" t="e">
        <f>AVERAGEIFS('Data(perSeason,perCrop)'!$G:$G,'Data(perSeason,perCrop)'!$S:$S,Indicators!$B103,'Data(perSeason,perCrop)'!$O:$O,Indicators!BA$7,'Data(perSeason,perCrop)'!$C:$C,Indicators!BA$3,'Data(perSeason,perCrop)'!$R:$R,"IRRIGATED")</f>
        <v>#DIV/0!</v>
      </c>
      <c r="BB103" s="7" t="e">
        <f>AVERAGEIFS('Data(perSeason,perCrop)'!$G:$G,'Data(perSeason,perCrop)'!$S:$S,Indicators!$B103,'Data(perSeason,perCrop)'!$O:$O,Indicators!BB$7,'Data(perSeason,perCrop)'!$C:$C,Indicators!BB$3,'Data(perSeason,perCrop)'!$R:$R,"IRRIGATED")</f>
        <v>#DIV/0!</v>
      </c>
      <c r="BC103" s="7" t="e">
        <f>AVERAGEIFS('Data(perSeason,perCrop)'!$G:$G,'Data(perSeason,perCrop)'!$S:$S,Indicators!$B103,'Data(perSeason,perCrop)'!$O:$O,Indicators!BC$7,'Data(perSeason,perCrop)'!$C:$C,Indicators!BC$3,'Data(perSeason,perCrop)'!$R:$R,"IRRIGATED")</f>
        <v>#DIV/0!</v>
      </c>
      <c r="BD103" s="7" t="e">
        <f>AVERAGEIFS('Data(perSeason,perCrop)'!$G:$G,'Data(perSeason,perCrop)'!$S:$S,Indicators!$B103,'Data(perSeason,perCrop)'!$O:$O,Indicators!BD$7,'Data(perSeason,perCrop)'!$C:$C,Indicators!BD$3,'Data(perSeason,perCrop)'!$R:$R,"IRRIGATED")</f>
        <v>#DIV/0!</v>
      </c>
      <c r="BE103" s="7" t="e">
        <f>AVERAGEIFS('Data(perSeason,perCrop)'!$G:$G,'Data(perSeason,perCrop)'!$S:$S,Indicators!$B103,'Data(perSeason,perCrop)'!$O:$O,Indicators!BE$7,'Data(perSeason,perCrop)'!$C:$C,Indicators!BE$3,'Data(perSeason,perCrop)'!$R:$R,"IRRIGATED")</f>
        <v>#DIV/0!</v>
      </c>
      <c r="BF103" s="7" t="e">
        <f>AVERAGEIFS('Data(perSeason,perCrop)'!$G:$G,'Data(perSeason,perCrop)'!$S:$S,Indicators!$B103,'Data(perSeason,perCrop)'!$O:$O,Indicators!BF$7,'Data(perSeason,perCrop)'!$C:$C,Indicators!BF$3,'Data(perSeason,perCrop)'!$R:$R,"IRRIGATED")</f>
        <v>#DIV/0!</v>
      </c>
      <c r="BG103" s="7" t="e">
        <f>AVERAGEIFS('Data(perSeason,perCrop)'!$G:$G,'Data(perSeason,perCrop)'!$S:$S,Indicators!$B103,'Data(perSeason,perCrop)'!$O:$O,Indicators!BG$7,'Data(perSeason,perCrop)'!$C:$C,Indicators!BG$3,'Data(perSeason,perCrop)'!$R:$R,"IRRIGATED")</f>
        <v>#DIV/0!</v>
      </c>
      <c r="BH103" s="7" t="e">
        <f>AVERAGEIFS('Data(perSeason,perCrop)'!$G:$G,'Data(perSeason,perCrop)'!$S:$S,Indicators!$B103,'Data(perSeason,perCrop)'!$O:$O,Indicators!BH$7,'Data(perSeason,perCrop)'!$C:$C,Indicators!BH$3,'Data(perSeason,perCrop)'!$R:$R,"IRRIGATED")</f>
        <v>#DIV/0!</v>
      </c>
      <c r="BI103" s="7" t="e">
        <f>AVERAGEIFS('Data(perSeason,perCrop)'!$G:$G,'Data(perSeason,perCrop)'!$S:$S,Indicators!$B103,'Data(perSeason,perCrop)'!$O:$O,Indicators!BI$7,'Data(perSeason,perCrop)'!$C:$C,Indicators!BI$3,'Data(perSeason,perCrop)'!$R:$R,"IRRIGATED")</f>
        <v>#DIV/0!</v>
      </c>
      <c r="BJ103" s="7" t="e">
        <f>AVERAGEIFS('Data(perSeason,perCrop)'!$G:$G,'Data(perSeason,perCrop)'!$S:$S,Indicators!$B103,'Data(perSeason,perCrop)'!$O:$O,Indicators!BJ$7,'Data(perSeason,perCrop)'!$C:$C,Indicators!BJ$3,'Data(perSeason,perCrop)'!$R:$R,"IRRIGATED")</f>
        <v>#DIV/0!</v>
      </c>
      <c r="BK103" s="7" t="e">
        <f>AVERAGEIFS('Data(perSeason,perCrop)'!$G:$G,'Data(perSeason,perCrop)'!$S:$S,Indicators!$B103,'Data(perSeason,perCrop)'!$O:$O,Indicators!BK$7,'Data(perSeason,perCrop)'!$C:$C,Indicators!BK$3,'Data(perSeason,perCrop)'!$R:$R,"IRRIGATED")</f>
        <v>#DIV/0!</v>
      </c>
      <c r="BL103" s="7">
        <f>AVERAGEIFS('Data(perSeason,perCrop)'!$G:$G,'Data(perSeason,perCrop)'!$S:$S,Indicators!$B103,'Data(perSeason,perCrop)'!$O:$O,Indicators!BL$7,'Data(perSeason,perCrop)'!$C:$C,Indicators!BL$3,'Data(perSeason,perCrop)'!$R:$R,"IRRIGATED")</f>
        <v>31</v>
      </c>
      <c r="BM103" s="7" t="e">
        <f>AVERAGEIFS('Data(perSeason,perCrop)'!$G:$G,'Data(perSeason,perCrop)'!$S:$S,Indicators!$B103,'Data(perSeason,perCrop)'!$O:$O,Indicators!BM$7,'Data(perSeason,perCrop)'!$C:$C,Indicators!BM$3,'Data(perSeason,perCrop)'!$R:$R,"IRRIGATED")</f>
        <v>#DIV/0!</v>
      </c>
      <c r="BN103" s="7">
        <f>AVERAGEIFS('Data(perSeason,perCrop)'!$G:$G,'Data(perSeason,perCrop)'!$S:$S,Indicators!$B103,'Data(perSeason,perCrop)'!$O:$O,Indicators!BN$7,'Data(perSeason,perCrop)'!$C:$C,Indicators!BN$3,'Data(perSeason,perCrop)'!$R:$R,"IRRIGATED")</f>
        <v>26</v>
      </c>
      <c r="BO103" s="7" t="e">
        <f>AVERAGEIFS('Data(perSeason,perCrop)'!$G:$G,'Data(perSeason,perCrop)'!$S:$S,Indicators!$B103,'Data(perSeason,perCrop)'!$O:$O,Indicators!BO$7,'Data(perSeason,perCrop)'!$C:$C,Indicators!BO$3,'Data(perSeason,perCrop)'!$R:$R,"IRRIGATED")</f>
        <v>#DIV/0!</v>
      </c>
      <c r="BP103" s="7" t="e">
        <f>AVERAGEIFS('Data(perSeason,perCrop)'!$G:$G,'Data(perSeason,perCrop)'!$S:$S,Indicators!$B103,'Data(perSeason,perCrop)'!$O:$O,Indicators!BP$7,'Data(perSeason,perCrop)'!$C:$C,Indicators!BP$3,'Data(perSeason,perCrop)'!$R:$R,"IRRIGATED")</f>
        <v>#DIV/0!</v>
      </c>
      <c r="BQ103" s="7">
        <f>AVERAGEIFS('Data(perSeason,perCrop)'!$G:$G,'Data(perSeason,perCrop)'!$S:$S,Indicators!$B103,'Data(perSeason,perCrop)'!$O:$O,Indicators!BQ$7,'Data(perSeason,perCrop)'!$C:$C,Indicators!BQ$3,'Data(perSeason,perCrop)'!$R:$R,"IRRIGATED")</f>
        <v>36</v>
      </c>
      <c r="BR103" s="7" t="e">
        <f>AVERAGEIFS('Data(perSeason,perCrop)'!$G:$G,'Data(perSeason,perCrop)'!$S:$S,Indicators!$B103,'Data(perSeason,perCrop)'!$O:$O,Indicators!BR$7,'Data(perSeason,perCrop)'!$C:$C,Indicators!BR$3,'Data(perSeason,perCrop)'!$R:$R,"IRRIGATED")</f>
        <v>#DIV/0!</v>
      </c>
      <c r="BS103" s="7" t="e">
        <f>AVERAGEIFS('Data(perSeason,perCrop)'!$G:$G,'Data(perSeason,perCrop)'!$S:$S,Indicators!$B103,'Data(perSeason,perCrop)'!$O:$O,Indicators!BS$7,'Data(perSeason,perCrop)'!$C:$C,Indicators!BS$3,'Data(perSeason,perCrop)'!$R:$R,"IRRIGATED")</f>
        <v>#DIV/0!</v>
      </c>
      <c r="BT103" s="7" t="e">
        <f>AVERAGEIFS('Data(perSeason,perCrop)'!$G:$G,'Data(perSeason,perCrop)'!$S:$S,Indicators!$B103,'Data(perSeason,perCrop)'!$O:$O,Indicators!BT$7,'Data(perSeason,perCrop)'!$C:$C,Indicators!BT$3,'Data(perSeason,perCrop)'!$R:$R,"IRRIGATED")</f>
        <v>#DIV/0!</v>
      </c>
      <c r="BU103" s="7" t="e">
        <f>AVERAGEIFS('Data(perSeason,perCrop)'!$G:$G,'Data(perSeason,perCrop)'!$S:$S,Indicators!$B103,'Data(perSeason,perCrop)'!$O:$O,Indicators!BU$7,'Data(perSeason,perCrop)'!$C:$C,Indicators!BU$3,'Data(perSeason,perCrop)'!$R:$R,"IRRIGATED")</f>
        <v>#DIV/0!</v>
      </c>
      <c r="BV103" s="7" t="e">
        <f>AVERAGEIFS('Data(perSeason,perCrop)'!$G:$G,'Data(perSeason,perCrop)'!$S:$S,Indicators!$B103,'Data(perSeason,perCrop)'!$O:$O,Indicators!BV$7,'Data(perSeason,perCrop)'!$C:$C,Indicators!BV$3,'Data(perSeason,perCrop)'!$R:$R,"IRRIGATED")</f>
        <v>#DIV/0!</v>
      </c>
      <c r="BW103" s="7" t="e">
        <f>AVERAGEIFS('Data(perSeason,perCrop)'!$G:$G,'Data(perSeason,perCrop)'!$S:$S,Indicators!$B103,'Data(perSeason,perCrop)'!$O:$O,Indicators!BW$7,'Data(perSeason,perCrop)'!$C:$C,Indicators!BW$3,'Data(perSeason,perCrop)'!$R:$R,"IRRIGATED")</f>
        <v>#DIV/0!</v>
      </c>
      <c r="BX103" s="7" t="e">
        <f>AVERAGEIFS('Data(perSeason,perCrop)'!$G:$G,'Data(perSeason,perCrop)'!$S:$S,Indicators!$B103,'Data(perSeason,perCrop)'!$O:$O,Indicators!BX$7,'Data(perSeason,perCrop)'!$C:$C,Indicators!BX$3,'Data(perSeason,perCrop)'!$R:$R,"IRRIGATED")</f>
        <v>#DIV/0!</v>
      </c>
      <c r="BY103" s="7" t="e">
        <f>AVERAGEIFS('Data(perSeason,perCrop)'!$G:$G,'Data(perSeason,perCrop)'!$S:$S,Indicators!$B103,'Data(perSeason,perCrop)'!$O:$O,Indicators!BY$7,'Data(perSeason,perCrop)'!$C:$C,Indicators!BY$3,'Data(perSeason,perCrop)'!$R:$R,"IRRIGATED")</f>
        <v>#DIV/0!</v>
      </c>
      <c r="BZ103" s="7" t="e">
        <f>AVERAGEIFS('Data(perSeason,perCrop)'!$G:$G,'Data(perSeason,perCrop)'!$S:$S,Indicators!$B103,'Data(perSeason,perCrop)'!$O:$O,Indicators!BZ$7,'Data(perSeason,perCrop)'!$C:$C,Indicators!BZ$3,'Data(perSeason,perCrop)'!$R:$R,"IRRIGATED")</f>
        <v>#DIV/0!</v>
      </c>
      <c r="CA103" s="7" t="e">
        <f>AVERAGEIFS('Data(perSeason,perCrop)'!$G:$G,'Data(perSeason,perCrop)'!$S:$S,Indicators!$B103,'Data(perSeason,perCrop)'!$O:$O,Indicators!CA$7,'Data(perSeason,perCrop)'!$C:$C,Indicators!CA$3,'Data(perSeason,perCrop)'!$R:$R,"IRRIGATED")</f>
        <v>#DIV/0!</v>
      </c>
      <c r="CB103" s="7" t="e">
        <f>AVERAGEIFS('Data(perSeason,perCrop)'!$G:$G,'Data(perSeason,perCrop)'!$S:$S,Indicators!$B103,'Data(perSeason,perCrop)'!$O:$O,Indicators!CB$7,'Data(perSeason,perCrop)'!$C:$C,Indicators!CB$3,'Data(perSeason,perCrop)'!$R:$R,"IRRIGATED")</f>
        <v>#DIV/0!</v>
      </c>
      <c r="CC103" s="7" t="e">
        <f>AVERAGEIFS('Data(perSeason,perCrop)'!$G:$G,'Data(perSeason,perCrop)'!$S:$S,Indicators!$B103,'Data(perSeason,perCrop)'!$O:$O,Indicators!CC$7,'Data(perSeason,perCrop)'!$C:$C,Indicators!CC$3,'Data(perSeason,perCrop)'!$R:$R,"IRRIGATED")</f>
        <v>#DIV/0!</v>
      </c>
      <c r="CD103" s="7" t="e">
        <f>AVERAGEIFS('Data(perSeason,perCrop)'!$G:$G,'Data(perSeason,perCrop)'!$S:$S,Indicators!$B103,'Data(perSeason,perCrop)'!$O:$O,Indicators!CD$7,'Data(perSeason,perCrop)'!$C:$C,Indicators!CD$3,'Data(perSeason,perCrop)'!$R:$R,"IRRIGATED")</f>
        <v>#DIV/0!</v>
      </c>
      <c r="CE103" s="7" t="e">
        <f>AVERAGEIFS('Data(perSeason,perCrop)'!$G:$G,'Data(perSeason,perCrop)'!$S:$S,Indicators!$B103,'Data(perSeason,perCrop)'!$O:$O,Indicators!CE$7,'Data(perSeason,perCrop)'!$C:$C,Indicators!CE$3,'Data(perSeason,perCrop)'!$R:$R,"IRRIGATED")</f>
        <v>#DIV/0!</v>
      </c>
      <c r="CF103" s="7" t="e">
        <f>AVERAGEIFS('Data(perSeason,perCrop)'!$G:$G,'Data(perSeason,perCrop)'!$S:$S,Indicators!$B103,'Data(perSeason,perCrop)'!$O:$O,Indicators!CF$7,'Data(perSeason,perCrop)'!$C:$C,Indicators!CF$3,'Data(perSeason,perCrop)'!$R:$R,"IRRIGATED")</f>
        <v>#DIV/0!</v>
      </c>
      <c r="CG103" s="7" t="e">
        <f>AVERAGEIFS('Data(perSeason,perCrop)'!$G:$G,'Data(perSeason,perCrop)'!$S:$S,Indicators!$B103,'Data(perSeason,perCrop)'!$O:$O,Indicators!CG$7,'Data(perSeason,perCrop)'!$C:$C,Indicators!CG$3,'Data(perSeason,perCrop)'!$R:$R,"IRRIGATED")</f>
        <v>#DIV/0!</v>
      </c>
      <c r="CH103" s="7" t="e">
        <f>AVERAGEIFS('Data(perSeason,perCrop)'!$G:$G,'Data(perSeason,perCrop)'!$S:$S,Indicators!$B103,'Data(perSeason,perCrop)'!$O:$O,Indicators!CH$7,'Data(perSeason,perCrop)'!$C:$C,Indicators!CH$3,'Data(perSeason,perCrop)'!$R:$R,"IRRIGATED")</f>
        <v>#DIV/0!</v>
      </c>
      <c r="CI103" s="7" t="e">
        <f>AVERAGEIFS('Data(perSeason,perCrop)'!$G:$G,'Data(perSeason,perCrop)'!$S:$S,Indicators!$B103,'Data(perSeason,perCrop)'!$O:$O,Indicators!CI$7,'Data(perSeason,perCrop)'!$C:$C,Indicators!CI$3,'Data(perSeason,perCrop)'!$R:$R,"IRRIGATED")</f>
        <v>#DIV/0!</v>
      </c>
      <c r="CJ103" s="7" t="e">
        <f>AVERAGEIFS('Data(perSeason,perCrop)'!$G:$G,'Data(perSeason,perCrop)'!$S:$S,Indicators!$B103,'Data(perSeason,perCrop)'!$O:$O,Indicators!CJ$7,'Data(perSeason,perCrop)'!$C:$C,Indicators!CJ$3,'Data(perSeason,perCrop)'!$R:$R,"IRRIGATED")</f>
        <v>#DIV/0!</v>
      </c>
      <c r="CK103" s="7" t="e">
        <f>AVERAGEIFS('Data(perSeason,perCrop)'!$G:$G,'Data(perSeason,perCrop)'!$S:$S,Indicators!$B103,'Data(perSeason,perCrop)'!$O:$O,Indicators!CK$7,'Data(perSeason,perCrop)'!$C:$C,Indicators!CK$3,'Data(perSeason,perCrop)'!$R:$R,"IRRIGATED")</f>
        <v>#DIV/0!</v>
      </c>
      <c r="CL103" s="7" t="e">
        <f>AVERAGEIFS('Data(perSeason,perCrop)'!$G:$G,'Data(perSeason,perCrop)'!$S:$S,Indicators!$B103,'Data(perSeason,perCrop)'!$O:$O,Indicators!CL$7,'Data(perSeason,perCrop)'!$C:$C,Indicators!CL$3,'Data(perSeason,perCrop)'!$R:$R,"IRRIGATED")</f>
        <v>#DIV/0!</v>
      </c>
      <c r="CM103" s="7" t="e">
        <f>AVERAGEIFS('Data(perSeason,perCrop)'!$G:$G,'Data(perSeason,perCrop)'!$S:$S,Indicators!$B103,'Data(perSeason,perCrop)'!$O:$O,Indicators!CM$7,'Data(perSeason,perCrop)'!$C:$C,Indicators!CM$3,'Data(perSeason,perCrop)'!$R:$R,"IRRIGATED")</f>
        <v>#DIV/0!</v>
      </c>
      <c r="CN103" s="7" t="e">
        <f>AVERAGEIFS('Data(perSeason,perCrop)'!$G:$G,'Data(perSeason,perCrop)'!$S:$S,Indicators!$B103,'Data(perSeason,perCrop)'!$O:$O,Indicators!CN$7,'Data(perSeason,perCrop)'!$C:$C,Indicators!CN$3,'Data(perSeason,perCrop)'!$R:$R,"IRRIGATED")</f>
        <v>#DIV/0!</v>
      </c>
      <c r="CO103" s="7" t="e">
        <f>AVERAGEIFS('Data(perSeason,perCrop)'!$G:$G,'Data(perSeason,perCrop)'!$S:$S,Indicators!$B103,'Data(perSeason,perCrop)'!$O:$O,Indicators!CO$7,'Data(perSeason,perCrop)'!$C:$C,Indicators!CO$3,'Data(perSeason,perCrop)'!$R:$R,"IRRIGATED")</f>
        <v>#DIV/0!</v>
      </c>
      <c r="CP103" s="7">
        <f>AVERAGEIFS('Data(perSeason,perCrop)'!$G:$G,'Data(perSeason,perCrop)'!$S:$S,Indicators!$B103,'Data(perSeason,perCrop)'!$O:$O,Indicators!CP$7,'Data(perSeason,perCrop)'!$C:$C,Indicators!CP$3,'Data(perSeason,perCrop)'!$R:$R,"IRRIGATED")</f>
        <v>244</v>
      </c>
      <c r="CQ103" s="7">
        <f>AVERAGEIFS('Data(perSeason,perCrop)'!$G:$G,'Data(perSeason,perCrop)'!$S:$S,Indicators!$B103,'Data(perSeason,perCrop)'!$O:$O,Indicators!CQ$7,'Data(perSeason,perCrop)'!$C:$C,Indicators!CQ$3,'Data(perSeason,perCrop)'!$R:$R,"IRRIGATED")</f>
        <v>68</v>
      </c>
      <c r="CR103" s="7" t="e">
        <f>AVERAGEIFS('Data(perSeason,perCrop)'!$G:$G,'Data(perSeason,perCrop)'!$S:$S,Indicators!$B103,'Data(perSeason,perCrop)'!$O:$O,Indicators!CR$7,'Data(perSeason,perCrop)'!$C:$C,Indicators!CR$3,'Data(perSeason,perCrop)'!$R:$R,"IRRIGATED")</f>
        <v>#DIV/0!</v>
      </c>
      <c r="CS103" s="7">
        <f>AVERAGEIFS('Data(perSeason,perCrop)'!$G:$G,'Data(perSeason,perCrop)'!$S:$S,Indicators!$B103,'Data(perSeason,perCrop)'!$O:$O,Indicators!CS$7,'Data(perSeason,perCrop)'!$C:$C,Indicators!CS$3,'Data(perSeason,perCrop)'!$R:$R,"IRRIGATED")</f>
        <v>119</v>
      </c>
      <c r="CT103" s="7" t="e">
        <f>AVERAGEIFS('Data(perSeason,perCrop)'!$G:$G,'Data(perSeason,perCrop)'!$S:$S,Indicators!$B103,'Data(perSeason,perCrop)'!$O:$O,Indicators!CT$7,'Data(perSeason,perCrop)'!$C:$C,Indicators!CT$3,'Data(perSeason,perCrop)'!$R:$R,"IRRIGATED")</f>
        <v>#DIV/0!</v>
      </c>
      <c r="CU103" s="7" t="e">
        <f>AVERAGEIFS('Data(perSeason,perCrop)'!$G:$G,'Data(perSeason,perCrop)'!$S:$S,Indicators!$B103,'Data(perSeason,perCrop)'!$O:$O,Indicators!CU$7,'Data(perSeason,perCrop)'!$C:$C,Indicators!CU$3,'Data(perSeason,perCrop)'!$R:$R,"IRRIGATED")</f>
        <v>#DIV/0!</v>
      </c>
      <c r="CV103" s="7">
        <f>AVERAGEIFS('Data(perSeason,perCrop)'!$G:$G,'Data(perSeason,perCrop)'!$S:$S,Indicators!$B103,'Data(perSeason,perCrop)'!$O:$O,Indicators!CV$7,'Data(perSeason,perCrop)'!$C:$C,Indicators!CV$3,'Data(perSeason,perCrop)'!$R:$R,"IRRIGATED")</f>
        <v>218</v>
      </c>
      <c r="CW103" s="7" t="e">
        <f>AVERAGEIFS('Data(perSeason,perCrop)'!$G:$G,'Data(perSeason,perCrop)'!$S:$S,Indicators!$B103,'Data(perSeason,perCrop)'!$O:$O,Indicators!CW$7,'Data(perSeason,perCrop)'!$C:$C,Indicators!CW$3,'Data(perSeason,perCrop)'!$R:$R,"IRRIGATED")</f>
        <v>#DIV/0!</v>
      </c>
      <c r="CX103" s="7" t="e">
        <f>AVERAGEIFS('Data(perSeason,perCrop)'!$G:$G,'Data(perSeason,perCrop)'!$S:$S,Indicators!$B103,'Data(perSeason,perCrop)'!$O:$O,Indicators!CX$7,'Data(perSeason,perCrop)'!$C:$C,Indicators!CX$3,'Data(perSeason,perCrop)'!$R:$R,"IRRIGATED")</f>
        <v>#DIV/0!</v>
      </c>
      <c r="CY103" s="7" t="e">
        <f>AVERAGEIFS('Data(perSeason,perCrop)'!$G:$G,'Data(perSeason,perCrop)'!$S:$S,Indicators!$B103,'Data(perSeason,perCrop)'!$O:$O,Indicators!CY$7,'Data(perSeason,perCrop)'!$C:$C,Indicators!CY$3,'Data(perSeason,perCrop)'!$R:$R,"IRRIGATED")</f>
        <v>#DIV/0!</v>
      </c>
      <c r="CZ103" s="7" t="e">
        <f>AVERAGEIFS('Data(perSeason,perCrop)'!$G:$G,'Data(perSeason,perCrop)'!$S:$S,Indicators!$B103,'Data(perSeason,perCrop)'!$O:$O,Indicators!CZ$7,'Data(perSeason,perCrop)'!$C:$C,Indicators!CZ$3,'Data(perSeason,perCrop)'!$R:$R,"IRRIGATED")</f>
        <v>#DIV/0!</v>
      </c>
      <c r="DA103" s="7" t="e">
        <f>AVERAGEIFS('Data(perSeason,perCrop)'!$G:$G,'Data(perSeason,perCrop)'!$S:$S,Indicators!$B103,'Data(perSeason,perCrop)'!$O:$O,Indicators!DA$7,'Data(perSeason,perCrop)'!$C:$C,Indicators!DA$3,'Data(perSeason,perCrop)'!$R:$R,"IRRIGATED")</f>
        <v>#DIV/0!</v>
      </c>
      <c r="DB103" s="7" t="e">
        <f>AVERAGEIFS('Data(perSeason,perCrop)'!$G:$G,'Data(perSeason,perCrop)'!$S:$S,Indicators!$B103,'Data(perSeason,perCrop)'!$O:$O,Indicators!DB$7,'Data(perSeason,perCrop)'!$C:$C,Indicators!DB$3,'Data(perSeason,perCrop)'!$R:$R,"IRRIGATED")</f>
        <v>#DIV/0!</v>
      </c>
      <c r="DC103" s="7" t="e">
        <f>AVERAGEIFS('Data(perSeason,perCrop)'!$G:$G,'Data(perSeason,perCrop)'!$S:$S,Indicators!$B103,'Data(perSeason,perCrop)'!$O:$O,Indicators!DC$7,'Data(perSeason,perCrop)'!$C:$C,Indicators!DC$3,'Data(perSeason,perCrop)'!$R:$R,"IRRIGATED")</f>
        <v>#DIV/0!</v>
      </c>
      <c r="DD103" s="7" t="e">
        <f>AVERAGEIFS('Data(perSeason,perCrop)'!$G:$G,'Data(perSeason,perCrop)'!$S:$S,Indicators!$B103,'Data(perSeason,perCrop)'!$O:$O,Indicators!DD$7,'Data(perSeason,perCrop)'!$C:$C,Indicators!DD$3,'Data(perSeason,perCrop)'!$R:$R,"IRRIGATED")</f>
        <v>#DIV/0!</v>
      </c>
      <c r="DE103" s="7" t="e">
        <f>AVERAGEIFS('Data(perSeason,perCrop)'!$G:$G,'Data(perSeason,perCrop)'!$S:$S,Indicators!$B103,'Data(perSeason,perCrop)'!$O:$O,Indicators!DE$7,'Data(perSeason,perCrop)'!$C:$C,Indicators!DE$3,'Data(perSeason,perCrop)'!$R:$R,"IRRIGATED")</f>
        <v>#DIV/0!</v>
      </c>
      <c r="DF103" s="7" t="e">
        <f>AVERAGEIFS('Data(perSeason,perCrop)'!$G:$G,'Data(perSeason,perCrop)'!$S:$S,Indicators!$B103,'Data(perSeason,perCrop)'!$O:$O,Indicators!DF$7,'Data(perSeason,perCrop)'!$C:$C,Indicators!DF$3,'Data(perSeason,perCrop)'!$R:$R,"IRRIGATED")</f>
        <v>#DIV/0!</v>
      </c>
      <c r="DG103" s="7" t="e">
        <f>AVERAGEIFS('Data(perSeason,perCrop)'!$G:$G,'Data(perSeason,perCrop)'!$S:$S,Indicators!$B103,'Data(perSeason,perCrop)'!$O:$O,Indicators!DG$7,'Data(perSeason,perCrop)'!$C:$C,Indicators!DG$3,'Data(perSeason,perCrop)'!$R:$R,"IRRIGATED")</f>
        <v>#DIV/0!</v>
      </c>
    </row>
    <row r="104" spans="1:111" x14ac:dyDescent="0.25">
      <c r="B104">
        <v>2022</v>
      </c>
      <c r="C104" s="8">
        <f>IF(COUNTIFS('Data(perSeason,perCrop)'!$S:$S,Indicators!$B104)&gt;0,SUM(S111:AW111),"")</f>
        <v>2.7980706666036932</v>
      </c>
      <c r="D104" s="8">
        <f>IF(COUNTIFS('Data(perSeason,perCrop)'!$S:$S,Indicators!$B104)&gt;0,SUM(AX111:CB111),"")</f>
        <v>1.8252651592150511</v>
      </c>
      <c r="E104" s="8">
        <f>IF(COUNTIFS('Data(perSeason,perCrop)'!$S:$S,Indicators!$B104)&gt;0,SUM(CC111:DG111),"")</f>
        <v>7.5949780305405401</v>
      </c>
      <c r="F104" s="8">
        <f>IF(COUNTIFS('Data(perSeason,perCrop)'!$S:$S,Indicators!$B104)&gt;0,SUMIFS('Data(perCrop)'!$Q:$Q,'Data(perCrop)'!$O:$O,Indicators!$B104),"")</f>
        <v>12.483077717067207</v>
      </c>
      <c r="G104" s="8"/>
      <c r="H104" s="8"/>
      <c r="J104" s="2" t="s">
        <v>113</v>
      </c>
      <c r="K104" s="7" t="e">
        <f>AVERAGEIFS('Data(perSeason,perCrop)'!$G:$G,'Data(perSeason,perCrop)'!$S:$S,Indicators!$B104,'Data(perSeason,perCrop)'!$O:$O,Indicators!K$7,'Data(perSeason,perCrop)'!$C:$C,Indicators!K$3,'Data(perSeason,perCrop)'!$R:$R,"IRRIGATED")</f>
        <v>#DIV/0!</v>
      </c>
      <c r="L104" s="7" t="e">
        <f>AVERAGEIFS('Data(perSeason,perCrop)'!$G:$G,'Data(perSeason,perCrop)'!$S:$S,Indicators!$B104,'Data(perSeason,perCrop)'!$O:$O,Indicators!L$7,'Data(perSeason,perCrop)'!$C:$C,Indicators!L$3,'Data(perSeason,perCrop)'!$R:$R,"IRRIGATED")</f>
        <v>#DIV/0!</v>
      </c>
      <c r="M104" s="7" t="e">
        <f>AVERAGEIFS('Data(perSeason,perCrop)'!$G:$G,'Data(perSeason,perCrop)'!$S:$S,Indicators!$B104,'Data(perSeason,perCrop)'!$O:$O,Indicators!M$7,'Data(perSeason,perCrop)'!$C:$C,Indicators!M$3,'Data(perSeason,perCrop)'!$R:$R,"IRRIGATED")</f>
        <v>#DIV/0!</v>
      </c>
      <c r="N104" s="7">
        <f>AVERAGEIFS('Data(perSeason,perCrop)'!$G:$G,'Data(perSeason,perCrop)'!$S:$S,Indicators!$B104,'Data(perSeason,perCrop)'!$O:$O,Indicators!N$7,'Data(perSeason,perCrop)'!$C:$C,Indicators!N$3,'Data(perSeason,perCrop)'!$R:$R,"IRRIGATED")</f>
        <v>241</v>
      </c>
      <c r="O104" s="7">
        <f>AVERAGEIFS('Data(perSeason,perCrop)'!$G:$G,'Data(perSeason,perCrop)'!$S:$S,Indicators!$B104,'Data(perSeason,perCrop)'!$O:$O,Indicators!O$7,'Data(perSeason,perCrop)'!$C:$C,Indicators!O$3,'Data(perSeason,perCrop)'!$R:$R,"IRRIGATED")</f>
        <v>44</v>
      </c>
      <c r="P104" s="7" t="e">
        <f>AVERAGEIFS('Data(perSeason,perCrop)'!$G:$G,'Data(perSeason,perCrop)'!$S:$S,Indicators!$B104,'Data(perSeason,perCrop)'!$O:$O,Indicators!P$7,'Data(perSeason,perCrop)'!$C:$C,Indicators!P$3,'Data(perSeason,perCrop)'!$R:$R,"IRRIGATED")</f>
        <v>#DIV/0!</v>
      </c>
      <c r="Q104" s="7">
        <f>AVERAGEIFS('Data(perSeason,perCrop)'!$G:$G,'Data(perSeason,perCrop)'!$S:$S,Indicators!$B104,'Data(perSeason,perCrop)'!$O:$O,Indicators!Q$7,'Data(perSeason,perCrop)'!$C:$C,Indicators!Q$3,'Data(perSeason,perCrop)'!$R:$R,"IRRIGATED")</f>
        <v>213</v>
      </c>
      <c r="R104" s="7" t="e">
        <f>AVERAGEIFS('Data(perSeason,perCrop)'!$G:$G,'Data(perSeason,perCrop)'!$S:$S,Indicators!$B104,'Data(perSeason,perCrop)'!$O:$O,Indicators!R$7,'Data(perSeason,perCrop)'!$C:$C,Indicators!R$3,'Data(perSeason,perCrop)'!$R:$R,"IRRIGATED")</f>
        <v>#DIV/0!</v>
      </c>
      <c r="S104" s="62" t="e">
        <f>AVERAGEIFS('Data(perSeason,perCrop)'!$G:$G,'Data(perSeason,perCrop)'!$S:$S,Indicators!$B104,'Data(perSeason,perCrop)'!$O:$O,Indicators!S$7,'Data(perSeason,perCrop)'!$C:$C,Indicators!S$3,'Data(perSeason,perCrop)'!$R:$R,"IRRIGATED")</f>
        <v>#DIV/0!</v>
      </c>
      <c r="T104" s="62">
        <f>AVERAGEIFS('Data(perSeason,perCrop)'!$G:$G,'Data(perSeason,perCrop)'!$S:$S,Indicators!$B104,'Data(perSeason,perCrop)'!$O:$O,Indicators!T$7,'Data(perSeason,perCrop)'!$C:$C,Indicators!T$3,'Data(perSeason,perCrop)'!$R:$R,"IRRIGATED")</f>
        <v>42</v>
      </c>
      <c r="U104" s="62" t="e">
        <f>AVERAGEIFS('Data(perSeason,perCrop)'!$G:$G,'Data(perSeason,perCrop)'!$S:$S,Indicators!$B104,'Data(perSeason,perCrop)'!$O:$O,Indicators!U$7,'Data(perSeason,perCrop)'!$C:$C,Indicators!U$3,'Data(perSeason,perCrop)'!$R:$R,"IRRIGATED")</f>
        <v>#DIV/0!</v>
      </c>
      <c r="V104" s="62" t="e">
        <f>AVERAGEIFS('Data(perSeason,perCrop)'!$G:$G,'Data(perSeason,perCrop)'!$S:$S,Indicators!$B104,'Data(perSeason,perCrop)'!$O:$O,Indicators!V$7,'Data(perSeason,perCrop)'!$C:$C,Indicators!V$3,'Data(perSeason,perCrop)'!$R:$R,"IRRIGATED")</f>
        <v>#DIV/0!</v>
      </c>
      <c r="W104" s="62" t="e">
        <f>AVERAGEIFS('Data(perSeason,perCrop)'!$G:$G,'Data(perSeason,perCrop)'!$S:$S,Indicators!$B104,'Data(perSeason,perCrop)'!$O:$O,Indicators!W$7,'Data(perSeason,perCrop)'!$C:$C,Indicators!W$3,'Data(perSeason,perCrop)'!$R:$R,"IRRIGATED")</f>
        <v>#DIV/0!</v>
      </c>
      <c r="X104" s="62" t="e">
        <f>AVERAGEIFS('Data(perSeason,perCrop)'!$G:$G,'Data(perSeason,perCrop)'!$S:$S,Indicators!$B104,'Data(perSeason,perCrop)'!$O:$O,Indicators!X$7,'Data(perSeason,perCrop)'!$C:$C,Indicators!X$3,'Data(perSeason,perCrop)'!$R:$R,"IRRIGATED")</f>
        <v>#DIV/0!</v>
      </c>
      <c r="Y104" s="62" t="e">
        <f>AVERAGEIFS('Data(perSeason,perCrop)'!$G:$G,'Data(perSeason,perCrop)'!$S:$S,Indicators!$B104,'Data(perSeason,perCrop)'!$O:$O,Indicators!Y$7,'Data(perSeason,perCrop)'!$C:$C,Indicators!Y$3,'Data(perSeason,perCrop)'!$R:$R,"IRRIGATED")</f>
        <v>#DIV/0!</v>
      </c>
      <c r="Z104" s="62" t="e">
        <f>AVERAGEIFS('Data(perSeason,perCrop)'!$G:$G,'Data(perSeason,perCrop)'!$S:$S,Indicators!$B104,'Data(perSeason,perCrop)'!$O:$O,Indicators!Z$7,'Data(perSeason,perCrop)'!$C:$C,Indicators!Z$3,'Data(perSeason,perCrop)'!$R:$R,"IRRIGATED")</f>
        <v>#DIV/0!</v>
      </c>
      <c r="AA104" s="62" t="e">
        <f>AVERAGEIFS('Data(perSeason,perCrop)'!$G:$G,'Data(perSeason,perCrop)'!$S:$S,Indicators!$B104,'Data(perSeason,perCrop)'!$O:$O,Indicators!AA$7,'Data(perSeason,perCrop)'!$C:$C,Indicators!AA$3,'Data(perSeason,perCrop)'!$R:$R,"IRRIGATED")</f>
        <v>#DIV/0!</v>
      </c>
      <c r="AB104" s="62" t="e">
        <f>AVERAGEIFS('Data(perSeason,perCrop)'!$G:$G,'Data(perSeason,perCrop)'!$S:$S,Indicators!$B104,'Data(perSeason,perCrop)'!$O:$O,Indicators!AB$7,'Data(perSeason,perCrop)'!$C:$C,Indicators!AB$3,'Data(perSeason,perCrop)'!$R:$R,"IRRIGATED")</f>
        <v>#DIV/0!</v>
      </c>
      <c r="AC104" s="62" t="e">
        <f>AVERAGEIFS('Data(perSeason,perCrop)'!$G:$G,'Data(perSeason,perCrop)'!$S:$S,Indicators!$B104,'Data(perSeason,perCrop)'!$O:$O,Indicators!AC$7,'Data(perSeason,perCrop)'!$C:$C,Indicators!AC$3,'Data(perSeason,perCrop)'!$R:$R,"IRRIGATED")</f>
        <v>#DIV/0!</v>
      </c>
      <c r="AD104" s="62" t="e">
        <f>AVERAGEIFS('Data(perSeason,perCrop)'!$G:$G,'Data(perSeason,perCrop)'!$S:$S,Indicators!$B104,'Data(perSeason,perCrop)'!$O:$O,Indicators!AD$7,'Data(perSeason,perCrop)'!$C:$C,Indicators!AD$3,'Data(perSeason,perCrop)'!$R:$R,"IRRIGATED")</f>
        <v>#DIV/0!</v>
      </c>
      <c r="AE104" s="62" t="e">
        <f>AVERAGEIFS('Data(perSeason,perCrop)'!$G:$G,'Data(perSeason,perCrop)'!$S:$S,Indicators!$B104,'Data(perSeason,perCrop)'!$O:$O,Indicators!AE$7,'Data(perSeason,perCrop)'!$C:$C,Indicators!AE$3,'Data(perSeason,perCrop)'!$R:$R,"IRRIGATED")</f>
        <v>#DIV/0!</v>
      </c>
      <c r="AF104" s="62">
        <f>AVERAGEIFS('Data(perSeason,perCrop)'!$G:$G,'Data(perSeason,perCrop)'!$S:$S,Indicators!$B104,'Data(perSeason,perCrop)'!$O:$O,Indicators!AF$7,'Data(perSeason,perCrop)'!$C:$C,Indicators!AF$3,'Data(perSeason,perCrop)'!$R:$R,"IRRIGATED")</f>
        <v>123</v>
      </c>
      <c r="AG104" s="62">
        <f>AVERAGEIFS('Data(perSeason,perCrop)'!$G:$G,'Data(perSeason,perCrop)'!$S:$S,Indicators!$B104,'Data(perSeason,perCrop)'!$O:$O,Indicators!AG$7,'Data(perSeason,perCrop)'!$C:$C,Indicators!AG$3,'Data(perSeason,perCrop)'!$R:$R,"IRRIGATED")</f>
        <v>65</v>
      </c>
      <c r="AH104" s="62" t="e">
        <f>AVERAGEIFS('Data(perSeason,perCrop)'!$G:$G,'Data(perSeason,perCrop)'!$S:$S,Indicators!$B104,'Data(perSeason,perCrop)'!$O:$O,Indicators!AH$7,'Data(perSeason,perCrop)'!$C:$C,Indicators!AH$3,'Data(perSeason,perCrop)'!$R:$R,"IRRIGATED")</f>
        <v>#DIV/0!</v>
      </c>
      <c r="AI104" s="62">
        <f>AVERAGEIFS('Data(perSeason,perCrop)'!$G:$G,'Data(perSeason,perCrop)'!$S:$S,Indicators!$B104,'Data(perSeason,perCrop)'!$O:$O,Indicators!AI$7,'Data(perSeason,perCrop)'!$C:$C,Indicators!AI$3,'Data(perSeason,perCrop)'!$R:$R,"IRRIGATED")</f>
        <v>50</v>
      </c>
      <c r="AJ104" s="62" t="e">
        <f>AVERAGEIFS('Data(perSeason,perCrop)'!$G:$G,'Data(perSeason,perCrop)'!$S:$S,Indicators!$B104,'Data(perSeason,perCrop)'!$O:$O,Indicators!AJ$7,'Data(perSeason,perCrop)'!$C:$C,Indicators!AJ$3,'Data(perSeason,perCrop)'!$R:$R,"IRRIGATED")</f>
        <v>#DIV/0!</v>
      </c>
      <c r="AK104" s="62" t="e">
        <f>AVERAGEIFS('Data(perSeason,perCrop)'!$G:$G,'Data(perSeason,perCrop)'!$S:$S,Indicators!$B104,'Data(perSeason,perCrop)'!$O:$O,Indicators!AK$7,'Data(perSeason,perCrop)'!$C:$C,Indicators!AK$3,'Data(perSeason,perCrop)'!$R:$R,"IRRIGATED")</f>
        <v>#DIV/0!</v>
      </c>
      <c r="AL104" s="62">
        <f>AVERAGEIFS('Data(perSeason,perCrop)'!$G:$G,'Data(perSeason,perCrop)'!$S:$S,Indicators!$B104,'Data(perSeason,perCrop)'!$O:$O,Indicators!AL$7,'Data(perSeason,perCrop)'!$C:$C,Indicators!AL$3,'Data(perSeason,perCrop)'!$R:$R,"IRRIGATED")</f>
        <v>59</v>
      </c>
      <c r="AM104" s="62" t="e">
        <f>AVERAGEIFS('Data(perSeason,perCrop)'!$G:$G,'Data(perSeason,perCrop)'!$S:$S,Indicators!$B104,'Data(perSeason,perCrop)'!$O:$O,Indicators!AM$7,'Data(perSeason,perCrop)'!$C:$C,Indicators!AM$3,'Data(perSeason,perCrop)'!$R:$R,"IRRIGATED")</f>
        <v>#DIV/0!</v>
      </c>
      <c r="AN104" s="62" t="e">
        <f>AVERAGEIFS('Data(perSeason,perCrop)'!$G:$G,'Data(perSeason,perCrop)'!$S:$S,Indicators!$B104,'Data(perSeason,perCrop)'!$O:$O,Indicators!AN$7,'Data(perSeason,perCrop)'!$C:$C,Indicators!AN$3,'Data(perSeason,perCrop)'!$R:$R,"IRRIGATED")</f>
        <v>#DIV/0!</v>
      </c>
      <c r="AO104" s="62" t="e">
        <f>AVERAGEIFS('Data(perSeason,perCrop)'!$G:$G,'Data(perSeason,perCrop)'!$S:$S,Indicators!$B104,'Data(perSeason,perCrop)'!$O:$O,Indicators!AO$7,'Data(perSeason,perCrop)'!$C:$C,Indicators!AO$3,'Data(perSeason,perCrop)'!$R:$R,"IRRIGATED")</f>
        <v>#DIV/0!</v>
      </c>
      <c r="AP104" s="62" t="e">
        <f>AVERAGEIFS('Data(perSeason,perCrop)'!$G:$G,'Data(perSeason,perCrop)'!$S:$S,Indicators!$B104,'Data(perSeason,perCrop)'!$O:$O,Indicators!AP$7,'Data(perSeason,perCrop)'!$C:$C,Indicators!AP$3,'Data(perSeason,perCrop)'!$R:$R,"IRRIGATED")</f>
        <v>#DIV/0!</v>
      </c>
      <c r="AQ104" s="62" t="e">
        <f>AVERAGEIFS('Data(perSeason,perCrop)'!$G:$G,'Data(perSeason,perCrop)'!$S:$S,Indicators!$B104,'Data(perSeason,perCrop)'!$O:$O,Indicators!AQ$7,'Data(perSeason,perCrop)'!$C:$C,Indicators!AQ$3,'Data(perSeason,perCrop)'!$R:$R,"IRRIGATED")</f>
        <v>#DIV/0!</v>
      </c>
      <c r="AR104" s="62" t="e">
        <f>AVERAGEIFS('Data(perSeason,perCrop)'!$G:$G,'Data(perSeason,perCrop)'!$S:$S,Indicators!$B104,'Data(perSeason,perCrop)'!$O:$O,Indicators!AR$7,'Data(perSeason,perCrop)'!$C:$C,Indicators!AR$3,'Data(perSeason,perCrop)'!$R:$R,"IRRIGATED")</f>
        <v>#DIV/0!</v>
      </c>
      <c r="AS104" s="62" t="e">
        <f>AVERAGEIFS('Data(perSeason,perCrop)'!$G:$G,'Data(perSeason,perCrop)'!$S:$S,Indicators!$B104,'Data(perSeason,perCrop)'!$O:$O,Indicators!AS$7,'Data(perSeason,perCrop)'!$C:$C,Indicators!AS$3,'Data(perSeason,perCrop)'!$R:$R,"IRRIGATED")</f>
        <v>#DIV/0!</v>
      </c>
      <c r="AT104" s="62" t="e">
        <f>AVERAGEIFS('Data(perSeason,perCrop)'!$G:$G,'Data(perSeason,perCrop)'!$S:$S,Indicators!$B104,'Data(perSeason,perCrop)'!$O:$O,Indicators!AT$7,'Data(perSeason,perCrop)'!$C:$C,Indicators!AT$3,'Data(perSeason,perCrop)'!$R:$R,"IRRIGATED")</f>
        <v>#DIV/0!</v>
      </c>
      <c r="AU104" s="62" t="e">
        <f>AVERAGEIFS('Data(perSeason,perCrop)'!$G:$G,'Data(perSeason,perCrop)'!$S:$S,Indicators!$B104,'Data(perSeason,perCrop)'!$O:$O,Indicators!AU$7,'Data(perSeason,perCrop)'!$C:$C,Indicators!AU$3,'Data(perSeason,perCrop)'!$R:$R,"IRRIGATED")</f>
        <v>#DIV/0!</v>
      </c>
      <c r="AV104" s="62" t="e">
        <f>AVERAGEIFS('Data(perSeason,perCrop)'!$G:$G,'Data(perSeason,perCrop)'!$S:$S,Indicators!$B104,'Data(perSeason,perCrop)'!$O:$O,Indicators!AV$7,'Data(perSeason,perCrop)'!$C:$C,Indicators!AV$3,'Data(perSeason,perCrop)'!$R:$R,"IRRIGATED")</f>
        <v>#DIV/0!</v>
      </c>
      <c r="AW104" s="62" t="e">
        <f>AVERAGEIFS('Data(perSeason,perCrop)'!$G:$G,'Data(perSeason,perCrop)'!$S:$S,Indicators!$B104,'Data(perSeason,perCrop)'!$O:$O,Indicators!AW$7,'Data(perSeason,perCrop)'!$C:$C,Indicators!AW$3,'Data(perSeason,perCrop)'!$R:$R,"IRRIGATED")</f>
        <v>#DIV/0!</v>
      </c>
      <c r="AX104" s="7" t="e">
        <f>AVERAGEIFS('Data(perSeason,perCrop)'!$G:$G,'Data(perSeason,perCrop)'!$S:$S,Indicators!$B104,'Data(perSeason,perCrop)'!$O:$O,Indicators!AX$7,'Data(perSeason,perCrop)'!$C:$C,Indicators!AX$3,'Data(perSeason,perCrop)'!$R:$R,"IRRIGATED")</f>
        <v>#DIV/0!</v>
      </c>
      <c r="AY104" s="7">
        <f>AVERAGEIFS('Data(perSeason,perCrop)'!$G:$G,'Data(perSeason,perCrop)'!$S:$S,Indicators!$B104,'Data(perSeason,perCrop)'!$O:$O,Indicators!AY$7,'Data(perSeason,perCrop)'!$C:$C,Indicators!AY$3,'Data(perSeason,perCrop)'!$R:$R,"IRRIGATED")</f>
        <v>24</v>
      </c>
      <c r="AZ104" s="7" t="e">
        <f>AVERAGEIFS('Data(perSeason,perCrop)'!$G:$G,'Data(perSeason,perCrop)'!$S:$S,Indicators!$B104,'Data(perSeason,perCrop)'!$O:$O,Indicators!AZ$7,'Data(perSeason,perCrop)'!$C:$C,Indicators!AZ$3,'Data(perSeason,perCrop)'!$R:$R,"IRRIGATED")</f>
        <v>#DIV/0!</v>
      </c>
      <c r="BA104" s="7" t="e">
        <f>AVERAGEIFS('Data(perSeason,perCrop)'!$G:$G,'Data(perSeason,perCrop)'!$S:$S,Indicators!$B104,'Data(perSeason,perCrop)'!$O:$O,Indicators!BA$7,'Data(perSeason,perCrop)'!$C:$C,Indicators!BA$3,'Data(perSeason,perCrop)'!$R:$R,"IRRIGATED")</f>
        <v>#DIV/0!</v>
      </c>
      <c r="BB104" s="7" t="e">
        <f>AVERAGEIFS('Data(perSeason,perCrop)'!$G:$G,'Data(perSeason,perCrop)'!$S:$S,Indicators!$B104,'Data(perSeason,perCrop)'!$O:$O,Indicators!BB$7,'Data(perSeason,perCrop)'!$C:$C,Indicators!BB$3,'Data(perSeason,perCrop)'!$R:$R,"IRRIGATED")</f>
        <v>#DIV/0!</v>
      </c>
      <c r="BC104" s="7" t="e">
        <f>AVERAGEIFS('Data(perSeason,perCrop)'!$G:$G,'Data(perSeason,perCrop)'!$S:$S,Indicators!$B104,'Data(perSeason,perCrop)'!$O:$O,Indicators!BC$7,'Data(perSeason,perCrop)'!$C:$C,Indicators!BC$3,'Data(perSeason,perCrop)'!$R:$R,"IRRIGATED")</f>
        <v>#DIV/0!</v>
      </c>
      <c r="BD104" s="7" t="e">
        <f>AVERAGEIFS('Data(perSeason,perCrop)'!$G:$G,'Data(perSeason,perCrop)'!$S:$S,Indicators!$B104,'Data(perSeason,perCrop)'!$O:$O,Indicators!BD$7,'Data(perSeason,perCrop)'!$C:$C,Indicators!BD$3,'Data(perSeason,perCrop)'!$R:$R,"IRRIGATED")</f>
        <v>#DIV/0!</v>
      </c>
      <c r="BE104" s="7" t="e">
        <f>AVERAGEIFS('Data(perSeason,perCrop)'!$G:$G,'Data(perSeason,perCrop)'!$S:$S,Indicators!$B104,'Data(perSeason,perCrop)'!$O:$O,Indicators!BE$7,'Data(perSeason,perCrop)'!$C:$C,Indicators!BE$3,'Data(perSeason,perCrop)'!$R:$R,"IRRIGATED")</f>
        <v>#DIV/0!</v>
      </c>
      <c r="BF104" s="7" t="e">
        <f>AVERAGEIFS('Data(perSeason,perCrop)'!$G:$G,'Data(perSeason,perCrop)'!$S:$S,Indicators!$B104,'Data(perSeason,perCrop)'!$O:$O,Indicators!BF$7,'Data(perSeason,perCrop)'!$C:$C,Indicators!BF$3,'Data(perSeason,perCrop)'!$R:$R,"IRRIGATED")</f>
        <v>#DIV/0!</v>
      </c>
      <c r="BG104" s="7" t="e">
        <f>AVERAGEIFS('Data(perSeason,perCrop)'!$G:$G,'Data(perSeason,perCrop)'!$S:$S,Indicators!$B104,'Data(perSeason,perCrop)'!$O:$O,Indicators!BG$7,'Data(perSeason,perCrop)'!$C:$C,Indicators!BG$3,'Data(perSeason,perCrop)'!$R:$R,"IRRIGATED")</f>
        <v>#DIV/0!</v>
      </c>
      <c r="BH104" s="7" t="e">
        <f>AVERAGEIFS('Data(perSeason,perCrop)'!$G:$G,'Data(perSeason,perCrop)'!$S:$S,Indicators!$B104,'Data(perSeason,perCrop)'!$O:$O,Indicators!BH$7,'Data(perSeason,perCrop)'!$C:$C,Indicators!BH$3,'Data(perSeason,perCrop)'!$R:$R,"IRRIGATED")</f>
        <v>#DIV/0!</v>
      </c>
      <c r="BI104" s="7" t="e">
        <f>AVERAGEIFS('Data(perSeason,perCrop)'!$G:$G,'Data(perSeason,perCrop)'!$S:$S,Indicators!$B104,'Data(perSeason,perCrop)'!$O:$O,Indicators!BI$7,'Data(perSeason,perCrop)'!$C:$C,Indicators!BI$3,'Data(perSeason,perCrop)'!$R:$R,"IRRIGATED")</f>
        <v>#DIV/0!</v>
      </c>
      <c r="BJ104" s="7" t="e">
        <f>AVERAGEIFS('Data(perSeason,perCrop)'!$G:$G,'Data(perSeason,perCrop)'!$S:$S,Indicators!$B104,'Data(perSeason,perCrop)'!$O:$O,Indicators!BJ$7,'Data(perSeason,perCrop)'!$C:$C,Indicators!BJ$3,'Data(perSeason,perCrop)'!$R:$R,"IRRIGATED")</f>
        <v>#DIV/0!</v>
      </c>
      <c r="BK104" s="7" t="e">
        <f>AVERAGEIFS('Data(perSeason,perCrop)'!$G:$G,'Data(perSeason,perCrop)'!$S:$S,Indicators!$B104,'Data(perSeason,perCrop)'!$O:$O,Indicators!BK$7,'Data(perSeason,perCrop)'!$C:$C,Indicators!BK$3,'Data(perSeason,perCrop)'!$R:$R,"IRRIGATED")</f>
        <v>#DIV/0!</v>
      </c>
      <c r="BL104" s="7">
        <f>AVERAGEIFS('Data(perSeason,perCrop)'!$G:$G,'Data(perSeason,perCrop)'!$S:$S,Indicators!$B104,'Data(perSeason,perCrop)'!$O:$O,Indicators!BL$7,'Data(perSeason,perCrop)'!$C:$C,Indicators!BL$3,'Data(perSeason,perCrop)'!$R:$R,"IRRIGATED")</f>
        <v>27</v>
      </c>
      <c r="BM104" s="7" t="e">
        <f>AVERAGEIFS('Data(perSeason,perCrop)'!$G:$G,'Data(perSeason,perCrop)'!$S:$S,Indicators!$B104,'Data(perSeason,perCrop)'!$O:$O,Indicators!BM$7,'Data(perSeason,perCrop)'!$C:$C,Indicators!BM$3,'Data(perSeason,perCrop)'!$R:$R,"IRRIGATED")</f>
        <v>#DIV/0!</v>
      </c>
      <c r="BN104" s="7">
        <f>AVERAGEIFS('Data(perSeason,perCrop)'!$G:$G,'Data(perSeason,perCrop)'!$S:$S,Indicators!$B104,'Data(perSeason,perCrop)'!$O:$O,Indicators!BN$7,'Data(perSeason,perCrop)'!$C:$C,Indicators!BN$3,'Data(perSeason,perCrop)'!$R:$R,"IRRIGATED")</f>
        <v>22</v>
      </c>
      <c r="BO104" s="7" t="e">
        <f>AVERAGEIFS('Data(perSeason,perCrop)'!$G:$G,'Data(perSeason,perCrop)'!$S:$S,Indicators!$B104,'Data(perSeason,perCrop)'!$O:$O,Indicators!BO$7,'Data(perSeason,perCrop)'!$C:$C,Indicators!BO$3,'Data(perSeason,perCrop)'!$R:$R,"IRRIGATED")</f>
        <v>#DIV/0!</v>
      </c>
      <c r="BP104" s="7" t="e">
        <f>AVERAGEIFS('Data(perSeason,perCrop)'!$G:$G,'Data(perSeason,perCrop)'!$S:$S,Indicators!$B104,'Data(perSeason,perCrop)'!$O:$O,Indicators!BP$7,'Data(perSeason,perCrop)'!$C:$C,Indicators!BP$3,'Data(perSeason,perCrop)'!$R:$R,"IRRIGATED")</f>
        <v>#DIV/0!</v>
      </c>
      <c r="BQ104" s="7">
        <f>AVERAGEIFS('Data(perSeason,perCrop)'!$G:$G,'Data(perSeason,perCrop)'!$S:$S,Indicators!$B104,'Data(perSeason,perCrop)'!$O:$O,Indicators!BQ$7,'Data(perSeason,perCrop)'!$C:$C,Indicators!BQ$3,'Data(perSeason,perCrop)'!$R:$R,"IRRIGATED")</f>
        <v>33</v>
      </c>
      <c r="BR104" s="7" t="e">
        <f>AVERAGEIFS('Data(perSeason,perCrop)'!$G:$G,'Data(perSeason,perCrop)'!$S:$S,Indicators!$B104,'Data(perSeason,perCrop)'!$O:$O,Indicators!BR$7,'Data(perSeason,perCrop)'!$C:$C,Indicators!BR$3,'Data(perSeason,perCrop)'!$R:$R,"IRRIGATED")</f>
        <v>#DIV/0!</v>
      </c>
      <c r="BS104" s="7" t="e">
        <f>AVERAGEIFS('Data(perSeason,perCrop)'!$G:$G,'Data(perSeason,perCrop)'!$S:$S,Indicators!$B104,'Data(perSeason,perCrop)'!$O:$O,Indicators!BS$7,'Data(perSeason,perCrop)'!$C:$C,Indicators!BS$3,'Data(perSeason,perCrop)'!$R:$R,"IRRIGATED")</f>
        <v>#DIV/0!</v>
      </c>
      <c r="BT104" s="7" t="e">
        <f>AVERAGEIFS('Data(perSeason,perCrop)'!$G:$G,'Data(perSeason,perCrop)'!$S:$S,Indicators!$B104,'Data(perSeason,perCrop)'!$O:$O,Indicators!BT$7,'Data(perSeason,perCrop)'!$C:$C,Indicators!BT$3,'Data(perSeason,perCrop)'!$R:$R,"IRRIGATED")</f>
        <v>#DIV/0!</v>
      </c>
      <c r="BU104" s="7" t="e">
        <f>AVERAGEIFS('Data(perSeason,perCrop)'!$G:$G,'Data(perSeason,perCrop)'!$S:$S,Indicators!$B104,'Data(perSeason,perCrop)'!$O:$O,Indicators!BU$7,'Data(perSeason,perCrop)'!$C:$C,Indicators!BU$3,'Data(perSeason,perCrop)'!$R:$R,"IRRIGATED")</f>
        <v>#DIV/0!</v>
      </c>
      <c r="BV104" s="7" t="e">
        <f>AVERAGEIFS('Data(perSeason,perCrop)'!$G:$G,'Data(perSeason,perCrop)'!$S:$S,Indicators!$B104,'Data(perSeason,perCrop)'!$O:$O,Indicators!BV$7,'Data(perSeason,perCrop)'!$C:$C,Indicators!BV$3,'Data(perSeason,perCrop)'!$R:$R,"IRRIGATED")</f>
        <v>#DIV/0!</v>
      </c>
      <c r="BW104" s="7" t="e">
        <f>AVERAGEIFS('Data(perSeason,perCrop)'!$G:$G,'Data(perSeason,perCrop)'!$S:$S,Indicators!$B104,'Data(perSeason,perCrop)'!$O:$O,Indicators!BW$7,'Data(perSeason,perCrop)'!$C:$C,Indicators!BW$3,'Data(perSeason,perCrop)'!$R:$R,"IRRIGATED")</f>
        <v>#DIV/0!</v>
      </c>
      <c r="BX104" s="7" t="e">
        <f>AVERAGEIFS('Data(perSeason,perCrop)'!$G:$G,'Data(perSeason,perCrop)'!$S:$S,Indicators!$B104,'Data(perSeason,perCrop)'!$O:$O,Indicators!BX$7,'Data(perSeason,perCrop)'!$C:$C,Indicators!BX$3,'Data(perSeason,perCrop)'!$R:$R,"IRRIGATED")</f>
        <v>#DIV/0!</v>
      </c>
      <c r="BY104" s="7" t="e">
        <f>AVERAGEIFS('Data(perSeason,perCrop)'!$G:$G,'Data(perSeason,perCrop)'!$S:$S,Indicators!$B104,'Data(perSeason,perCrop)'!$O:$O,Indicators!BY$7,'Data(perSeason,perCrop)'!$C:$C,Indicators!BY$3,'Data(perSeason,perCrop)'!$R:$R,"IRRIGATED")</f>
        <v>#DIV/0!</v>
      </c>
      <c r="BZ104" s="7" t="e">
        <f>AVERAGEIFS('Data(perSeason,perCrop)'!$G:$G,'Data(perSeason,perCrop)'!$S:$S,Indicators!$B104,'Data(perSeason,perCrop)'!$O:$O,Indicators!BZ$7,'Data(perSeason,perCrop)'!$C:$C,Indicators!BZ$3,'Data(perSeason,perCrop)'!$R:$R,"IRRIGATED")</f>
        <v>#DIV/0!</v>
      </c>
      <c r="CA104" s="7" t="e">
        <f>AVERAGEIFS('Data(perSeason,perCrop)'!$G:$G,'Data(perSeason,perCrop)'!$S:$S,Indicators!$B104,'Data(perSeason,perCrop)'!$O:$O,Indicators!CA$7,'Data(perSeason,perCrop)'!$C:$C,Indicators!CA$3,'Data(perSeason,perCrop)'!$R:$R,"IRRIGATED")</f>
        <v>#DIV/0!</v>
      </c>
      <c r="CB104" s="7" t="e">
        <f>AVERAGEIFS('Data(perSeason,perCrop)'!$G:$G,'Data(perSeason,perCrop)'!$S:$S,Indicators!$B104,'Data(perSeason,perCrop)'!$O:$O,Indicators!CB$7,'Data(perSeason,perCrop)'!$C:$C,Indicators!CB$3,'Data(perSeason,perCrop)'!$R:$R,"IRRIGATED")</f>
        <v>#DIV/0!</v>
      </c>
      <c r="CC104" s="7" t="e">
        <f>AVERAGEIFS('Data(perSeason,perCrop)'!$G:$G,'Data(perSeason,perCrop)'!$S:$S,Indicators!$B104,'Data(perSeason,perCrop)'!$O:$O,Indicators!CC$7,'Data(perSeason,perCrop)'!$C:$C,Indicators!CC$3,'Data(perSeason,perCrop)'!$R:$R,"IRRIGATED")</f>
        <v>#DIV/0!</v>
      </c>
      <c r="CD104" s="7" t="e">
        <f>AVERAGEIFS('Data(perSeason,perCrop)'!$G:$G,'Data(perSeason,perCrop)'!$S:$S,Indicators!$B104,'Data(perSeason,perCrop)'!$O:$O,Indicators!CD$7,'Data(perSeason,perCrop)'!$C:$C,Indicators!CD$3,'Data(perSeason,perCrop)'!$R:$R,"IRRIGATED")</f>
        <v>#DIV/0!</v>
      </c>
      <c r="CE104" s="7" t="e">
        <f>AVERAGEIFS('Data(perSeason,perCrop)'!$G:$G,'Data(perSeason,perCrop)'!$S:$S,Indicators!$B104,'Data(perSeason,perCrop)'!$O:$O,Indicators!CE$7,'Data(perSeason,perCrop)'!$C:$C,Indicators!CE$3,'Data(perSeason,perCrop)'!$R:$R,"IRRIGATED")</f>
        <v>#DIV/0!</v>
      </c>
      <c r="CF104" s="7" t="e">
        <f>AVERAGEIFS('Data(perSeason,perCrop)'!$G:$G,'Data(perSeason,perCrop)'!$S:$S,Indicators!$B104,'Data(perSeason,perCrop)'!$O:$O,Indicators!CF$7,'Data(perSeason,perCrop)'!$C:$C,Indicators!CF$3,'Data(perSeason,perCrop)'!$R:$R,"IRRIGATED")</f>
        <v>#DIV/0!</v>
      </c>
      <c r="CG104" s="7" t="e">
        <f>AVERAGEIFS('Data(perSeason,perCrop)'!$G:$G,'Data(perSeason,perCrop)'!$S:$S,Indicators!$B104,'Data(perSeason,perCrop)'!$O:$O,Indicators!CG$7,'Data(perSeason,perCrop)'!$C:$C,Indicators!CG$3,'Data(perSeason,perCrop)'!$R:$R,"IRRIGATED")</f>
        <v>#DIV/0!</v>
      </c>
      <c r="CH104" s="7" t="e">
        <f>AVERAGEIFS('Data(perSeason,perCrop)'!$G:$G,'Data(perSeason,perCrop)'!$S:$S,Indicators!$B104,'Data(perSeason,perCrop)'!$O:$O,Indicators!CH$7,'Data(perSeason,perCrop)'!$C:$C,Indicators!CH$3,'Data(perSeason,perCrop)'!$R:$R,"IRRIGATED")</f>
        <v>#DIV/0!</v>
      </c>
      <c r="CI104" s="7" t="e">
        <f>AVERAGEIFS('Data(perSeason,perCrop)'!$G:$G,'Data(perSeason,perCrop)'!$S:$S,Indicators!$B104,'Data(perSeason,perCrop)'!$O:$O,Indicators!CI$7,'Data(perSeason,perCrop)'!$C:$C,Indicators!CI$3,'Data(perSeason,perCrop)'!$R:$R,"IRRIGATED")</f>
        <v>#DIV/0!</v>
      </c>
      <c r="CJ104" s="7" t="e">
        <f>AVERAGEIFS('Data(perSeason,perCrop)'!$G:$G,'Data(perSeason,perCrop)'!$S:$S,Indicators!$B104,'Data(perSeason,perCrop)'!$O:$O,Indicators!CJ$7,'Data(perSeason,perCrop)'!$C:$C,Indicators!CJ$3,'Data(perSeason,perCrop)'!$R:$R,"IRRIGATED")</f>
        <v>#DIV/0!</v>
      </c>
      <c r="CK104" s="7" t="e">
        <f>AVERAGEIFS('Data(perSeason,perCrop)'!$G:$G,'Data(perSeason,perCrop)'!$S:$S,Indicators!$B104,'Data(perSeason,perCrop)'!$O:$O,Indicators!CK$7,'Data(perSeason,perCrop)'!$C:$C,Indicators!CK$3,'Data(perSeason,perCrop)'!$R:$R,"IRRIGATED")</f>
        <v>#DIV/0!</v>
      </c>
      <c r="CL104" s="7" t="e">
        <f>AVERAGEIFS('Data(perSeason,perCrop)'!$G:$G,'Data(perSeason,perCrop)'!$S:$S,Indicators!$B104,'Data(perSeason,perCrop)'!$O:$O,Indicators!CL$7,'Data(perSeason,perCrop)'!$C:$C,Indicators!CL$3,'Data(perSeason,perCrop)'!$R:$R,"IRRIGATED")</f>
        <v>#DIV/0!</v>
      </c>
      <c r="CM104" s="7" t="e">
        <f>AVERAGEIFS('Data(perSeason,perCrop)'!$G:$G,'Data(perSeason,perCrop)'!$S:$S,Indicators!$B104,'Data(perSeason,perCrop)'!$O:$O,Indicators!CM$7,'Data(perSeason,perCrop)'!$C:$C,Indicators!CM$3,'Data(perSeason,perCrop)'!$R:$R,"IRRIGATED")</f>
        <v>#DIV/0!</v>
      </c>
      <c r="CN104" s="7" t="e">
        <f>AVERAGEIFS('Data(perSeason,perCrop)'!$G:$G,'Data(perSeason,perCrop)'!$S:$S,Indicators!$B104,'Data(perSeason,perCrop)'!$O:$O,Indicators!CN$7,'Data(perSeason,perCrop)'!$C:$C,Indicators!CN$3,'Data(perSeason,perCrop)'!$R:$R,"IRRIGATED")</f>
        <v>#DIV/0!</v>
      </c>
      <c r="CO104" s="7" t="e">
        <f>AVERAGEIFS('Data(perSeason,perCrop)'!$G:$G,'Data(perSeason,perCrop)'!$S:$S,Indicators!$B104,'Data(perSeason,perCrop)'!$O:$O,Indicators!CO$7,'Data(perSeason,perCrop)'!$C:$C,Indicators!CO$3,'Data(perSeason,perCrop)'!$R:$R,"IRRIGATED")</f>
        <v>#DIV/0!</v>
      </c>
      <c r="CP104" s="7">
        <f>AVERAGEIFS('Data(perSeason,perCrop)'!$G:$G,'Data(perSeason,perCrop)'!$S:$S,Indicators!$B104,'Data(perSeason,perCrop)'!$O:$O,Indicators!CP$7,'Data(perSeason,perCrop)'!$C:$C,Indicators!CP$3,'Data(perSeason,perCrop)'!$R:$R,"IRRIGATED")</f>
        <v>203</v>
      </c>
      <c r="CQ104" s="7">
        <f>AVERAGEIFS('Data(perSeason,perCrop)'!$G:$G,'Data(perSeason,perCrop)'!$S:$S,Indicators!$B104,'Data(perSeason,perCrop)'!$O:$O,Indicators!CQ$7,'Data(perSeason,perCrop)'!$C:$C,Indicators!CQ$3,'Data(perSeason,perCrop)'!$R:$R,"IRRIGATED")</f>
        <v>79</v>
      </c>
      <c r="CR104" s="7" t="e">
        <f>AVERAGEIFS('Data(perSeason,perCrop)'!$G:$G,'Data(perSeason,perCrop)'!$S:$S,Indicators!$B104,'Data(perSeason,perCrop)'!$O:$O,Indicators!CR$7,'Data(perSeason,perCrop)'!$C:$C,Indicators!CR$3,'Data(perSeason,perCrop)'!$R:$R,"IRRIGATED")</f>
        <v>#DIV/0!</v>
      </c>
      <c r="CS104" s="7">
        <f>AVERAGEIFS('Data(perSeason,perCrop)'!$G:$G,'Data(perSeason,perCrop)'!$S:$S,Indicators!$B104,'Data(perSeason,perCrop)'!$O:$O,Indicators!CS$7,'Data(perSeason,perCrop)'!$C:$C,Indicators!CS$3,'Data(perSeason,perCrop)'!$R:$R,"IRRIGATED")</f>
        <v>116</v>
      </c>
      <c r="CT104" s="7" t="e">
        <f>AVERAGEIFS('Data(perSeason,perCrop)'!$G:$G,'Data(perSeason,perCrop)'!$S:$S,Indicators!$B104,'Data(perSeason,perCrop)'!$O:$O,Indicators!CT$7,'Data(perSeason,perCrop)'!$C:$C,Indicators!CT$3,'Data(perSeason,perCrop)'!$R:$R,"IRRIGATED")</f>
        <v>#DIV/0!</v>
      </c>
      <c r="CU104" s="7" t="e">
        <f>AVERAGEIFS('Data(perSeason,perCrop)'!$G:$G,'Data(perSeason,perCrop)'!$S:$S,Indicators!$B104,'Data(perSeason,perCrop)'!$O:$O,Indicators!CU$7,'Data(perSeason,perCrop)'!$C:$C,Indicators!CU$3,'Data(perSeason,perCrop)'!$R:$R,"IRRIGATED")</f>
        <v>#DIV/0!</v>
      </c>
      <c r="CV104" s="7">
        <f>AVERAGEIFS('Data(perSeason,perCrop)'!$G:$G,'Data(perSeason,perCrop)'!$S:$S,Indicators!$B104,'Data(perSeason,perCrop)'!$O:$O,Indicators!CV$7,'Data(perSeason,perCrop)'!$C:$C,Indicators!CV$3,'Data(perSeason,perCrop)'!$R:$R,"IRRIGATED")</f>
        <v>160</v>
      </c>
      <c r="CW104" s="7" t="e">
        <f>AVERAGEIFS('Data(perSeason,perCrop)'!$G:$G,'Data(perSeason,perCrop)'!$S:$S,Indicators!$B104,'Data(perSeason,perCrop)'!$O:$O,Indicators!CW$7,'Data(perSeason,perCrop)'!$C:$C,Indicators!CW$3,'Data(perSeason,perCrop)'!$R:$R,"IRRIGATED")</f>
        <v>#DIV/0!</v>
      </c>
      <c r="CX104" s="7" t="e">
        <f>AVERAGEIFS('Data(perSeason,perCrop)'!$G:$G,'Data(perSeason,perCrop)'!$S:$S,Indicators!$B104,'Data(perSeason,perCrop)'!$O:$O,Indicators!CX$7,'Data(perSeason,perCrop)'!$C:$C,Indicators!CX$3,'Data(perSeason,perCrop)'!$R:$R,"IRRIGATED")</f>
        <v>#DIV/0!</v>
      </c>
      <c r="CY104" s="7" t="e">
        <f>AVERAGEIFS('Data(perSeason,perCrop)'!$G:$G,'Data(perSeason,perCrop)'!$S:$S,Indicators!$B104,'Data(perSeason,perCrop)'!$O:$O,Indicators!CY$7,'Data(perSeason,perCrop)'!$C:$C,Indicators!CY$3,'Data(perSeason,perCrop)'!$R:$R,"IRRIGATED")</f>
        <v>#DIV/0!</v>
      </c>
      <c r="CZ104" s="7" t="e">
        <f>AVERAGEIFS('Data(perSeason,perCrop)'!$G:$G,'Data(perSeason,perCrop)'!$S:$S,Indicators!$B104,'Data(perSeason,perCrop)'!$O:$O,Indicators!CZ$7,'Data(perSeason,perCrop)'!$C:$C,Indicators!CZ$3,'Data(perSeason,perCrop)'!$R:$R,"IRRIGATED")</f>
        <v>#DIV/0!</v>
      </c>
      <c r="DA104" s="7" t="e">
        <f>AVERAGEIFS('Data(perSeason,perCrop)'!$G:$G,'Data(perSeason,perCrop)'!$S:$S,Indicators!$B104,'Data(perSeason,perCrop)'!$O:$O,Indicators!DA$7,'Data(perSeason,perCrop)'!$C:$C,Indicators!DA$3,'Data(perSeason,perCrop)'!$R:$R,"IRRIGATED")</f>
        <v>#DIV/0!</v>
      </c>
      <c r="DB104" s="7" t="e">
        <f>AVERAGEIFS('Data(perSeason,perCrop)'!$G:$G,'Data(perSeason,perCrop)'!$S:$S,Indicators!$B104,'Data(perSeason,perCrop)'!$O:$O,Indicators!DB$7,'Data(perSeason,perCrop)'!$C:$C,Indicators!DB$3,'Data(perSeason,perCrop)'!$R:$R,"IRRIGATED")</f>
        <v>#DIV/0!</v>
      </c>
      <c r="DC104" s="7" t="e">
        <f>AVERAGEIFS('Data(perSeason,perCrop)'!$G:$G,'Data(perSeason,perCrop)'!$S:$S,Indicators!$B104,'Data(perSeason,perCrop)'!$O:$O,Indicators!DC$7,'Data(perSeason,perCrop)'!$C:$C,Indicators!DC$3,'Data(perSeason,perCrop)'!$R:$R,"IRRIGATED")</f>
        <v>#DIV/0!</v>
      </c>
      <c r="DD104" s="7" t="e">
        <f>AVERAGEIFS('Data(perSeason,perCrop)'!$G:$G,'Data(perSeason,perCrop)'!$S:$S,Indicators!$B104,'Data(perSeason,perCrop)'!$O:$O,Indicators!DD$7,'Data(perSeason,perCrop)'!$C:$C,Indicators!DD$3,'Data(perSeason,perCrop)'!$R:$R,"IRRIGATED")</f>
        <v>#DIV/0!</v>
      </c>
      <c r="DE104" s="7" t="e">
        <f>AVERAGEIFS('Data(perSeason,perCrop)'!$G:$G,'Data(perSeason,perCrop)'!$S:$S,Indicators!$B104,'Data(perSeason,perCrop)'!$O:$O,Indicators!DE$7,'Data(perSeason,perCrop)'!$C:$C,Indicators!DE$3,'Data(perSeason,perCrop)'!$R:$R,"IRRIGATED")</f>
        <v>#DIV/0!</v>
      </c>
      <c r="DF104" s="7" t="e">
        <f>AVERAGEIFS('Data(perSeason,perCrop)'!$G:$G,'Data(perSeason,perCrop)'!$S:$S,Indicators!$B104,'Data(perSeason,perCrop)'!$O:$O,Indicators!DF$7,'Data(perSeason,perCrop)'!$C:$C,Indicators!DF$3,'Data(perSeason,perCrop)'!$R:$R,"IRRIGATED")</f>
        <v>#DIV/0!</v>
      </c>
      <c r="DG104" s="7" t="e">
        <f>AVERAGEIFS('Data(perSeason,perCrop)'!$G:$G,'Data(perSeason,perCrop)'!$S:$S,Indicators!$B104,'Data(perSeason,perCrop)'!$O:$O,Indicators!DG$7,'Data(perSeason,perCrop)'!$C:$C,Indicators!DG$3,'Data(perSeason,perCrop)'!$R:$R,"IRRIGATED")</f>
        <v>#DIV/0!</v>
      </c>
    </row>
    <row r="105" spans="1:111" x14ac:dyDescent="0.25">
      <c r="B105" s="5" t="s">
        <v>66</v>
      </c>
      <c r="C105" s="11">
        <f t="shared" ref="C105:E105" si="69">AVERAGE(C100:C104)</f>
        <v>3.5392332864220757</v>
      </c>
      <c r="D105" s="11">
        <f t="shared" si="69"/>
        <v>1.9199235792043718</v>
      </c>
      <c r="E105" s="11">
        <f t="shared" si="69"/>
        <v>5.9655949472395875</v>
      </c>
      <c r="F105" s="11">
        <f>AVERAGE(F100:F104)</f>
        <v>11.605001621844929</v>
      </c>
      <c r="K105" s="9" t="e">
        <f>AVERAGE(K100:K104)</f>
        <v>#DIV/0!</v>
      </c>
      <c r="L105" s="9" t="e">
        <f t="shared" ref="L105:BW105" si="70">AVERAGE(L100:L104)</f>
        <v>#DIV/0!</v>
      </c>
      <c r="M105" s="9" t="e">
        <f t="shared" si="70"/>
        <v>#DIV/0!</v>
      </c>
      <c r="N105" s="9">
        <f t="shared" si="70"/>
        <v>218</v>
      </c>
      <c r="O105" s="9">
        <f t="shared" si="70"/>
        <v>60</v>
      </c>
      <c r="P105" s="9" t="e">
        <f t="shared" si="70"/>
        <v>#DIV/0!</v>
      </c>
      <c r="Q105" s="9">
        <f t="shared" si="70"/>
        <v>227.2</v>
      </c>
      <c r="R105" s="9" t="e">
        <f t="shared" si="70"/>
        <v>#DIV/0!</v>
      </c>
      <c r="S105" s="63" t="e">
        <f t="shared" si="70"/>
        <v>#DIV/0!</v>
      </c>
      <c r="T105" s="63">
        <f t="shared" si="70"/>
        <v>57</v>
      </c>
      <c r="U105" s="63" t="e">
        <f t="shared" si="70"/>
        <v>#DIV/0!</v>
      </c>
      <c r="V105" s="63" t="e">
        <f t="shared" si="70"/>
        <v>#DIV/0!</v>
      </c>
      <c r="W105" s="63" t="e">
        <f t="shared" si="70"/>
        <v>#DIV/0!</v>
      </c>
      <c r="X105" s="63" t="e">
        <f t="shared" si="70"/>
        <v>#DIV/0!</v>
      </c>
      <c r="Y105" s="63" t="e">
        <f t="shared" si="70"/>
        <v>#DIV/0!</v>
      </c>
      <c r="Z105" s="63" t="e">
        <f t="shared" si="70"/>
        <v>#DIV/0!</v>
      </c>
      <c r="AA105" s="63" t="e">
        <f t="shared" si="70"/>
        <v>#DIV/0!</v>
      </c>
      <c r="AB105" s="63" t="e">
        <f t="shared" si="70"/>
        <v>#DIV/0!</v>
      </c>
      <c r="AC105" s="63" t="e">
        <f t="shared" si="70"/>
        <v>#DIV/0!</v>
      </c>
      <c r="AD105" s="63" t="e">
        <f t="shared" si="70"/>
        <v>#DIV/0!</v>
      </c>
      <c r="AE105" s="63" t="e">
        <f t="shared" si="70"/>
        <v>#DIV/0!</v>
      </c>
      <c r="AF105" s="63">
        <f t="shared" si="70"/>
        <v>125.8</v>
      </c>
      <c r="AG105" s="63">
        <f t="shared" si="70"/>
        <v>67.400000000000006</v>
      </c>
      <c r="AH105" s="63" t="e">
        <f t="shared" si="70"/>
        <v>#DIV/0!</v>
      </c>
      <c r="AI105" s="63">
        <f t="shared" si="70"/>
        <v>62.2</v>
      </c>
      <c r="AJ105" s="63" t="e">
        <f t="shared" si="70"/>
        <v>#DIV/0!</v>
      </c>
      <c r="AK105" s="63" t="e">
        <f t="shared" si="70"/>
        <v>#DIV/0!</v>
      </c>
      <c r="AL105" s="63">
        <f t="shared" si="70"/>
        <v>74.2</v>
      </c>
      <c r="AM105" s="63" t="e">
        <f t="shared" si="70"/>
        <v>#DIV/0!</v>
      </c>
      <c r="AN105" s="63" t="e">
        <f t="shared" si="70"/>
        <v>#DIV/0!</v>
      </c>
      <c r="AO105" s="63" t="e">
        <f t="shared" si="70"/>
        <v>#DIV/0!</v>
      </c>
      <c r="AP105" s="63" t="e">
        <f t="shared" si="70"/>
        <v>#DIV/0!</v>
      </c>
      <c r="AQ105" s="63" t="e">
        <f t="shared" si="70"/>
        <v>#DIV/0!</v>
      </c>
      <c r="AR105" s="63" t="e">
        <f t="shared" si="70"/>
        <v>#DIV/0!</v>
      </c>
      <c r="AS105" s="63" t="e">
        <f t="shared" si="70"/>
        <v>#DIV/0!</v>
      </c>
      <c r="AT105" s="63" t="e">
        <f t="shared" si="70"/>
        <v>#DIV/0!</v>
      </c>
      <c r="AU105" s="63" t="e">
        <f t="shared" si="70"/>
        <v>#DIV/0!</v>
      </c>
      <c r="AV105" s="63" t="e">
        <f t="shared" si="70"/>
        <v>#DIV/0!</v>
      </c>
      <c r="AW105" s="63" t="e">
        <f t="shared" si="70"/>
        <v>#DIV/0!</v>
      </c>
      <c r="AX105" s="9" t="e">
        <f t="shared" si="70"/>
        <v>#DIV/0!</v>
      </c>
      <c r="AY105" s="9">
        <f t="shared" si="70"/>
        <v>27.4</v>
      </c>
      <c r="AZ105" s="9" t="e">
        <f t="shared" si="70"/>
        <v>#DIV/0!</v>
      </c>
      <c r="BA105" s="9" t="e">
        <f t="shared" si="70"/>
        <v>#DIV/0!</v>
      </c>
      <c r="BB105" s="9" t="e">
        <f t="shared" si="70"/>
        <v>#DIV/0!</v>
      </c>
      <c r="BC105" s="9" t="e">
        <f t="shared" si="70"/>
        <v>#DIV/0!</v>
      </c>
      <c r="BD105" s="9" t="e">
        <f t="shared" si="70"/>
        <v>#DIV/0!</v>
      </c>
      <c r="BE105" s="9" t="e">
        <f t="shared" si="70"/>
        <v>#DIV/0!</v>
      </c>
      <c r="BF105" s="9" t="e">
        <f t="shared" si="70"/>
        <v>#DIV/0!</v>
      </c>
      <c r="BG105" s="9" t="e">
        <f t="shared" si="70"/>
        <v>#DIV/0!</v>
      </c>
      <c r="BH105" s="9" t="e">
        <f t="shared" si="70"/>
        <v>#DIV/0!</v>
      </c>
      <c r="BI105" s="9" t="e">
        <f t="shared" si="70"/>
        <v>#DIV/0!</v>
      </c>
      <c r="BJ105" s="9" t="e">
        <f t="shared" si="70"/>
        <v>#DIV/0!</v>
      </c>
      <c r="BK105" s="9" t="e">
        <f t="shared" si="70"/>
        <v>#DIV/0!</v>
      </c>
      <c r="BL105" s="9">
        <f t="shared" si="70"/>
        <v>28.4</v>
      </c>
      <c r="BM105" s="9" t="e">
        <f t="shared" si="70"/>
        <v>#DIV/0!</v>
      </c>
      <c r="BN105" s="9">
        <f t="shared" si="70"/>
        <v>23.4</v>
      </c>
      <c r="BO105" s="9" t="e">
        <f t="shared" si="70"/>
        <v>#DIV/0!</v>
      </c>
      <c r="BP105" s="9" t="e">
        <f t="shared" si="70"/>
        <v>#DIV/0!</v>
      </c>
      <c r="BQ105" s="9">
        <f t="shared" si="70"/>
        <v>34</v>
      </c>
      <c r="BR105" s="9" t="e">
        <f t="shared" si="70"/>
        <v>#DIV/0!</v>
      </c>
      <c r="BS105" s="9" t="e">
        <f t="shared" si="70"/>
        <v>#DIV/0!</v>
      </c>
      <c r="BT105" s="9" t="e">
        <f t="shared" si="70"/>
        <v>#DIV/0!</v>
      </c>
      <c r="BU105" s="9" t="e">
        <f t="shared" si="70"/>
        <v>#DIV/0!</v>
      </c>
      <c r="BV105" s="9" t="e">
        <f t="shared" si="70"/>
        <v>#DIV/0!</v>
      </c>
      <c r="BW105" s="9" t="e">
        <f t="shared" si="70"/>
        <v>#DIV/0!</v>
      </c>
      <c r="BX105" s="9" t="e">
        <f t="shared" ref="BX105:DG105" si="71">AVERAGE(BX100:BX104)</f>
        <v>#DIV/0!</v>
      </c>
      <c r="BY105" s="9" t="e">
        <f t="shared" si="71"/>
        <v>#DIV/0!</v>
      </c>
      <c r="BZ105" s="9" t="e">
        <f t="shared" si="71"/>
        <v>#DIV/0!</v>
      </c>
      <c r="CA105" s="9" t="e">
        <f t="shared" si="71"/>
        <v>#DIV/0!</v>
      </c>
      <c r="CB105" s="9" t="e">
        <f t="shared" si="71"/>
        <v>#DIV/0!</v>
      </c>
      <c r="CC105" s="9" t="e">
        <f t="shared" si="71"/>
        <v>#DIV/0!</v>
      </c>
      <c r="CD105" s="9" t="e">
        <f t="shared" si="71"/>
        <v>#DIV/0!</v>
      </c>
      <c r="CE105" s="9" t="e">
        <f t="shared" si="71"/>
        <v>#DIV/0!</v>
      </c>
      <c r="CF105" s="9" t="e">
        <f t="shared" si="71"/>
        <v>#DIV/0!</v>
      </c>
      <c r="CG105" s="9" t="e">
        <f t="shared" si="71"/>
        <v>#DIV/0!</v>
      </c>
      <c r="CH105" s="9" t="e">
        <f t="shared" si="71"/>
        <v>#DIV/0!</v>
      </c>
      <c r="CI105" s="9" t="e">
        <f t="shared" si="71"/>
        <v>#DIV/0!</v>
      </c>
      <c r="CJ105" s="9" t="e">
        <f t="shared" si="71"/>
        <v>#DIV/0!</v>
      </c>
      <c r="CK105" s="9" t="e">
        <f t="shared" si="71"/>
        <v>#DIV/0!</v>
      </c>
      <c r="CL105" s="9" t="e">
        <f t="shared" si="71"/>
        <v>#DIV/0!</v>
      </c>
      <c r="CM105" s="9" t="e">
        <f t="shared" si="71"/>
        <v>#DIV/0!</v>
      </c>
      <c r="CN105" s="9" t="e">
        <f t="shared" si="71"/>
        <v>#DIV/0!</v>
      </c>
      <c r="CO105" s="9" t="e">
        <f t="shared" si="71"/>
        <v>#DIV/0!</v>
      </c>
      <c r="CP105" s="9">
        <f t="shared" si="71"/>
        <v>198.4</v>
      </c>
      <c r="CQ105" s="9">
        <f t="shared" si="71"/>
        <v>74.400000000000006</v>
      </c>
      <c r="CR105" s="9" t="e">
        <f t="shared" si="71"/>
        <v>#DIV/0!</v>
      </c>
      <c r="CS105" s="9">
        <f t="shared" si="71"/>
        <v>105.6</v>
      </c>
      <c r="CT105" s="9" t="e">
        <f t="shared" si="71"/>
        <v>#DIV/0!</v>
      </c>
      <c r="CU105" s="9" t="e">
        <f t="shared" si="71"/>
        <v>#DIV/0!</v>
      </c>
      <c r="CV105" s="9">
        <f t="shared" si="71"/>
        <v>159.4</v>
      </c>
      <c r="CW105" s="9" t="e">
        <f t="shared" si="71"/>
        <v>#DIV/0!</v>
      </c>
      <c r="CX105" s="9" t="e">
        <f t="shared" si="71"/>
        <v>#DIV/0!</v>
      </c>
      <c r="CY105" s="9" t="e">
        <f t="shared" si="71"/>
        <v>#DIV/0!</v>
      </c>
      <c r="CZ105" s="9" t="e">
        <f t="shared" si="71"/>
        <v>#DIV/0!</v>
      </c>
      <c r="DA105" s="9" t="e">
        <f t="shared" si="71"/>
        <v>#DIV/0!</v>
      </c>
      <c r="DB105" s="9" t="e">
        <f t="shared" si="71"/>
        <v>#DIV/0!</v>
      </c>
      <c r="DC105" s="9" t="e">
        <f t="shared" si="71"/>
        <v>#DIV/0!</v>
      </c>
      <c r="DD105" s="9" t="e">
        <f t="shared" si="71"/>
        <v>#DIV/0!</v>
      </c>
      <c r="DE105" s="9" t="e">
        <f t="shared" si="71"/>
        <v>#DIV/0!</v>
      </c>
      <c r="DF105" s="9" t="e">
        <f t="shared" si="71"/>
        <v>#DIV/0!</v>
      </c>
      <c r="DG105" s="9" t="e">
        <f t="shared" si="71"/>
        <v>#DIV/0!</v>
      </c>
    </row>
    <row r="107" spans="1:111" x14ac:dyDescent="0.25">
      <c r="B107">
        <v>2018</v>
      </c>
      <c r="C107" s="8"/>
      <c r="D107" s="8"/>
      <c r="E107" s="8"/>
      <c r="J107" s="2" t="s">
        <v>114</v>
      </c>
      <c r="K107" s="8">
        <f t="shared" ref="K107:BV110" si="72">IF(ISNUMBER(K100),K100/1000*K15*10000/10^6,0)</f>
        <v>5.2662142603293424E-2</v>
      </c>
      <c r="L107" s="8">
        <f t="shared" si="72"/>
        <v>0</v>
      </c>
      <c r="M107" s="8">
        <f t="shared" si="72"/>
        <v>0</v>
      </c>
      <c r="N107" s="8">
        <f t="shared" si="72"/>
        <v>1.5116189766399302</v>
      </c>
      <c r="O107" s="8">
        <f t="shared" si="72"/>
        <v>5.2075050443025717</v>
      </c>
      <c r="P107" s="8">
        <f t="shared" si="72"/>
        <v>0</v>
      </c>
      <c r="Q107" s="8">
        <f t="shared" si="72"/>
        <v>5.4659327825240034</v>
      </c>
      <c r="R107" s="8">
        <f t="shared" si="72"/>
        <v>0</v>
      </c>
      <c r="S107" s="65">
        <f t="shared" si="72"/>
        <v>0</v>
      </c>
      <c r="T107" s="65">
        <f t="shared" si="72"/>
        <v>3.586124054258117</v>
      </c>
      <c r="U107" s="65">
        <f t="shared" si="72"/>
        <v>0</v>
      </c>
      <c r="V107" s="65">
        <f t="shared" si="72"/>
        <v>0</v>
      </c>
      <c r="W107" s="65">
        <f t="shared" si="72"/>
        <v>0</v>
      </c>
      <c r="X107" s="65">
        <f t="shared" si="72"/>
        <v>0</v>
      </c>
      <c r="Y107" s="65">
        <f t="shared" si="72"/>
        <v>0</v>
      </c>
      <c r="Z107" s="65">
        <f t="shared" si="72"/>
        <v>0</v>
      </c>
      <c r="AA107" s="65">
        <f t="shared" si="72"/>
        <v>0</v>
      </c>
      <c r="AB107" s="65">
        <f t="shared" si="72"/>
        <v>0</v>
      </c>
      <c r="AC107" s="65">
        <f t="shared" si="72"/>
        <v>0</v>
      </c>
      <c r="AD107" s="65">
        <f t="shared" si="72"/>
        <v>0</v>
      </c>
      <c r="AE107" s="65">
        <f t="shared" si="72"/>
        <v>0</v>
      </c>
      <c r="AF107" s="65">
        <f t="shared" si="72"/>
        <v>0.17632530137548127</v>
      </c>
      <c r="AG107" s="65">
        <f t="shared" si="72"/>
        <v>0.35618375382997725</v>
      </c>
      <c r="AH107" s="65">
        <f t="shared" si="72"/>
        <v>0</v>
      </c>
      <c r="AI107" s="65">
        <f t="shared" si="72"/>
        <v>0.60707116339256573</v>
      </c>
      <c r="AJ107" s="65">
        <f t="shared" si="72"/>
        <v>0</v>
      </c>
      <c r="AK107" s="65">
        <f t="shared" si="72"/>
        <v>0</v>
      </c>
      <c r="AL107" s="65">
        <f t="shared" si="72"/>
        <v>0.90486702245226036</v>
      </c>
      <c r="AM107" s="65">
        <f t="shared" si="72"/>
        <v>0</v>
      </c>
      <c r="AN107" s="65">
        <f t="shared" si="72"/>
        <v>0</v>
      </c>
      <c r="AO107" s="65">
        <f t="shared" si="72"/>
        <v>0</v>
      </c>
      <c r="AP107" s="65">
        <f t="shared" si="72"/>
        <v>0</v>
      </c>
      <c r="AQ107" s="65">
        <f t="shared" si="72"/>
        <v>0</v>
      </c>
      <c r="AR107" s="65">
        <f t="shared" si="72"/>
        <v>0</v>
      </c>
      <c r="AS107" s="65">
        <f t="shared" si="72"/>
        <v>0</v>
      </c>
      <c r="AT107" s="65">
        <f t="shared" si="72"/>
        <v>0</v>
      </c>
      <c r="AU107" s="65">
        <f t="shared" si="72"/>
        <v>0</v>
      </c>
      <c r="AV107" s="65">
        <f t="shared" si="72"/>
        <v>0</v>
      </c>
      <c r="AW107" s="65">
        <f t="shared" si="72"/>
        <v>0</v>
      </c>
      <c r="AX107" s="8">
        <f t="shared" si="72"/>
        <v>0</v>
      </c>
      <c r="AY107" s="8">
        <f t="shared" si="72"/>
        <v>1.9175933219775712</v>
      </c>
      <c r="AZ107" s="8">
        <f t="shared" si="72"/>
        <v>0</v>
      </c>
      <c r="BA107" s="8">
        <f t="shared" si="72"/>
        <v>0</v>
      </c>
      <c r="BB107" s="8">
        <f t="shared" si="72"/>
        <v>0</v>
      </c>
      <c r="BC107" s="8">
        <f t="shared" si="72"/>
        <v>0</v>
      </c>
      <c r="BD107" s="8">
        <f t="shared" si="72"/>
        <v>0</v>
      </c>
      <c r="BE107" s="8">
        <f t="shared" si="72"/>
        <v>0</v>
      </c>
      <c r="BF107" s="8">
        <f t="shared" si="72"/>
        <v>0</v>
      </c>
      <c r="BG107" s="8">
        <f t="shared" si="72"/>
        <v>0</v>
      </c>
      <c r="BH107" s="8">
        <f t="shared" si="72"/>
        <v>0</v>
      </c>
      <c r="BI107" s="8">
        <f t="shared" si="72"/>
        <v>0</v>
      </c>
      <c r="BJ107" s="8">
        <f t="shared" si="72"/>
        <v>0</v>
      </c>
      <c r="BK107" s="8">
        <f t="shared" si="72"/>
        <v>0</v>
      </c>
      <c r="BL107" s="8">
        <f t="shared" si="72"/>
        <v>1.5287690949229273E-2</v>
      </c>
      <c r="BM107" s="8">
        <f t="shared" si="72"/>
        <v>0</v>
      </c>
      <c r="BN107" s="8">
        <f t="shared" si="72"/>
        <v>0.11356671650625379</v>
      </c>
      <c r="BO107" s="8">
        <f t="shared" si="72"/>
        <v>0</v>
      </c>
      <c r="BP107" s="8">
        <f t="shared" si="72"/>
        <v>0</v>
      </c>
      <c r="BQ107" s="8">
        <f t="shared" si="72"/>
        <v>0.34937933243383484</v>
      </c>
      <c r="BR107" s="8">
        <f t="shared" si="72"/>
        <v>0</v>
      </c>
      <c r="BS107" s="8">
        <f t="shared" si="72"/>
        <v>0</v>
      </c>
      <c r="BT107" s="8">
        <f t="shared" si="72"/>
        <v>0</v>
      </c>
      <c r="BU107" s="8">
        <f t="shared" si="72"/>
        <v>0</v>
      </c>
      <c r="BV107" s="8">
        <f t="shared" si="72"/>
        <v>0</v>
      </c>
      <c r="BW107" s="8">
        <f t="shared" ref="BW107:DG111" si="73">IF(ISNUMBER(BW100),BW100/1000*BW15*10000/10^6,0)</f>
        <v>0</v>
      </c>
      <c r="BX107" s="8">
        <f t="shared" si="73"/>
        <v>0</v>
      </c>
      <c r="BY107" s="8">
        <f t="shared" si="73"/>
        <v>0</v>
      </c>
      <c r="BZ107" s="8">
        <f t="shared" si="73"/>
        <v>0</v>
      </c>
      <c r="CA107" s="8">
        <f t="shared" si="73"/>
        <v>0</v>
      </c>
      <c r="CB107" s="8">
        <f t="shared" si="73"/>
        <v>0</v>
      </c>
      <c r="CC107" s="8">
        <f t="shared" si="73"/>
        <v>0</v>
      </c>
      <c r="CD107" s="8">
        <f t="shared" si="73"/>
        <v>0</v>
      </c>
      <c r="CE107" s="8">
        <f t="shared" si="73"/>
        <v>0</v>
      </c>
      <c r="CF107" s="8">
        <f t="shared" si="73"/>
        <v>0</v>
      </c>
      <c r="CG107" s="8">
        <f t="shared" si="73"/>
        <v>0</v>
      </c>
      <c r="CH107" s="8">
        <f t="shared" si="73"/>
        <v>0</v>
      </c>
      <c r="CI107" s="8">
        <f t="shared" si="73"/>
        <v>0</v>
      </c>
      <c r="CJ107" s="8">
        <f t="shared" si="73"/>
        <v>0</v>
      </c>
      <c r="CK107" s="8">
        <f t="shared" si="73"/>
        <v>0</v>
      </c>
      <c r="CL107" s="8">
        <f t="shared" si="73"/>
        <v>0</v>
      </c>
      <c r="CM107" s="8">
        <f t="shared" si="73"/>
        <v>0</v>
      </c>
      <c r="CN107" s="8">
        <f t="shared" si="73"/>
        <v>0</v>
      </c>
      <c r="CO107" s="8">
        <f t="shared" si="73"/>
        <v>0</v>
      </c>
      <c r="CP107" s="8">
        <f t="shared" si="73"/>
        <v>2.69119150354198</v>
      </c>
      <c r="CQ107" s="8">
        <f t="shared" si="73"/>
        <v>0.13732822860714175</v>
      </c>
      <c r="CR107" s="8">
        <f t="shared" si="73"/>
        <v>0</v>
      </c>
      <c r="CS107" s="8">
        <f t="shared" si="73"/>
        <v>3.4980659030051285E-2</v>
      </c>
      <c r="CT107" s="8">
        <f t="shared" si="73"/>
        <v>0</v>
      </c>
      <c r="CU107" s="8">
        <f t="shared" si="73"/>
        <v>0</v>
      </c>
      <c r="CV107" s="8">
        <f t="shared" si="73"/>
        <v>1.1902151710667361</v>
      </c>
      <c r="CW107" s="8">
        <f t="shared" si="73"/>
        <v>0</v>
      </c>
      <c r="CX107" s="8">
        <f t="shared" si="73"/>
        <v>0</v>
      </c>
      <c r="CY107" s="8">
        <f t="shared" si="73"/>
        <v>0</v>
      </c>
      <c r="CZ107" s="8">
        <f t="shared" si="73"/>
        <v>0</v>
      </c>
      <c r="DA107" s="8">
        <f t="shared" si="73"/>
        <v>0</v>
      </c>
      <c r="DB107" s="8">
        <f t="shared" si="73"/>
        <v>0</v>
      </c>
      <c r="DC107" s="8">
        <f t="shared" si="73"/>
        <v>0</v>
      </c>
      <c r="DD107" s="8">
        <f t="shared" si="73"/>
        <v>0</v>
      </c>
      <c r="DE107" s="8">
        <f t="shared" si="73"/>
        <v>0</v>
      </c>
      <c r="DF107" s="8">
        <f t="shared" si="73"/>
        <v>0</v>
      </c>
      <c r="DG107" s="8">
        <f t="shared" si="73"/>
        <v>0</v>
      </c>
    </row>
    <row r="108" spans="1:111" x14ac:dyDescent="0.25">
      <c r="B108">
        <v>2019</v>
      </c>
      <c r="C108" s="8"/>
      <c r="D108" s="8"/>
      <c r="E108" s="8"/>
      <c r="J108" s="2" t="s">
        <v>114</v>
      </c>
      <c r="K108" s="8">
        <f t="shared" si="72"/>
        <v>5.2367299670213176E-2</v>
      </c>
      <c r="L108" s="8">
        <f t="shared" si="72"/>
        <v>6.7654231630975517E-2</v>
      </c>
      <c r="M108" s="8">
        <f t="shared" si="72"/>
        <v>0.17786559031586235</v>
      </c>
      <c r="N108" s="8">
        <f t="shared" si="72"/>
        <v>5.615663848511022</v>
      </c>
      <c r="O108" s="8">
        <f t="shared" si="72"/>
        <v>1.2335852406829013</v>
      </c>
      <c r="P108" s="8">
        <f t="shared" si="72"/>
        <v>6.4427754591715514E-2</v>
      </c>
      <c r="Q108" s="8">
        <f t="shared" si="72"/>
        <v>7.8814927658827578</v>
      </c>
      <c r="R108" s="8">
        <f t="shared" si="72"/>
        <v>7.9681111307949321E-3</v>
      </c>
      <c r="S108" s="65">
        <f t="shared" si="72"/>
        <v>0</v>
      </c>
      <c r="T108" s="65">
        <f t="shared" si="72"/>
        <v>0.96607967150417007</v>
      </c>
      <c r="U108" s="65">
        <f t="shared" si="72"/>
        <v>0</v>
      </c>
      <c r="V108" s="65">
        <f t="shared" si="72"/>
        <v>0</v>
      </c>
      <c r="W108" s="65">
        <f t="shared" si="72"/>
        <v>0</v>
      </c>
      <c r="X108" s="65">
        <f t="shared" si="72"/>
        <v>0</v>
      </c>
      <c r="Y108" s="65">
        <f t="shared" si="72"/>
        <v>0</v>
      </c>
      <c r="Z108" s="65">
        <f t="shared" si="72"/>
        <v>0</v>
      </c>
      <c r="AA108" s="65">
        <f t="shared" si="72"/>
        <v>0</v>
      </c>
      <c r="AB108" s="65">
        <f t="shared" si="72"/>
        <v>0</v>
      </c>
      <c r="AC108" s="65">
        <f t="shared" si="72"/>
        <v>0</v>
      </c>
      <c r="AD108" s="65">
        <f t="shared" si="72"/>
        <v>0</v>
      </c>
      <c r="AE108" s="65">
        <f t="shared" si="72"/>
        <v>0</v>
      </c>
      <c r="AF108" s="65">
        <f t="shared" si="72"/>
        <v>5.5029362903057766E-2</v>
      </c>
      <c r="AG108" s="65">
        <f t="shared" si="72"/>
        <v>6.5719805181037913E-2</v>
      </c>
      <c r="AH108" s="65">
        <f t="shared" si="72"/>
        <v>0</v>
      </c>
      <c r="AI108" s="65">
        <f t="shared" si="72"/>
        <v>0.36209168856772866</v>
      </c>
      <c r="AJ108" s="65">
        <f t="shared" si="72"/>
        <v>0</v>
      </c>
      <c r="AK108" s="65">
        <f t="shared" si="72"/>
        <v>0</v>
      </c>
      <c r="AL108" s="65">
        <f t="shared" si="72"/>
        <v>2.2090235598707606</v>
      </c>
      <c r="AM108" s="65">
        <f t="shared" si="72"/>
        <v>0</v>
      </c>
      <c r="AN108" s="65">
        <f t="shared" si="72"/>
        <v>0</v>
      </c>
      <c r="AO108" s="65">
        <f t="shared" si="72"/>
        <v>0</v>
      </c>
      <c r="AP108" s="65">
        <f t="shared" si="72"/>
        <v>0</v>
      </c>
      <c r="AQ108" s="65">
        <f t="shared" si="72"/>
        <v>0</v>
      </c>
      <c r="AR108" s="65">
        <f t="shared" si="72"/>
        <v>0</v>
      </c>
      <c r="AS108" s="65">
        <f t="shared" si="72"/>
        <v>0</v>
      </c>
      <c r="AT108" s="65">
        <f t="shared" si="72"/>
        <v>0</v>
      </c>
      <c r="AU108" s="65">
        <f t="shared" si="72"/>
        <v>0</v>
      </c>
      <c r="AV108" s="65">
        <f t="shared" si="72"/>
        <v>0</v>
      </c>
      <c r="AW108" s="65">
        <f t="shared" si="72"/>
        <v>0</v>
      </c>
      <c r="AX108" s="8">
        <f t="shared" si="72"/>
        <v>0</v>
      </c>
      <c r="AY108" s="8">
        <f t="shared" si="72"/>
        <v>0.7513481887845076</v>
      </c>
      <c r="AZ108" s="8">
        <f t="shared" si="72"/>
        <v>0</v>
      </c>
      <c r="BA108" s="8">
        <f t="shared" si="72"/>
        <v>0</v>
      </c>
      <c r="BB108" s="8">
        <f t="shared" si="72"/>
        <v>0</v>
      </c>
      <c r="BC108" s="8">
        <f t="shared" si="72"/>
        <v>0</v>
      </c>
      <c r="BD108" s="8">
        <f t="shared" si="72"/>
        <v>0</v>
      </c>
      <c r="BE108" s="8">
        <f t="shared" si="72"/>
        <v>0</v>
      </c>
      <c r="BF108" s="8">
        <f t="shared" si="72"/>
        <v>0</v>
      </c>
      <c r="BG108" s="8">
        <f t="shared" si="72"/>
        <v>0</v>
      </c>
      <c r="BH108" s="8">
        <f t="shared" si="72"/>
        <v>0</v>
      </c>
      <c r="BI108" s="8">
        <f t="shared" si="72"/>
        <v>0</v>
      </c>
      <c r="BJ108" s="8">
        <f t="shared" si="72"/>
        <v>0</v>
      </c>
      <c r="BK108" s="8">
        <f t="shared" si="72"/>
        <v>0</v>
      </c>
      <c r="BL108" s="8">
        <f t="shared" si="72"/>
        <v>3.8939258152723318E-2</v>
      </c>
      <c r="BM108" s="8">
        <f t="shared" si="72"/>
        <v>0</v>
      </c>
      <c r="BN108" s="8">
        <f t="shared" si="72"/>
        <v>0.10692960832439687</v>
      </c>
      <c r="BO108" s="8">
        <f t="shared" si="72"/>
        <v>0</v>
      </c>
      <c r="BP108" s="8">
        <f t="shared" si="72"/>
        <v>0</v>
      </c>
      <c r="BQ108" s="8">
        <f t="shared" si="72"/>
        <v>1.4640969869603495</v>
      </c>
      <c r="BR108" s="8">
        <f t="shared" si="72"/>
        <v>0</v>
      </c>
      <c r="BS108" s="8">
        <f t="shared" si="72"/>
        <v>0</v>
      </c>
      <c r="BT108" s="8">
        <f t="shared" si="72"/>
        <v>0</v>
      </c>
      <c r="BU108" s="8">
        <f t="shared" si="72"/>
        <v>0</v>
      </c>
      <c r="BV108" s="8">
        <f t="shared" si="72"/>
        <v>0</v>
      </c>
      <c r="BW108" s="8">
        <f t="shared" si="73"/>
        <v>0</v>
      </c>
      <c r="BX108" s="8">
        <f t="shared" si="73"/>
        <v>0</v>
      </c>
      <c r="BY108" s="8">
        <f t="shared" si="73"/>
        <v>0</v>
      </c>
      <c r="BZ108" s="8">
        <f t="shared" si="73"/>
        <v>0</v>
      </c>
      <c r="CA108" s="8">
        <f t="shared" si="73"/>
        <v>0</v>
      </c>
      <c r="CB108" s="8">
        <f t="shared" si="73"/>
        <v>0</v>
      </c>
      <c r="CC108" s="8">
        <f t="shared" si="73"/>
        <v>0</v>
      </c>
      <c r="CD108" s="8">
        <f t="shared" si="73"/>
        <v>0</v>
      </c>
      <c r="CE108" s="8">
        <f t="shared" si="73"/>
        <v>0</v>
      </c>
      <c r="CF108" s="8">
        <f t="shared" si="73"/>
        <v>0</v>
      </c>
      <c r="CG108" s="8">
        <f t="shared" si="73"/>
        <v>0</v>
      </c>
      <c r="CH108" s="8">
        <f t="shared" si="73"/>
        <v>0</v>
      </c>
      <c r="CI108" s="8">
        <f t="shared" si="73"/>
        <v>0</v>
      </c>
      <c r="CJ108" s="8">
        <f t="shared" si="73"/>
        <v>0</v>
      </c>
      <c r="CK108" s="8">
        <f t="shared" si="73"/>
        <v>0</v>
      </c>
      <c r="CL108" s="8">
        <f t="shared" si="73"/>
        <v>0</v>
      </c>
      <c r="CM108" s="8">
        <f t="shared" si="73"/>
        <v>0</v>
      </c>
      <c r="CN108" s="8">
        <f t="shared" si="73"/>
        <v>0</v>
      </c>
      <c r="CO108" s="8">
        <f t="shared" si="73"/>
        <v>0</v>
      </c>
      <c r="CP108" s="8">
        <f t="shared" si="73"/>
        <v>3.2334602019106464</v>
      </c>
      <c r="CQ108" s="8">
        <f t="shared" si="73"/>
        <v>0.40124771893808492</v>
      </c>
      <c r="CR108" s="8">
        <f t="shared" si="73"/>
        <v>0</v>
      </c>
      <c r="CS108" s="8">
        <f t="shared" si="73"/>
        <v>0.18596885715595926</v>
      </c>
      <c r="CT108" s="8">
        <f t="shared" si="73"/>
        <v>0</v>
      </c>
      <c r="CU108" s="8">
        <f t="shared" si="73"/>
        <v>0</v>
      </c>
      <c r="CV108" s="8">
        <f t="shared" si="73"/>
        <v>4.9710193373259521</v>
      </c>
      <c r="CW108" s="8">
        <f t="shared" si="73"/>
        <v>0</v>
      </c>
      <c r="CX108" s="8">
        <f t="shared" si="73"/>
        <v>0</v>
      </c>
      <c r="CY108" s="8">
        <f t="shared" si="73"/>
        <v>0</v>
      </c>
      <c r="CZ108" s="8">
        <f t="shared" si="73"/>
        <v>0</v>
      </c>
      <c r="DA108" s="8">
        <f t="shared" si="73"/>
        <v>0</v>
      </c>
      <c r="DB108" s="8">
        <f t="shared" si="73"/>
        <v>0</v>
      </c>
      <c r="DC108" s="8">
        <f t="shared" si="73"/>
        <v>0</v>
      </c>
      <c r="DD108" s="8">
        <f t="shared" si="73"/>
        <v>0</v>
      </c>
      <c r="DE108" s="8">
        <f t="shared" si="73"/>
        <v>0</v>
      </c>
      <c r="DF108" s="8">
        <f t="shared" si="73"/>
        <v>0</v>
      </c>
      <c r="DG108" s="8">
        <f t="shared" si="73"/>
        <v>0</v>
      </c>
    </row>
    <row r="109" spans="1:111" x14ac:dyDescent="0.25">
      <c r="B109">
        <v>2020</v>
      </c>
      <c r="C109" s="8"/>
      <c r="D109" s="8"/>
      <c r="E109" s="8"/>
      <c r="J109" s="2" t="s">
        <v>114</v>
      </c>
      <c r="K109" s="8">
        <f t="shared" si="72"/>
        <v>2.028832340753528E-2</v>
      </c>
      <c r="L109" s="8">
        <f t="shared" si="72"/>
        <v>3.258556219207203E-2</v>
      </c>
      <c r="M109" s="8">
        <f t="shared" si="72"/>
        <v>1.6347704165927963E-2</v>
      </c>
      <c r="N109" s="8">
        <f t="shared" si="72"/>
        <v>0.58021242284085006</v>
      </c>
      <c r="O109" s="8">
        <f t="shared" si="72"/>
        <v>2.5315745935477008</v>
      </c>
      <c r="P109" s="8">
        <f t="shared" si="72"/>
        <v>0</v>
      </c>
      <c r="Q109" s="8">
        <f t="shared" si="72"/>
        <v>4.9118078609432674</v>
      </c>
      <c r="R109" s="8">
        <f t="shared" si="72"/>
        <v>0</v>
      </c>
      <c r="S109" s="65">
        <f t="shared" si="72"/>
        <v>0</v>
      </c>
      <c r="T109" s="65">
        <f t="shared" si="72"/>
        <v>1.5632589755540029</v>
      </c>
      <c r="U109" s="65">
        <f t="shared" si="72"/>
        <v>0</v>
      </c>
      <c r="V109" s="65">
        <f t="shared" si="72"/>
        <v>0</v>
      </c>
      <c r="W109" s="65">
        <f t="shared" si="72"/>
        <v>0</v>
      </c>
      <c r="X109" s="65">
        <f t="shared" si="72"/>
        <v>0</v>
      </c>
      <c r="Y109" s="65">
        <f t="shared" si="72"/>
        <v>0</v>
      </c>
      <c r="Z109" s="65">
        <f t="shared" si="72"/>
        <v>0</v>
      </c>
      <c r="AA109" s="65">
        <f t="shared" si="72"/>
        <v>0</v>
      </c>
      <c r="AB109" s="65">
        <f t="shared" si="72"/>
        <v>0</v>
      </c>
      <c r="AC109" s="65">
        <f t="shared" si="72"/>
        <v>0</v>
      </c>
      <c r="AD109" s="65">
        <f t="shared" si="72"/>
        <v>0</v>
      </c>
      <c r="AE109" s="65">
        <f t="shared" si="72"/>
        <v>0</v>
      </c>
      <c r="AF109" s="65">
        <f t="shared" si="72"/>
        <v>0.32965304085394875</v>
      </c>
      <c r="AG109" s="65">
        <f t="shared" si="72"/>
        <v>0.39377532404465981</v>
      </c>
      <c r="AH109" s="65">
        <f t="shared" si="72"/>
        <v>0</v>
      </c>
      <c r="AI109" s="65">
        <f t="shared" si="72"/>
        <v>0.52198498563487639</v>
      </c>
      <c r="AJ109" s="65">
        <f t="shared" si="72"/>
        <v>0</v>
      </c>
      <c r="AK109" s="65">
        <f t="shared" si="72"/>
        <v>0</v>
      </c>
      <c r="AL109" s="65">
        <f t="shared" si="72"/>
        <v>0.32387653750407758</v>
      </c>
      <c r="AM109" s="65">
        <f t="shared" si="72"/>
        <v>0</v>
      </c>
      <c r="AN109" s="65">
        <f t="shared" si="72"/>
        <v>0</v>
      </c>
      <c r="AO109" s="65">
        <f t="shared" si="72"/>
        <v>0</v>
      </c>
      <c r="AP109" s="65">
        <f t="shared" si="72"/>
        <v>0</v>
      </c>
      <c r="AQ109" s="65">
        <f t="shared" si="72"/>
        <v>0</v>
      </c>
      <c r="AR109" s="65">
        <f t="shared" si="72"/>
        <v>0</v>
      </c>
      <c r="AS109" s="65">
        <f t="shared" si="72"/>
        <v>0</v>
      </c>
      <c r="AT109" s="65">
        <f t="shared" si="72"/>
        <v>0</v>
      </c>
      <c r="AU109" s="65">
        <f t="shared" si="72"/>
        <v>0</v>
      </c>
      <c r="AV109" s="65">
        <f t="shared" si="72"/>
        <v>0</v>
      </c>
      <c r="AW109" s="65">
        <f t="shared" si="72"/>
        <v>0</v>
      </c>
      <c r="AX109" s="8">
        <f t="shared" si="72"/>
        <v>0</v>
      </c>
      <c r="AY109" s="8">
        <f t="shared" si="72"/>
        <v>0.93940065628650249</v>
      </c>
      <c r="AZ109" s="8">
        <f t="shared" si="72"/>
        <v>0</v>
      </c>
      <c r="BA109" s="8">
        <f t="shared" si="72"/>
        <v>0</v>
      </c>
      <c r="BB109" s="8">
        <f t="shared" si="72"/>
        <v>0</v>
      </c>
      <c r="BC109" s="8">
        <f t="shared" si="72"/>
        <v>0</v>
      </c>
      <c r="BD109" s="8">
        <f t="shared" si="72"/>
        <v>0</v>
      </c>
      <c r="BE109" s="8">
        <f t="shared" si="72"/>
        <v>0</v>
      </c>
      <c r="BF109" s="8">
        <f t="shared" si="72"/>
        <v>0</v>
      </c>
      <c r="BG109" s="8">
        <f t="shared" si="72"/>
        <v>0</v>
      </c>
      <c r="BH109" s="8">
        <f t="shared" si="72"/>
        <v>0</v>
      </c>
      <c r="BI109" s="8">
        <f t="shared" si="72"/>
        <v>0</v>
      </c>
      <c r="BJ109" s="8">
        <f t="shared" si="72"/>
        <v>0</v>
      </c>
      <c r="BK109" s="8">
        <f t="shared" si="72"/>
        <v>0</v>
      </c>
      <c r="BL109" s="8">
        <f t="shared" si="72"/>
        <v>9.3026062309095898E-3</v>
      </c>
      <c r="BM109" s="8">
        <f t="shared" si="72"/>
        <v>0</v>
      </c>
      <c r="BN109" s="8">
        <f t="shared" si="72"/>
        <v>0.10571134459601447</v>
      </c>
      <c r="BO109" s="8">
        <f t="shared" si="72"/>
        <v>0</v>
      </c>
      <c r="BP109" s="8">
        <f t="shared" si="72"/>
        <v>0</v>
      </c>
      <c r="BQ109" s="8">
        <f t="shared" si="72"/>
        <v>0.12037344533382499</v>
      </c>
      <c r="BR109" s="8">
        <f t="shared" si="72"/>
        <v>0</v>
      </c>
      <c r="BS109" s="8">
        <f t="shared" si="72"/>
        <v>0</v>
      </c>
      <c r="BT109" s="8">
        <f t="shared" si="72"/>
        <v>0</v>
      </c>
      <c r="BU109" s="8">
        <f t="shared" si="72"/>
        <v>0</v>
      </c>
      <c r="BV109" s="8">
        <f t="shared" si="72"/>
        <v>0</v>
      </c>
      <c r="BW109" s="8">
        <f t="shared" si="73"/>
        <v>0</v>
      </c>
      <c r="BX109" s="8">
        <f t="shared" si="73"/>
        <v>0</v>
      </c>
      <c r="BY109" s="8">
        <f t="shared" si="73"/>
        <v>0</v>
      </c>
      <c r="BZ109" s="8">
        <f t="shared" si="73"/>
        <v>0</v>
      </c>
      <c r="CA109" s="8">
        <f t="shared" si="73"/>
        <v>0</v>
      </c>
      <c r="CB109" s="8">
        <f t="shared" si="73"/>
        <v>0</v>
      </c>
      <c r="CC109" s="8">
        <f t="shared" si="73"/>
        <v>0</v>
      </c>
      <c r="CD109" s="8">
        <f t="shared" si="73"/>
        <v>0</v>
      </c>
      <c r="CE109" s="8">
        <f t="shared" si="73"/>
        <v>0</v>
      </c>
      <c r="CF109" s="8">
        <f t="shared" si="73"/>
        <v>0</v>
      </c>
      <c r="CG109" s="8">
        <f t="shared" si="73"/>
        <v>0</v>
      </c>
      <c r="CH109" s="8">
        <f t="shared" si="73"/>
        <v>0</v>
      </c>
      <c r="CI109" s="8">
        <f t="shared" si="73"/>
        <v>0</v>
      </c>
      <c r="CJ109" s="8">
        <f t="shared" si="73"/>
        <v>0</v>
      </c>
      <c r="CK109" s="8">
        <f t="shared" si="73"/>
        <v>0</v>
      </c>
      <c r="CL109" s="8">
        <f t="shared" si="73"/>
        <v>0</v>
      </c>
      <c r="CM109" s="8">
        <f t="shared" si="73"/>
        <v>0</v>
      </c>
      <c r="CN109" s="8">
        <f t="shared" si="73"/>
        <v>0</v>
      </c>
      <c r="CO109" s="8">
        <f t="shared" si="73"/>
        <v>0</v>
      </c>
      <c r="CP109" s="8">
        <f t="shared" si="73"/>
        <v>3.1737572873611781</v>
      </c>
      <c r="CQ109" s="8">
        <f t="shared" si="73"/>
        <v>7.853435664244017E-2</v>
      </c>
      <c r="CR109" s="8">
        <f t="shared" si="73"/>
        <v>0</v>
      </c>
      <c r="CS109" s="8">
        <f t="shared" si="73"/>
        <v>8.7140922325701531E-2</v>
      </c>
      <c r="CT109" s="8">
        <f t="shared" si="73"/>
        <v>0</v>
      </c>
      <c r="CU109" s="8">
        <f t="shared" si="73"/>
        <v>0</v>
      </c>
      <c r="CV109" s="8">
        <f t="shared" si="73"/>
        <v>0.67903297995574874</v>
      </c>
      <c r="CW109" s="8">
        <f t="shared" si="73"/>
        <v>0</v>
      </c>
      <c r="CX109" s="8">
        <f t="shared" si="73"/>
        <v>0</v>
      </c>
      <c r="CY109" s="8">
        <f t="shared" si="73"/>
        <v>0</v>
      </c>
      <c r="CZ109" s="8">
        <f t="shared" si="73"/>
        <v>0</v>
      </c>
      <c r="DA109" s="8">
        <f t="shared" si="73"/>
        <v>0</v>
      </c>
      <c r="DB109" s="8">
        <f t="shared" si="73"/>
        <v>0</v>
      </c>
      <c r="DC109" s="8">
        <f t="shared" si="73"/>
        <v>0</v>
      </c>
      <c r="DD109" s="8">
        <f t="shared" si="73"/>
        <v>0</v>
      </c>
      <c r="DE109" s="8">
        <f t="shared" si="73"/>
        <v>0</v>
      </c>
      <c r="DF109" s="8">
        <f t="shared" si="73"/>
        <v>0</v>
      </c>
      <c r="DG109" s="8">
        <f t="shared" si="73"/>
        <v>0</v>
      </c>
    </row>
    <row r="110" spans="1:111" x14ac:dyDescent="0.25">
      <c r="B110">
        <v>2021</v>
      </c>
      <c r="C110" s="8"/>
      <c r="D110" s="8"/>
      <c r="E110" s="8"/>
      <c r="J110" s="2" t="s">
        <v>114</v>
      </c>
      <c r="K110" s="8">
        <f t="shared" si="72"/>
        <v>4.3171548715847045E-2</v>
      </c>
      <c r="L110" s="8">
        <f t="shared" si="72"/>
        <v>4.1712439592895389E-2</v>
      </c>
      <c r="M110" s="8">
        <f t="shared" si="72"/>
        <v>3.2282536661976953E-2</v>
      </c>
      <c r="N110" s="8">
        <f t="shared" si="72"/>
        <v>1.174336027907992</v>
      </c>
      <c r="O110" s="8">
        <f t="shared" si="72"/>
        <v>2.4322757652888001</v>
      </c>
      <c r="P110" s="8">
        <f t="shared" si="72"/>
        <v>1.6113157253594593E-2</v>
      </c>
      <c r="Q110" s="8">
        <f t="shared" si="72"/>
        <v>5.7786749014799881</v>
      </c>
      <c r="R110" s="8">
        <f t="shared" si="72"/>
        <v>0</v>
      </c>
      <c r="S110" s="65">
        <f t="shared" si="72"/>
        <v>0</v>
      </c>
      <c r="T110" s="65">
        <f t="shared" si="72"/>
        <v>1.586366480068425</v>
      </c>
      <c r="U110" s="65">
        <f t="shared" si="72"/>
        <v>0</v>
      </c>
      <c r="V110" s="65">
        <f t="shared" si="72"/>
        <v>0</v>
      </c>
      <c r="W110" s="65">
        <f t="shared" si="72"/>
        <v>0</v>
      </c>
      <c r="X110" s="65">
        <f t="shared" si="72"/>
        <v>0</v>
      </c>
      <c r="Y110" s="65">
        <f t="shared" si="72"/>
        <v>0</v>
      </c>
      <c r="Z110" s="65">
        <f t="shared" si="72"/>
        <v>0</v>
      </c>
      <c r="AA110" s="65">
        <f t="shared" si="72"/>
        <v>0</v>
      </c>
      <c r="AB110" s="65">
        <f t="shared" si="72"/>
        <v>0</v>
      </c>
      <c r="AC110" s="65">
        <f t="shared" si="72"/>
        <v>0</v>
      </c>
      <c r="AD110" s="65">
        <f t="shared" si="72"/>
        <v>0</v>
      </c>
      <c r="AE110" s="65">
        <f t="shared" si="72"/>
        <v>0</v>
      </c>
      <c r="AF110" s="65">
        <f t="shared" si="72"/>
        <v>4.6838654129578397E-2</v>
      </c>
      <c r="AG110" s="65">
        <f t="shared" si="72"/>
        <v>0.11081790366206512</v>
      </c>
      <c r="AH110" s="65">
        <f t="shared" si="72"/>
        <v>0</v>
      </c>
      <c r="AI110" s="65">
        <f t="shared" si="72"/>
        <v>0.36557441269622615</v>
      </c>
      <c r="AJ110" s="65">
        <f t="shared" si="72"/>
        <v>0</v>
      </c>
      <c r="AK110" s="65">
        <f t="shared" si="72"/>
        <v>0</v>
      </c>
      <c r="AL110" s="65">
        <f t="shared" si="72"/>
        <v>0.36743406802366885</v>
      </c>
      <c r="AM110" s="65">
        <f t="shared" si="72"/>
        <v>0</v>
      </c>
      <c r="AN110" s="65">
        <f t="shared" si="72"/>
        <v>0</v>
      </c>
      <c r="AO110" s="65">
        <f t="shared" si="72"/>
        <v>0</v>
      </c>
      <c r="AP110" s="65">
        <f t="shared" si="72"/>
        <v>0</v>
      </c>
      <c r="AQ110" s="65">
        <f t="shared" si="72"/>
        <v>0</v>
      </c>
      <c r="AR110" s="65">
        <f t="shared" si="72"/>
        <v>0</v>
      </c>
      <c r="AS110" s="65">
        <f t="shared" si="72"/>
        <v>0</v>
      </c>
      <c r="AT110" s="65">
        <f t="shared" si="72"/>
        <v>0</v>
      </c>
      <c r="AU110" s="65">
        <f t="shared" si="72"/>
        <v>0</v>
      </c>
      <c r="AV110" s="65">
        <f t="shared" si="72"/>
        <v>0</v>
      </c>
      <c r="AW110" s="65">
        <f t="shared" si="72"/>
        <v>0</v>
      </c>
      <c r="AX110" s="8">
        <f t="shared" si="72"/>
        <v>0</v>
      </c>
      <c r="AY110" s="8">
        <f t="shared" si="72"/>
        <v>1.4148357316805715</v>
      </c>
      <c r="AZ110" s="8">
        <f t="shared" si="72"/>
        <v>0</v>
      </c>
      <c r="BA110" s="8">
        <f t="shared" si="72"/>
        <v>0</v>
      </c>
      <c r="BB110" s="8">
        <f t="shared" si="72"/>
        <v>0</v>
      </c>
      <c r="BC110" s="8">
        <f t="shared" si="72"/>
        <v>0</v>
      </c>
      <c r="BD110" s="8">
        <f t="shared" si="72"/>
        <v>0</v>
      </c>
      <c r="BE110" s="8">
        <f t="shared" si="72"/>
        <v>0</v>
      </c>
      <c r="BF110" s="8">
        <f t="shared" si="72"/>
        <v>0</v>
      </c>
      <c r="BG110" s="8">
        <f t="shared" si="72"/>
        <v>0</v>
      </c>
      <c r="BH110" s="8">
        <f t="shared" si="72"/>
        <v>0</v>
      </c>
      <c r="BI110" s="8">
        <f t="shared" si="72"/>
        <v>0</v>
      </c>
      <c r="BJ110" s="8">
        <f t="shared" si="72"/>
        <v>0</v>
      </c>
      <c r="BK110" s="8">
        <f t="shared" si="72"/>
        <v>0</v>
      </c>
      <c r="BL110" s="8">
        <f t="shared" si="72"/>
        <v>1.8145406121448986E-2</v>
      </c>
      <c r="BM110" s="8">
        <f t="shared" si="72"/>
        <v>0</v>
      </c>
      <c r="BN110" s="8">
        <f t="shared" si="72"/>
        <v>0.1794063016015387</v>
      </c>
      <c r="BO110" s="8">
        <f t="shared" si="72"/>
        <v>0</v>
      </c>
      <c r="BP110" s="8">
        <f t="shared" si="72"/>
        <v>0</v>
      </c>
      <c r="BQ110" s="8">
        <f t="shared" si="72"/>
        <v>0.23003614086713062</v>
      </c>
      <c r="BR110" s="8">
        <f t="shared" si="72"/>
        <v>0</v>
      </c>
      <c r="BS110" s="8">
        <f t="shared" si="72"/>
        <v>0</v>
      </c>
      <c r="BT110" s="8">
        <f t="shared" si="72"/>
        <v>0</v>
      </c>
      <c r="BU110" s="8">
        <f t="shared" si="72"/>
        <v>0</v>
      </c>
      <c r="BV110" s="8">
        <f t="shared" ref="BV110:CC111" si="74">IF(ISNUMBER(BV103),BV103/1000*BV18*10000/10^6,0)</f>
        <v>0</v>
      </c>
      <c r="BW110" s="8">
        <f t="shared" si="74"/>
        <v>0</v>
      </c>
      <c r="BX110" s="8">
        <f t="shared" si="74"/>
        <v>0</v>
      </c>
      <c r="BY110" s="8">
        <f t="shared" si="74"/>
        <v>0</v>
      </c>
      <c r="BZ110" s="8">
        <f t="shared" si="74"/>
        <v>0</v>
      </c>
      <c r="CA110" s="8">
        <f t="shared" si="74"/>
        <v>0</v>
      </c>
      <c r="CB110" s="8">
        <f t="shared" si="74"/>
        <v>0</v>
      </c>
      <c r="CC110" s="8">
        <f t="shared" si="74"/>
        <v>0</v>
      </c>
      <c r="CD110" s="8">
        <f t="shared" si="73"/>
        <v>0</v>
      </c>
      <c r="CE110" s="8">
        <f t="shared" si="73"/>
        <v>0</v>
      </c>
      <c r="CF110" s="8">
        <f t="shared" si="73"/>
        <v>0</v>
      </c>
      <c r="CG110" s="8">
        <f t="shared" si="73"/>
        <v>0</v>
      </c>
      <c r="CH110" s="8">
        <f t="shared" si="73"/>
        <v>0</v>
      </c>
      <c r="CI110" s="8">
        <f t="shared" si="73"/>
        <v>0</v>
      </c>
      <c r="CJ110" s="8">
        <f t="shared" si="73"/>
        <v>0</v>
      </c>
      <c r="CK110" s="8">
        <f t="shared" si="73"/>
        <v>0</v>
      </c>
      <c r="CL110" s="8">
        <f t="shared" si="73"/>
        <v>0</v>
      </c>
      <c r="CM110" s="8">
        <f t="shared" si="73"/>
        <v>0</v>
      </c>
      <c r="CN110" s="8">
        <f t="shared" si="73"/>
        <v>0</v>
      </c>
      <c r="CO110" s="8">
        <f t="shared" si="73"/>
        <v>0</v>
      </c>
      <c r="CP110" s="8">
        <f t="shared" si="73"/>
        <v>3.6174276728203916</v>
      </c>
      <c r="CQ110" s="8">
        <f t="shared" si="73"/>
        <v>3.1738889412949597E-2</v>
      </c>
      <c r="CR110" s="8">
        <f t="shared" si="73"/>
        <v>0</v>
      </c>
      <c r="CS110" s="8">
        <f t="shared" si="73"/>
        <v>9.7032827110073785E-2</v>
      </c>
      <c r="CT110" s="8">
        <f t="shared" si="73"/>
        <v>0</v>
      </c>
      <c r="CU110" s="8">
        <f t="shared" si="73"/>
        <v>0</v>
      </c>
      <c r="CV110" s="8">
        <f t="shared" si="73"/>
        <v>1.622920092452365</v>
      </c>
      <c r="CW110" s="8">
        <f t="shared" si="73"/>
        <v>0</v>
      </c>
      <c r="CX110" s="8">
        <f t="shared" si="73"/>
        <v>0</v>
      </c>
      <c r="CY110" s="8">
        <f t="shared" si="73"/>
        <v>0</v>
      </c>
      <c r="CZ110" s="8">
        <f t="shared" si="73"/>
        <v>0</v>
      </c>
      <c r="DA110" s="8">
        <f t="shared" si="73"/>
        <v>0</v>
      </c>
      <c r="DB110" s="8">
        <f t="shared" si="73"/>
        <v>0</v>
      </c>
      <c r="DC110" s="8">
        <f t="shared" si="73"/>
        <v>0</v>
      </c>
      <c r="DD110" s="8">
        <f t="shared" si="73"/>
        <v>0</v>
      </c>
      <c r="DE110" s="8">
        <f t="shared" si="73"/>
        <v>0</v>
      </c>
      <c r="DF110" s="8">
        <f t="shared" si="73"/>
        <v>0</v>
      </c>
      <c r="DG110" s="8">
        <f t="shared" si="73"/>
        <v>0</v>
      </c>
    </row>
    <row r="111" spans="1:111" x14ac:dyDescent="0.25">
      <c r="B111">
        <v>2022</v>
      </c>
      <c r="C111" s="8"/>
      <c r="D111" s="8"/>
      <c r="E111" s="8"/>
      <c r="J111" s="2" t="s">
        <v>114</v>
      </c>
      <c r="K111" s="8">
        <f t="shared" ref="K111:BV111" si="75">IF(ISNUMBER(K104),K104/1000*K19*10000/10^6,0)</f>
        <v>0</v>
      </c>
      <c r="L111" s="8">
        <f t="shared" si="75"/>
        <v>0</v>
      </c>
      <c r="M111" s="8">
        <f t="shared" si="75"/>
        <v>0</v>
      </c>
      <c r="N111" s="8">
        <f t="shared" si="75"/>
        <v>1.4397709920972257</v>
      </c>
      <c r="O111" s="8">
        <f t="shared" si="75"/>
        <v>2.1057131496981136</v>
      </c>
      <c r="P111" s="8">
        <f t="shared" si="75"/>
        <v>0</v>
      </c>
      <c r="Q111" s="8">
        <f t="shared" si="75"/>
        <v>8.6673286607528368</v>
      </c>
      <c r="R111" s="8">
        <f t="shared" si="75"/>
        <v>0</v>
      </c>
      <c r="S111" s="65">
        <f t="shared" si="75"/>
        <v>0</v>
      </c>
      <c r="T111" s="65">
        <f t="shared" si="75"/>
        <v>1.6819410227114631</v>
      </c>
      <c r="U111" s="65">
        <f t="shared" si="75"/>
        <v>0</v>
      </c>
      <c r="V111" s="65">
        <f t="shared" si="75"/>
        <v>0</v>
      </c>
      <c r="W111" s="65">
        <f t="shared" si="75"/>
        <v>0</v>
      </c>
      <c r="X111" s="65">
        <f t="shared" si="75"/>
        <v>0</v>
      </c>
      <c r="Y111" s="65">
        <f t="shared" si="75"/>
        <v>0</v>
      </c>
      <c r="Z111" s="65">
        <f t="shared" si="75"/>
        <v>0</v>
      </c>
      <c r="AA111" s="65">
        <f t="shared" si="75"/>
        <v>0</v>
      </c>
      <c r="AB111" s="65">
        <f t="shared" si="75"/>
        <v>0</v>
      </c>
      <c r="AC111" s="65">
        <f t="shared" si="75"/>
        <v>0</v>
      </c>
      <c r="AD111" s="65">
        <f t="shared" si="75"/>
        <v>0</v>
      </c>
      <c r="AE111" s="65">
        <f t="shared" si="75"/>
        <v>0</v>
      </c>
      <c r="AF111" s="65">
        <f t="shared" si="75"/>
        <v>2.5718883522463466E-2</v>
      </c>
      <c r="AG111" s="65">
        <f t="shared" si="75"/>
        <v>0.14611272480867007</v>
      </c>
      <c r="AH111" s="65">
        <f t="shared" si="75"/>
        <v>0</v>
      </c>
      <c r="AI111" s="65">
        <f t="shared" si="75"/>
        <v>0.29712019774506349</v>
      </c>
      <c r="AJ111" s="65">
        <f t="shared" si="75"/>
        <v>0</v>
      </c>
      <c r="AK111" s="65">
        <f t="shared" si="75"/>
        <v>0</v>
      </c>
      <c r="AL111" s="65">
        <f t="shared" si="75"/>
        <v>0.647177837816033</v>
      </c>
      <c r="AM111" s="65">
        <f t="shared" si="75"/>
        <v>0</v>
      </c>
      <c r="AN111" s="65">
        <f t="shared" si="75"/>
        <v>0</v>
      </c>
      <c r="AO111" s="65">
        <f t="shared" si="75"/>
        <v>0</v>
      </c>
      <c r="AP111" s="65">
        <f t="shared" si="75"/>
        <v>0</v>
      </c>
      <c r="AQ111" s="65">
        <f t="shared" si="75"/>
        <v>0</v>
      </c>
      <c r="AR111" s="65">
        <f t="shared" si="75"/>
        <v>0</v>
      </c>
      <c r="AS111" s="65">
        <f t="shared" si="75"/>
        <v>0</v>
      </c>
      <c r="AT111" s="65">
        <f t="shared" si="75"/>
        <v>0</v>
      </c>
      <c r="AU111" s="65">
        <f t="shared" si="75"/>
        <v>0</v>
      </c>
      <c r="AV111" s="65">
        <f t="shared" si="75"/>
        <v>0</v>
      </c>
      <c r="AW111" s="65">
        <f t="shared" si="75"/>
        <v>0</v>
      </c>
      <c r="AX111" s="8">
        <f t="shared" si="75"/>
        <v>0</v>
      </c>
      <c r="AY111" s="8">
        <f t="shared" si="75"/>
        <v>1.3977589221466105</v>
      </c>
      <c r="AZ111" s="8">
        <f t="shared" si="75"/>
        <v>0</v>
      </c>
      <c r="BA111" s="8">
        <f t="shared" si="75"/>
        <v>0</v>
      </c>
      <c r="BB111" s="8">
        <f t="shared" si="75"/>
        <v>0</v>
      </c>
      <c r="BC111" s="8">
        <f t="shared" si="75"/>
        <v>0</v>
      </c>
      <c r="BD111" s="8">
        <f t="shared" si="75"/>
        <v>0</v>
      </c>
      <c r="BE111" s="8">
        <f t="shared" si="75"/>
        <v>0</v>
      </c>
      <c r="BF111" s="8">
        <f t="shared" si="75"/>
        <v>0</v>
      </c>
      <c r="BG111" s="8">
        <f t="shared" si="75"/>
        <v>0</v>
      </c>
      <c r="BH111" s="8">
        <f t="shared" si="75"/>
        <v>0</v>
      </c>
      <c r="BI111" s="8">
        <f t="shared" si="75"/>
        <v>0</v>
      </c>
      <c r="BJ111" s="8">
        <f t="shared" si="75"/>
        <v>0</v>
      </c>
      <c r="BK111" s="8">
        <f t="shared" si="75"/>
        <v>0</v>
      </c>
      <c r="BL111" s="8">
        <f t="shared" si="75"/>
        <v>1.1250868516633775E-2</v>
      </c>
      <c r="BM111" s="8">
        <f t="shared" si="75"/>
        <v>0</v>
      </c>
      <c r="BN111" s="8">
        <f t="shared" si="75"/>
        <v>6.4471158793854344E-2</v>
      </c>
      <c r="BO111" s="8">
        <f t="shared" si="75"/>
        <v>0</v>
      </c>
      <c r="BP111" s="8">
        <f t="shared" si="75"/>
        <v>0</v>
      </c>
      <c r="BQ111" s="8">
        <f t="shared" si="75"/>
        <v>0.35178420975795244</v>
      </c>
      <c r="BR111" s="8">
        <f t="shared" si="75"/>
        <v>0</v>
      </c>
      <c r="BS111" s="8">
        <f t="shared" si="75"/>
        <v>0</v>
      </c>
      <c r="BT111" s="8">
        <f t="shared" si="75"/>
        <v>0</v>
      </c>
      <c r="BU111" s="8">
        <f t="shared" si="75"/>
        <v>0</v>
      </c>
      <c r="BV111" s="8">
        <f t="shared" si="75"/>
        <v>0</v>
      </c>
      <c r="BW111" s="8">
        <f t="shared" si="74"/>
        <v>0</v>
      </c>
      <c r="BX111" s="8">
        <f t="shared" si="74"/>
        <v>0</v>
      </c>
      <c r="BY111" s="8">
        <f t="shared" si="74"/>
        <v>0</v>
      </c>
      <c r="BZ111" s="8">
        <f t="shared" si="74"/>
        <v>0</v>
      </c>
      <c r="CA111" s="8">
        <f t="shared" si="74"/>
        <v>0</v>
      </c>
      <c r="CB111" s="8">
        <f t="shared" si="74"/>
        <v>0</v>
      </c>
      <c r="CC111" s="8">
        <f t="shared" si="74"/>
        <v>0</v>
      </c>
      <c r="CD111" s="8">
        <f t="shared" si="73"/>
        <v>0</v>
      </c>
      <c r="CE111" s="8">
        <f t="shared" si="73"/>
        <v>0</v>
      </c>
      <c r="CF111" s="8">
        <f t="shared" si="73"/>
        <v>0</v>
      </c>
      <c r="CG111" s="8">
        <f t="shared" si="73"/>
        <v>0</v>
      </c>
      <c r="CH111" s="8">
        <f t="shared" si="73"/>
        <v>0</v>
      </c>
      <c r="CI111" s="8">
        <f t="shared" si="73"/>
        <v>0</v>
      </c>
      <c r="CJ111" s="8">
        <f t="shared" si="73"/>
        <v>0</v>
      </c>
      <c r="CK111" s="8">
        <f t="shared" si="73"/>
        <v>0</v>
      </c>
      <c r="CL111" s="8">
        <f t="shared" si="73"/>
        <v>0</v>
      </c>
      <c r="CM111" s="8">
        <f t="shared" si="73"/>
        <v>0</v>
      </c>
      <c r="CN111" s="8">
        <f t="shared" si="73"/>
        <v>0</v>
      </c>
      <c r="CO111" s="8">
        <f t="shared" si="73"/>
        <v>0</v>
      </c>
      <c r="CP111" s="8">
        <f t="shared" si="73"/>
        <v>5.059103541242048</v>
      </c>
      <c r="CQ111" s="8">
        <f t="shared" si="73"/>
        <v>0.21436515659955532</v>
      </c>
      <c r="CR111" s="8">
        <f t="shared" si="73"/>
        <v>0</v>
      </c>
      <c r="CS111" s="8">
        <f t="shared" si="73"/>
        <v>0.17476264175184933</v>
      </c>
      <c r="CT111" s="8">
        <f t="shared" si="73"/>
        <v>0</v>
      </c>
      <c r="CU111" s="8">
        <f t="shared" si="73"/>
        <v>0</v>
      </c>
      <c r="CV111" s="8">
        <f t="shared" si="73"/>
        <v>2.1467466909470878</v>
      </c>
      <c r="CW111" s="8">
        <f t="shared" si="73"/>
        <v>0</v>
      </c>
      <c r="CX111" s="8">
        <f t="shared" si="73"/>
        <v>0</v>
      </c>
      <c r="CY111" s="8">
        <f t="shared" si="73"/>
        <v>0</v>
      </c>
      <c r="CZ111" s="8">
        <f t="shared" si="73"/>
        <v>0</v>
      </c>
      <c r="DA111" s="8">
        <f t="shared" si="73"/>
        <v>0</v>
      </c>
      <c r="DB111" s="8">
        <f t="shared" si="73"/>
        <v>0</v>
      </c>
      <c r="DC111" s="8">
        <f t="shared" si="73"/>
        <v>0</v>
      </c>
      <c r="DD111" s="8">
        <f t="shared" si="73"/>
        <v>0</v>
      </c>
      <c r="DE111" s="8">
        <f t="shared" si="73"/>
        <v>0</v>
      </c>
      <c r="DF111" s="8">
        <f t="shared" si="73"/>
        <v>0</v>
      </c>
      <c r="DG111" s="8">
        <f t="shared" si="73"/>
        <v>0</v>
      </c>
    </row>
  </sheetData>
  <sortState xmlns:xlrd2="http://schemas.microsoft.com/office/spreadsheetml/2017/richdata2" ref="T8:V26">
    <sortCondition ref="V8:V26"/>
  </sortState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3A40-AC51-1C48-BDC0-9C0C7544D9C3}">
  <dimension ref="A1:S1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" sqref="F1:F25"/>
    </sheetView>
  </sheetViews>
  <sheetFormatPr defaultColWidth="11.25" defaultRowHeight="15.75" x14ac:dyDescent="0.25"/>
  <cols>
    <col min="1" max="1" width="21.5" customWidth="1"/>
    <col min="2" max="2" width="31.5" customWidth="1"/>
    <col min="3" max="4" width="8"/>
    <col min="5" max="5" width="15.25" customWidth="1"/>
    <col min="6" max="6" width="14.25" customWidth="1"/>
    <col min="7" max="12" width="8"/>
    <col min="13" max="13" width="18" customWidth="1"/>
    <col min="14" max="14" width="12" customWidth="1"/>
    <col min="15" max="15" width="8"/>
    <col min="16" max="17" width="10.75" style="40"/>
  </cols>
  <sheetData>
    <row r="1" spans="1:19" x14ac:dyDescent="0.25">
      <c r="A1" t="s">
        <v>23</v>
      </c>
      <c r="B1" t="s">
        <v>25</v>
      </c>
      <c r="C1" t="s">
        <v>26</v>
      </c>
      <c r="D1" t="s">
        <v>27</v>
      </c>
      <c r="E1" t="s">
        <v>126</v>
      </c>
      <c r="F1" t="s">
        <v>28</v>
      </c>
      <c r="G1" t="s">
        <v>30</v>
      </c>
      <c r="H1" t="s">
        <v>31</v>
      </c>
      <c r="I1" t="s">
        <v>32</v>
      </c>
      <c r="J1" t="s">
        <v>35</v>
      </c>
      <c r="K1" t="s">
        <v>36</v>
      </c>
      <c r="L1" t="s">
        <v>37</v>
      </c>
      <c r="M1" t="s">
        <v>148</v>
      </c>
      <c r="N1" t="s">
        <v>38</v>
      </c>
      <c r="O1" t="s">
        <v>39</v>
      </c>
      <c r="P1" s="40" t="s">
        <v>100</v>
      </c>
      <c r="Q1" s="40" t="s">
        <v>115</v>
      </c>
    </row>
    <row r="2" spans="1:19" x14ac:dyDescent="0.25">
      <c r="A2" s="53">
        <v>1017.18025966717</v>
      </c>
      <c r="B2" s="53" t="s">
        <v>128</v>
      </c>
      <c r="C2" s="53">
        <v>31</v>
      </c>
      <c r="D2" s="53">
        <v>507</v>
      </c>
      <c r="E2" s="53">
        <v>603</v>
      </c>
      <c r="F2" s="53">
        <v>78</v>
      </c>
      <c r="G2" s="53">
        <v>420</v>
      </c>
      <c r="H2" s="53" t="s">
        <v>215</v>
      </c>
      <c r="I2" s="53">
        <v>1362</v>
      </c>
      <c r="J2" s="53">
        <v>4</v>
      </c>
      <c r="K2" s="53">
        <v>11292</v>
      </c>
      <c r="L2" s="53">
        <v>14944</v>
      </c>
      <c r="M2" s="53">
        <v>1</v>
      </c>
      <c r="N2" s="53" t="s">
        <v>41</v>
      </c>
      <c r="O2" s="53">
        <v>2018</v>
      </c>
      <c r="P2" s="40">
        <f>IF(N2="IRRIGATED",IF(E2/M2&gt;=SCORES!I$5,1,0),"")</f>
        <v>1</v>
      </c>
      <c r="Q2" s="40">
        <f t="shared" ref="Q2:Q26" si="0">A2*10000*F2/1000/10^6</f>
        <v>0.79340060254039269</v>
      </c>
      <c r="S2" s="8">
        <f>(K2-L2)/L2</f>
        <v>-0.24437901498929337</v>
      </c>
    </row>
    <row r="3" spans="1:19" x14ac:dyDescent="0.25">
      <c r="A3" s="53">
        <v>1019.71806979807</v>
      </c>
      <c r="B3" s="53" t="s">
        <v>128</v>
      </c>
      <c r="C3" s="53">
        <v>31</v>
      </c>
      <c r="D3" s="53">
        <v>535</v>
      </c>
      <c r="E3" s="53">
        <v>875</v>
      </c>
      <c r="F3" s="53">
        <v>71</v>
      </c>
      <c r="G3" s="53">
        <v>452</v>
      </c>
      <c r="H3" s="53" t="s">
        <v>215</v>
      </c>
      <c r="I3" s="53">
        <v>1281</v>
      </c>
      <c r="J3" s="53">
        <v>4</v>
      </c>
      <c r="K3" s="53">
        <v>10837</v>
      </c>
      <c r="L3" s="53">
        <v>18161</v>
      </c>
      <c r="M3" s="53">
        <v>1</v>
      </c>
      <c r="N3" s="53" t="s">
        <v>41</v>
      </c>
      <c r="O3" s="53">
        <v>2019</v>
      </c>
      <c r="P3" s="40">
        <f>IF(N3="IRRIGATED",IF(E3/M3&gt;=SCORES!I$5,1,0),"")</f>
        <v>1</v>
      </c>
      <c r="Q3" s="40">
        <f t="shared" si="0"/>
        <v>0.72399982955662967</v>
      </c>
      <c r="S3" s="8">
        <f t="shared" ref="S3:S26" si="1">(K3-L3)/L3</f>
        <v>-0.40328175761246626</v>
      </c>
    </row>
    <row r="4" spans="1:19" x14ac:dyDescent="0.25">
      <c r="A4" s="53">
        <v>783.95727865414597</v>
      </c>
      <c r="B4" s="53" t="s">
        <v>128</v>
      </c>
      <c r="C4" s="53">
        <v>31</v>
      </c>
      <c r="D4" s="53">
        <v>562</v>
      </c>
      <c r="E4" s="53">
        <v>763</v>
      </c>
      <c r="F4" s="53">
        <v>90</v>
      </c>
      <c r="G4" s="53">
        <v>469</v>
      </c>
      <c r="H4" s="53" t="s">
        <v>215</v>
      </c>
      <c r="I4" s="53">
        <v>1518</v>
      </c>
      <c r="J4" s="53">
        <v>4</v>
      </c>
      <c r="K4" s="53">
        <v>9865</v>
      </c>
      <c r="L4" s="53">
        <v>13502</v>
      </c>
      <c r="M4" s="53">
        <v>1</v>
      </c>
      <c r="N4" s="53" t="s">
        <v>41</v>
      </c>
      <c r="O4" s="53">
        <v>2020</v>
      </c>
      <c r="P4" s="40">
        <f>IF(N4="IRRIGATED",IF(E4/M4&gt;=SCORES!I$5,1,0),"")</f>
        <v>1</v>
      </c>
      <c r="Q4" s="40">
        <f t="shared" si="0"/>
        <v>0.7055615507887314</v>
      </c>
      <c r="S4" s="8">
        <f t="shared" si="1"/>
        <v>-0.26936750111094654</v>
      </c>
    </row>
    <row r="5" spans="1:19" x14ac:dyDescent="0.25">
      <c r="A5" s="53">
        <v>970.67386323954804</v>
      </c>
      <c r="B5" s="53" t="s">
        <v>128</v>
      </c>
      <c r="C5" s="53">
        <v>31</v>
      </c>
      <c r="D5" s="53">
        <v>461</v>
      </c>
      <c r="E5" s="53">
        <v>675</v>
      </c>
      <c r="F5" s="53">
        <v>66</v>
      </c>
      <c r="G5" s="53">
        <v>388</v>
      </c>
      <c r="H5" s="53" t="s">
        <v>215</v>
      </c>
      <c r="I5" s="53">
        <v>975</v>
      </c>
      <c r="J5" s="53">
        <v>4</v>
      </c>
      <c r="K5" s="53">
        <v>9157</v>
      </c>
      <c r="L5" s="53">
        <v>13912</v>
      </c>
      <c r="M5" s="53">
        <v>1</v>
      </c>
      <c r="N5" s="53" t="s">
        <v>41</v>
      </c>
      <c r="O5" s="53">
        <v>2021</v>
      </c>
      <c r="P5" s="40">
        <f>IF(N5="IRRIGATED",IF(E5/M5&gt;=SCORES!I$5,1,0),"")</f>
        <v>1</v>
      </c>
      <c r="Q5" s="40">
        <f t="shared" si="0"/>
        <v>0.6406447497381017</v>
      </c>
      <c r="S5" s="8">
        <f t="shared" si="1"/>
        <v>-0.34179125934445082</v>
      </c>
    </row>
    <row r="6" spans="1:19" x14ac:dyDescent="0.25">
      <c r="A6" s="53">
        <v>754.58174221911304</v>
      </c>
      <c r="B6" s="53" t="s">
        <v>128</v>
      </c>
      <c r="C6" s="53">
        <v>31</v>
      </c>
      <c r="D6" s="53">
        <v>546</v>
      </c>
      <c r="E6" s="53">
        <v>811</v>
      </c>
      <c r="F6" s="53">
        <v>73</v>
      </c>
      <c r="G6" s="53">
        <v>462</v>
      </c>
      <c r="H6" s="53" t="s">
        <v>215</v>
      </c>
      <c r="I6" s="53">
        <v>1347</v>
      </c>
      <c r="J6" s="53">
        <v>4</v>
      </c>
      <c r="K6" s="53">
        <v>11009</v>
      </c>
      <c r="L6" s="53">
        <v>15429</v>
      </c>
      <c r="M6" s="53">
        <v>1</v>
      </c>
      <c r="N6" s="53" t="s">
        <v>41</v>
      </c>
      <c r="O6" s="53">
        <v>2022</v>
      </c>
      <c r="P6" s="40">
        <f>IF(N6="IRRIGATED",IF(E6/M6&gt;=SCORES!I$5,1,0),"")</f>
        <v>1</v>
      </c>
      <c r="Q6" s="40">
        <f t="shared" si="0"/>
        <v>0.55084467181995245</v>
      </c>
      <c r="S6" s="8">
        <f t="shared" si="1"/>
        <v>-0.28647352388359582</v>
      </c>
    </row>
    <row r="7" spans="1:19" x14ac:dyDescent="0.25">
      <c r="A7" s="53">
        <v>1372.5328209895799</v>
      </c>
      <c r="B7" s="53" t="s">
        <v>132</v>
      </c>
      <c r="C7" s="53">
        <v>34</v>
      </c>
      <c r="D7" s="53">
        <v>859</v>
      </c>
      <c r="E7" s="53">
        <v>1147</v>
      </c>
      <c r="F7" s="53">
        <v>195</v>
      </c>
      <c r="G7" s="53">
        <v>653</v>
      </c>
      <c r="H7" s="53" t="s">
        <v>215</v>
      </c>
      <c r="I7" s="53">
        <v>1460</v>
      </c>
      <c r="J7" s="53">
        <v>4</v>
      </c>
      <c r="K7" s="53">
        <v>15669</v>
      </c>
      <c r="L7" s="53">
        <v>20782</v>
      </c>
      <c r="M7" s="53">
        <v>2</v>
      </c>
      <c r="N7" s="53" t="s">
        <v>41</v>
      </c>
      <c r="O7" s="53">
        <v>2018</v>
      </c>
      <c r="P7" s="40">
        <f>IF(N7="IRRIGATED",IF(E7/M7&gt;=SCORES!I$5,1,0),"")</f>
        <v>1</v>
      </c>
      <c r="Q7" s="40">
        <f t="shared" si="0"/>
        <v>2.6764390009296806</v>
      </c>
      <c r="S7" s="8">
        <f t="shared" si="1"/>
        <v>-0.24603021845828121</v>
      </c>
    </row>
    <row r="8" spans="1:19" x14ac:dyDescent="0.25">
      <c r="A8" s="53">
        <v>5645.1071199767503</v>
      </c>
      <c r="B8" s="53" t="s">
        <v>132</v>
      </c>
      <c r="C8" s="53">
        <v>34</v>
      </c>
      <c r="D8" s="53">
        <v>839</v>
      </c>
      <c r="E8" s="53">
        <v>1059</v>
      </c>
      <c r="F8" s="53">
        <v>158</v>
      </c>
      <c r="G8" s="53">
        <v>670</v>
      </c>
      <c r="H8" s="53" t="s">
        <v>215</v>
      </c>
      <c r="I8" s="53">
        <v>1429</v>
      </c>
      <c r="J8" s="53">
        <v>4</v>
      </c>
      <c r="K8" s="53">
        <v>15935</v>
      </c>
      <c r="L8" s="53">
        <v>20708</v>
      </c>
      <c r="M8" s="53">
        <v>4</v>
      </c>
      <c r="N8" s="53" t="s">
        <v>41</v>
      </c>
      <c r="O8" s="53">
        <v>2019</v>
      </c>
      <c r="P8" s="40">
        <f>IF(N8="IRRIGATED",IF(E8/M8&gt;=SCORES!I$5,1,0),"")</f>
        <v>0</v>
      </c>
      <c r="Q8" s="40">
        <f t="shared" si="0"/>
        <v>8.9192692495632659</v>
      </c>
      <c r="S8" s="8">
        <f t="shared" si="1"/>
        <v>-0.2304906316399459</v>
      </c>
    </row>
    <row r="9" spans="1:19" x14ac:dyDescent="0.25">
      <c r="A9" s="53">
        <v>539.54579423809798</v>
      </c>
      <c r="B9" s="53" t="s">
        <v>132</v>
      </c>
      <c r="C9" s="53">
        <v>34</v>
      </c>
      <c r="D9" s="53">
        <v>888</v>
      </c>
      <c r="E9" s="53">
        <v>1131</v>
      </c>
      <c r="F9" s="53">
        <v>215</v>
      </c>
      <c r="G9" s="53">
        <v>668</v>
      </c>
      <c r="H9" s="53" t="s">
        <v>215</v>
      </c>
      <c r="I9" s="53">
        <v>1676</v>
      </c>
      <c r="J9" s="53">
        <v>4</v>
      </c>
      <c r="K9" s="53">
        <v>13516</v>
      </c>
      <c r="L9" s="53">
        <v>18185</v>
      </c>
      <c r="M9" s="53">
        <v>2</v>
      </c>
      <c r="N9" s="53" t="s">
        <v>41</v>
      </c>
      <c r="O9" s="53">
        <v>2020</v>
      </c>
      <c r="P9" s="40">
        <f>IF(N9="IRRIGATED",IF(E9/M9&gt;=SCORES!I$5,1,0),"")</f>
        <v>1</v>
      </c>
      <c r="Q9" s="40">
        <f t="shared" si="0"/>
        <v>1.1600234576119106</v>
      </c>
      <c r="S9" s="8">
        <f t="shared" si="1"/>
        <v>-0.25675006873797085</v>
      </c>
    </row>
    <row r="10" spans="1:19" x14ac:dyDescent="0.25">
      <c r="A10" s="53">
        <v>866.44822691414799</v>
      </c>
      <c r="B10" s="53" t="s">
        <v>132</v>
      </c>
      <c r="C10" s="53">
        <v>34</v>
      </c>
      <c r="D10" s="53">
        <v>871</v>
      </c>
      <c r="E10" s="53">
        <v>1083</v>
      </c>
      <c r="F10" s="53">
        <v>260</v>
      </c>
      <c r="G10" s="53">
        <v>597</v>
      </c>
      <c r="H10" s="53" t="s">
        <v>215</v>
      </c>
      <c r="I10" s="53">
        <v>1242</v>
      </c>
      <c r="J10" s="53">
        <v>4</v>
      </c>
      <c r="K10" s="53">
        <v>12914</v>
      </c>
      <c r="L10" s="53">
        <v>17184</v>
      </c>
      <c r="M10" s="53">
        <v>2</v>
      </c>
      <c r="N10" s="53" t="s">
        <v>41</v>
      </c>
      <c r="O10" s="53">
        <v>2021</v>
      </c>
      <c r="P10" s="40">
        <f>IF(N10="IRRIGATED",IF(E10/M10&gt;=SCORES!I$5,1,0),"")</f>
        <v>1</v>
      </c>
      <c r="Q10" s="40">
        <f t="shared" si="0"/>
        <v>2.2527653899767848</v>
      </c>
      <c r="S10" s="8">
        <f t="shared" si="1"/>
        <v>-0.24848696461824954</v>
      </c>
    </row>
    <row r="11" spans="1:19" x14ac:dyDescent="0.25">
      <c r="A11" s="53">
        <v>1736.8012812009499</v>
      </c>
      <c r="B11" s="53" t="s">
        <v>132</v>
      </c>
      <c r="C11" s="53">
        <v>34</v>
      </c>
      <c r="D11" s="53">
        <v>854</v>
      </c>
      <c r="E11" s="53">
        <v>1099</v>
      </c>
      <c r="F11" s="53">
        <v>192</v>
      </c>
      <c r="G11" s="53">
        <v>651</v>
      </c>
      <c r="H11" s="53" t="s">
        <v>215</v>
      </c>
      <c r="I11" s="53">
        <v>1404</v>
      </c>
      <c r="J11" s="53">
        <v>4</v>
      </c>
      <c r="K11" s="53">
        <v>14967</v>
      </c>
      <c r="L11" s="53">
        <v>19437</v>
      </c>
      <c r="M11" s="53">
        <v>2</v>
      </c>
      <c r="N11" s="53" t="s">
        <v>41</v>
      </c>
      <c r="O11" s="53">
        <v>2022</v>
      </c>
      <c r="P11" s="40">
        <f>IF(N11="IRRIGATED",IF(E11/M11&gt;=SCORES!I$5,1,0),"")</f>
        <v>1</v>
      </c>
      <c r="Q11" s="40">
        <f t="shared" si="0"/>
        <v>3.3346584599058238</v>
      </c>
      <c r="S11" s="8">
        <f t="shared" si="1"/>
        <v>-0.22997376138292946</v>
      </c>
    </row>
    <row r="12" spans="1:19" x14ac:dyDescent="0.25">
      <c r="A12" s="53">
        <v>1618.8684669204799</v>
      </c>
      <c r="B12" s="53" t="s">
        <v>55</v>
      </c>
      <c r="C12" s="53">
        <v>14</v>
      </c>
      <c r="D12" s="53">
        <v>482</v>
      </c>
      <c r="E12" s="53">
        <v>571</v>
      </c>
      <c r="F12" s="53">
        <v>177</v>
      </c>
      <c r="G12" s="53">
        <v>304</v>
      </c>
      <c r="H12" s="53" t="s">
        <v>215</v>
      </c>
      <c r="I12" s="53">
        <v>208</v>
      </c>
      <c r="J12" s="53">
        <v>4</v>
      </c>
      <c r="K12" s="53">
        <v>3689</v>
      </c>
      <c r="L12" s="53">
        <v>4362</v>
      </c>
      <c r="M12" s="53">
        <v>2</v>
      </c>
      <c r="N12" s="53" t="s">
        <v>41</v>
      </c>
      <c r="O12" s="53">
        <v>2018</v>
      </c>
      <c r="P12" s="40">
        <f>IF(N12="IRRIGATED",IF(E12/M12&gt;=SCORES!I$5,1,0),"")</f>
        <v>0</v>
      </c>
      <c r="Q12" s="40">
        <f t="shared" si="0"/>
        <v>2.8653971864492491</v>
      </c>
      <c r="S12" s="8">
        <f t="shared" si="1"/>
        <v>-0.15428702430077945</v>
      </c>
    </row>
    <row r="13" spans="1:19" x14ac:dyDescent="0.25">
      <c r="A13" s="53">
        <v>1953.9863002114</v>
      </c>
      <c r="B13" s="53" t="s">
        <v>55</v>
      </c>
      <c r="C13" s="53">
        <v>14</v>
      </c>
      <c r="D13" s="53">
        <v>477</v>
      </c>
      <c r="E13" s="53">
        <v>537</v>
      </c>
      <c r="F13" s="53">
        <v>169</v>
      </c>
      <c r="G13" s="53">
        <v>306</v>
      </c>
      <c r="H13" s="53" t="s">
        <v>215</v>
      </c>
      <c r="I13" s="53">
        <v>173</v>
      </c>
      <c r="J13" s="53">
        <v>4</v>
      </c>
      <c r="K13" s="53">
        <v>5521</v>
      </c>
      <c r="L13" s="53">
        <v>6267</v>
      </c>
      <c r="M13" s="53">
        <v>2</v>
      </c>
      <c r="N13" s="53" t="s">
        <v>41</v>
      </c>
      <c r="O13" s="53">
        <v>2019</v>
      </c>
      <c r="P13" s="40">
        <f>IF(N13="IRRIGATED",IF(E13/M13&gt;=SCORES!I$5,1,0),"")</f>
        <v>0</v>
      </c>
      <c r="Q13" s="40">
        <f t="shared" si="0"/>
        <v>3.3022368473572667</v>
      </c>
      <c r="S13" s="8">
        <f t="shared" si="1"/>
        <v>-0.11903622147758099</v>
      </c>
    </row>
    <row r="14" spans="1:19" x14ac:dyDescent="0.25">
      <c r="A14" s="53">
        <v>1876.9554644018201</v>
      </c>
      <c r="B14" s="53" t="s">
        <v>55</v>
      </c>
      <c r="C14" s="53">
        <v>14</v>
      </c>
      <c r="D14" s="53">
        <v>425</v>
      </c>
      <c r="E14" s="53">
        <v>523</v>
      </c>
      <c r="F14" s="53">
        <v>186</v>
      </c>
      <c r="G14" s="53">
        <v>237</v>
      </c>
      <c r="H14" s="53" t="s">
        <v>215</v>
      </c>
      <c r="I14" s="53">
        <v>354</v>
      </c>
      <c r="J14" s="53">
        <v>4</v>
      </c>
      <c r="K14" s="53">
        <v>4005</v>
      </c>
      <c r="L14" s="53">
        <v>4699</v>
      </c>
      <c r="M14" s="53">
        <v>2</v>
      </c>
      <c r="N14" s="53" t="s">
        <v>41</v>
      </c>
      <c r="O14" s="53">
        <v>2020</v>
      </c>
      <c r="P14" s="40">
        <f>IF(N14="IRRIGATED",IF(E14/M14&gt;=SCORES!I$5,1,0),"")</f>
        <v>0</v>
      </c>
      <c r="Q14" s="40">
        <f t="shared" si="0"/>
        <v>3.4911371637873851</v>
      </c>
      <c r="S14" s="8">
        <f t="shared" si="1"/>
        <v>-0.14769099808469888</v>
      </c>
    </row>
    <row r="15" spans="1:19" x14ac:dyDescent="0.25">
      <c r="A15" s="53">
        <v>1517.17450586924</v>
      </c>
      <c r="B15" s="53" t="s">
        <v>55</v>
      </c>
      <c r="C15" s="53">
        <v>14</v>
      </c>
      <c r="D15" s="53">
        <v>471</v>
      </c>
      <c r="E15" s="53">
        <v>571</v>
      </c>
      <c r="F15" s="53">
        <v>242</v>
      </c>
      <c r="G15" s="53">
        <v>228</v>
      </c>
      <c r="H15" s="53" t="s">
        <v>215</v>
      </c>
      <c r="I15" s="53">
        <v>193</v>
      </c>
      <c r="J15" s="53">
        <v>4</v>
      </c>
      <c r="K15" s="53">
        <v>2937</v>
      </c>
      <c r="L15" s="53">
        <v>3954</v>
      </c>
      <c r="M15" s="53">
        <v>2</v>
      </c>
      <c r="N15" s="53" t="s">
        <v>41</v>
      </c>
      <c r="O15" s="53">
        <v>2021</v>
      </c>
      <c r="P15" s="40">
        <f>IF(N15="IRRIGATED",IF(E15/M15&gt;=SCORES!I$5,1,0),"")</f>
        <v>0</v>
      </c>
      <c r="Q15" s="40">
        <f t="shared" si="0"/>
        <v>3.6715623042035612</v>
      </c>
      <c r="S15" s="8">
        <f t="shared" si="1"/>
        <v>-0.25720789074355083</v>
      </c>
    </row>
    <row r="16" spans="1:19" x14ac:dyDescent="0.25">
      <c r="A16" s="53">
        <v>2505.5986083152102</v>
      </c>
      <c r="B16" s="53" t="s">
        <v>55</v>
      </c>
      <c r="C16" s="53">
        <v>14</v>
      </c>
      <c r="D16" s="53">
        <v>451</v>
      </c>
      <c r="E16" s="53">
        <v>557</v>
      </c>
      <c r="F16" s="53">
        <v>203</v>
      </c>
      <c r="G16" s="53">
        <v>247</v>
      </c>
      <c r="H16" s="53" t="s">
        <v>215</v>
      </c>
      <c r="I16" s="53">
        <v>84</v>
      </c>
      <c r="J16" s="53">
        <v>4</v>
      </c>
      <c r="K16" s="53">
        <v>3859</v>
      </c>
      <c r="L16" s="53">
        <v>4985</v>
      </c>
      <c r="M16" s="53">
        <v>2</v>
      </c>
      <c r="N16" s="53" t="s">
        <v>41</v>
      </c>
      <c r="O16" s="53">
        <v>2022</v>
      </c>
      <c r="P16" s="40">
        <f>IF(N16="IRRIGATED",IF(E16/M16&gt;=SCORES!I$5,1,0),"")</f>
        <v>0</v>
      </c>
      <c r="Q16" s="40">
        <f t="shared" si="0"/>
        <v>5.0863651748798757</v>
      </c>
      <c r="S16" s="8">
        <f t="shared" si="1"/>
        <v>-0.22587763289869608</v>
      </c>
    </row>
    <row r="17" spans="1:19" x14ac:dyDescent="0.25">
      <c r="A17" s="53">
        <v>704.84363745863595</v>
      </c>
      <c r="B17" s="53" t="s">
        <v>51</v>
      </c>
      <c r="C17" s="53">
        <v>15</v>
      </c>
      <c r="D17" s="53">
        <v>310</v>
      </c>
      <c r="E17" s="53">
        <v>370</v>
      </c>
      <c r="F17" s="53">
        <v>72</v>
      </c>
      <c r="G17" s="53">
        <v>236</v>
      </c>
      <c r="H17" s="53" t="s">
        <v>215</v>
      </c>
      <c r="I17" s="53">
        <v>949</v>
      </c>
      <c r="J17" s="53">
        <v>4</v>
      </c>
      <c r="K17" s="53">
        <v>5633</v>
      </c>
      <c r="L17" s="53">
        <v>7744</v>
      </c>
      <c r="M17" s="53">
        <v>1</v>
      </c>
      <c r="N17" s="53" t="s">
        <v>41</v>
      </c>
      <c r="O17" s="53">
        <v>2018</v>
      </c>
      <c r="P17" s="40">
        <f>IF(N17="IRRIGATED",IF(E17/M17&gt;=SCORES!I$5,1,0),"")</f>
        <v>0</v>
      </c>
      <c r="Q17" s="40">
        <f t="shared" si="0"/>
        <v>0.50748741897021787</v>
      </c>
      <c r="S17" s="8">
        <f t="shared" si="1"/>
        <v>-0.27259814049586778</v>
      </c>
    </row>
    <row r="18" spans="1:19" x14ac:dyDescent="0.25">
      <c r="A18" s="53">
        <v>732.25038005726196</v>
      </c>
      <c r="B18" s="53" t="s">
        <v>51</v>
      </c>
      <c r="C18" s="53">
        <v>15</v>
      </c>
      <c r="D18" s="53">
        <v>345</v>
      </c>
      <c r="E18" s="53">
        <v>435</v>
      </c>
      <c r="F18" s="53">
        <v>69</v>
      </c>
      <c r="G18" s="53">
        <v>272</v>
      </c>
      <c r="H18" s="53" t="s">
        <v>215</v>
      </c>
      <c r="I18" s="53">
        <v>350</v>
      </c>
      <c r="J18" s="53">
        <v>4</v>
      </c>
      <c r="K18" s="53">
        <v>5295</v>
      </c>
      <c r="L18" s="53">
        <v>11532</v>
      </c>
      <c r="M18" s="53">
        <v>2</v>
      </c>
      <c r="N18" s="53" t="s">
        <v>41</v>
      </c>
      <c r="O18" s="53">
        <v>2019</v>
      </c>
      <c r="P18" s="40">
        <f>IF(N18="IRRIGATED",IF(E18/M18&gt;=SCORES!I$5,1,0),"")</f>
        <v>0</v>
      </c>
      <c r="Q18" s="40">
        <f t="shared" si="0"/>
        <v>0.50525276223951077</v>
      </c>
      <c r="S18" s="8">
        <f t="shared" si="1"/>
        <v>-0.5408428720083247</v>
      </c>
    </row>
    <row r="19" spans="1:19" x14ac:dyDescent="0.25">
      <c r="A19" s="53">
        <v>586.95365362522205</v>
      </c>
      <c r="B19" s="53" t="s">
        <v>51</v>
      </c>
      <c r="C19" s="53">
        <v>15</v>
      </c>
      <c r="D19" s="53">
        <v>313</v>
      </c>
      <c r="E19" s="53">
        <v>347</v>
      </c>
      <c r="F19" s="53">
        <v>82</v>
      </c>
      <c r="G19" s="53">
        <v>232</v>
      </c>
      <c r="H19" s="53" t="s">
        <v>215</v>
      </c>
      <c r="I19" s="53">
        <v>1172</v>
      </c>
      <c r="J19" s="53">
        <v>4</v>
      </c>
      <c r="K19" s="53">
        <v>4538</v>
      </c>
      <c r="L19" s="53">
        <v>6428</v>
      </c>
      <c r="M19" s="53">
        <v>1</v>
      </c>
      <c r="N19" s="53" t="s">
        <v>41</v>
      </c>
      <c r="O19" s="53">
        <v>2020</v>
      </c>
      <c r="P19" s="40">
        <f>IF(N19="IRRIGATED",IF(E19/M19&gt;=SCORES!I$5,1,0),"")</f>
        <v>0</v>
      </c>
      <c r="Q19" s="40">
        <f t="shared" si="0"/>
        <v>0.48130199597268208</v>
      </c>
      <c r="S19" s="8">
        <f t="shared" si="1"/>
        <v>-0.29402613565650282</v>
      </c>
    </row>
    <row r="20" spans="1:19" x14ac:dyDescent="0.25">
      <c r="A20" s="53">
        <v>232.9704981136</v>
      </c>
      <c r="B20" s="53" t="s">
        <v>51</v>
      </c>
      <c r="C20" s="53">
        <v>15</v>
      </c>
      <c r="D20" s="53">
        <v>276</v>
      </c>
      <c r="E20" s="53">
        <v>381</v>
      </c>
      <c r="F20" s="53">
        <v>69</v>
      </c>
      <c r="G20" s="53">
        <v>204</v>
      </c>
      <c r="H20" s="53" t="s">
        <v>215</v>
      </c>
      <c r="I20" s="53">
        <v>706</v>
      </c>
      <c r="J20" s="53">
        <v>4</v>
      </c>
      <c r="K20" s="53">
        <v>4859</v>
      </c>
      <c r="L20" s="53">
        <v>9743</v>
      </c>
      <c r="M20" s="53">
        <v>1</v>
      </c>
      <c r="N20" s="53" t="s">
        <v>41</v>
      </c>
      <c r="O20" s="53">
        <v>2021</v>
      </c>
      <c r="P20" s="40">
        <f>IF(N20="IRRIGATED",IF(E20/M20&gt;=SCORES!I$5,1,0),"")</f>
        <v>0</v>
      </c>
      <c r="Q20" s="40">
        <f t="shared" si="0"/>
        <v>0.16074964369838399</v>
      </c>
      <c r="S20" s="8">
        <f t="shared" si="1"/>
        <v>-0.50128297239043418</v>
      </c>
    </row>
    <row r="21" spans="1:19" x14ac:dyDescent="0.25">
      <c r="A21" s="53">
        <v>513.55305266821699</v>
      </c>
      <c r="B21" s="53" t="s">
        <v>51</v>
      </c>
      <c r="C21" s="53">
        <v>15</v>
      </c>
      <c r="D21" s="53">
        <v>296</v>
      </c>
      <c r="E21" s="53">
        <v>355</v>
      </c>
      <c r="F21" s="53">
        <v>73</v>
      </c>
      <c r="G21" s="53">
        <v>222</v>
      </c>
      <c r="H21" s="53" t="s">
        <v>215</v>
      </c>
      <c r="I21" s="53">
        <v>578</v>
      </c>
      <c r="J21" s="53">
        <v>4</v>
      </c>
      <c r="K21" s="53">
        <v>4130</v>
      </c>
      <c r="L21" s="53">
        <v>8157</v>
      </c>
      <c r="M21" s="53">
        <v>2</v>
      </c>
      <c r="N21" s="53" t="s">
        <v>41</v>
      </c>
      <c r="O21" s="53">
        <v>2022</v>
      </c>
      <c r="P21" s="40">
        <f>IF(N21="IRRIGATED",IF(E21/M21&gt;=SCORES!I$5,1,0),"")</f>
        <v>0</v>
      </c>
      <c r="Q21" s="40">
        <f t="shared" si="0"/>
        <v>0.37489372844779839</v>
      </c>
      <c r="S21" s="8">
        <f t="shared" si="1"/>
        <v>-0.49368640431531202</v>
      </c>
    </row>
    <row r="22" spans="1:19" x14ac:dyDescent="0.25">
      <c r="A22" s="53">
        <v>6350.0256780341497</v>
      </c>
      <c r="B22" s="53" t="s">
        <v>59</v>
      </c>
      <c r="C22" s="53">
        <v>2</v>
      </c>
      <c r="D22" s="53">
        <v>497</v>
      </c>
      <c r="E22" s="53">
        <v>577</v>
      </c>
      <c r="F22" s="53">
        <v>86</v>
      </c>
      <c r="G22" s="53">
        <v>406</v>
      </c>
      <c r="H22" s="79" t="s">
        <v>215</v>
      </c>
      <c r="I22" s="53">
        <v>1286</v>
      </c>
      <c r="J22" s="53">
        <v>4</v>
      </c>
      <c r="K22" s="53">
        <v>12137</v>
      </c>
      <c r="L22" s="53">
        <v>14876</v>
      </c>
      <c r="M22" s="53">
        <v>1</v>
      </c>
      <c r="N22" s="53" t="s">
        <v>41</v>
      </c>
      <c r="O22" s="53">
        <v>2018</v>
      </c>
      <c r="P22" s="40">
        <f>IF(N22="IRRIGATED",IF(E22/M22&gt;=SCORES!I$5,1,0),"")</f>
        <v>1</v>
      </c>
      <c r="Q22" s="40">
        <f t="shared" si="0"/>
        <v>5.4610220831093699</v>
      </c>
      <c r="S22" s="8">
        <f t="shared" si="1"/>
        <v>-0.18412207582683518</v>
      </c>
    </row>
    <row r="23" spans="1:19" x14ac:dyDescent="0.25">
      <c r="A23" s="53">
        <v>3323.70095410557</v>
      </c>
      <c r="B23" s="53" t="s">
        <v>59</v>
      </c>
      <c r="C23" s="53">
        <v>2</v>
      </c>
      <c r="D23" s="53">
        <v>416</v>
      </c>
      <c r="E23" s="53">
        <v>517</v>
      </c>
      <c r="F23" s="53">
        <v>51</v>
      </c>
      <c r="G23" s="53">
        <v>359</v>
      </c>
      <c r="H23" s="53" t="s">
        <v>215</v>
      </c>
      <c r="I23" s="53">
        <v>1163</v>
      </c>
      <c r="J23" s="53">
        <v>4</v>
      </c>
      <c r="K23" s="53">
        <v>9847</v>
      </c>
      <c r="L23" s="53">
        <v>12505</v>
      </c>
      <c r="M23" s="53">
        <v>2</v>
      </c>
      <c r="N23" s="53" t="s">
        <v>41</v>
      </c>
      <c r="O23" s="53">
        <v>2019</v>
      </c>
      <c r="P23" s="40">
        <f>IF(N23="IRRIGATED",IF(E23/M23&gt;=SCORES!I$5,1,0),"")</f>
        <v>0</v>
      </c>
      <c r="Q23" s="40">
        <f t="shared" si="0"/>
        <v>1.6950874865938406</v>
      </c>
      <c r="S23" s="8">
        <f t="shared" si="1"/>
        <v>-0.21255497800879647</v>
      </c>
    </row>
    <row r="24" spans="1:19" x14ac:dyDescent="0.25">
      <c r="A24" s="53">
        <v>4042.2027212005</v>
      </c>
      <c r="B24" s="53" t="s">
        <v>59</v>
      </c>
      <c r="C24" s="53">
        <v>2</v>
      </c>
      <c r="D24" s="53">
        <v>453</v>
      </c>
      <c r="E24" s="53">
        <v>577</v>
      </c>
      <c r="F24" s="53">
        <v>62</v>
      </c>
      <c r="G24" s="53">
        <v>403</v>
      </c>
      <c r="H24" s="53" t="s">
        <v>215</v>
      </c>
      <c r="I24" s="53">
        <v>1331</v>
      </c>
      <c r="J24" s="53">
        <v>4</v>
      </c>
      <c r="K24" s="53">
        <v>8724</v>
      </c>
      <c r="L24" s="53">
        <v>11716</v>
      </c>
      <c r="M24" s="53">
        <v>1</v>
      </c>
      <c r="N24" s="53" t="s">
        <v>41</v>
      </c>
      <c r="O24" s="53">
        <v>2020</v>
      </c>
      <c r="P24" s="40">
        <f>IF(N24="IRRIGATED",IF(E24/M24&gt;=SCORES!I$5,1,0),"")</f>
        <v>1</v>
      </c>
      <c r="Q24" s="40">
        <f t="shared" si="0"/>
        <v>2.5061656871443101</v>
      </c>
      <c r="S24" s="8">
        <f t="shared" si="1"/>
        <v>-0.25537726186411747</v>
      </c>
    </row>
    <row r="25" spans="1:19" x14ac:dyDescent="0.25">
      <c r="A25" s="53">
        <v>4722.5405967596198</v>
      </c>
      <c r="B25" s="53" t="s">
        <v>59</v>
      </c>
      <c r="C25" s="53">
        <v>2</v>
      </c>
      <c r="D25" s="53">
        <v>414</v>
      </c>
      <c r="E25" s="53">
        <v>505</v>
      </c>
      <c r="F25" s="53">
        <v>64</v>
      </c>
      <c r="G25" s="53">
        <v>352</v>
      </c>
      <c r="H25" s="53" t="s">
        <v>215</v>
      </c>
      <c r="I25" s="53">
        <v>921</v>
      </c>
      <c r="J25" s="53">
        <v>4</v>
      </c>
      <c r="K25" s="53">
        <v>8705</v>
      </c>
      <c r="L25" s="53">
        <v>11832</v>
      </c>
      <c r="M25" s="53">
        <v>1</v>
      </c>
      <c r="N25" s="53" t="s">
        <v>41</v>
      </c>
      <c r="O25" s="53">
        <v>2021</v>
      </c>
      <c r="P25" s="40">
        <f>IF(N25="IRRIGATED",IF(E25/M25&gt;=SCORES!I$5,1,0),"")</f>
        <v>1</v>
      </c>
      <c r="Q25" s="40">
        <f t="shared" si="0"/>
        <v>3.0224259819261565</v>
      </c>
      <c r="S25" s="8">
        <f t="shared" si="1"/>
        <v>-0.26428329952670726</v>
      </c>
    </row>
    <row r="26" spans="1:19" x14ac:dyDescent="0.25">
      <c r="A26" s="53">
        <v>6400.6442490076697</v>
      </c>
      <c r="B26" s="53" t="s">
        <v>59</v>
      </c>
      <c r="C26" s="53">
        <v>2</v>
      </c>
      <c r="D26" s="53">
        <v>445</v>
      </c>
      <c r="E26" s="53">
        <v>521</v>
      </c>
      <c r="F26" s="53">
        <v>49</v>
      </c>
      <c r="G26" s="53">
        <v>392</v>
      </c>
      <c r="H26" s="53" t="s">
        <v>215</v>
      </c>
      <c r="I26" s="53">
        <v>1164</v>
      </c>
      <c r="J26" s="53">
        <v>4</v>
      </c>
      <c r="K26" s="53">
        <v>10421</v>
      </c>
      <c r="L26" s="53">
        <v>12988</v>
      </c>
      <c r="M26" s="53">
        <v>1</v>
      </c>
      <c r="N26" s="53" t="s">
        <v>41</v>
      </c>
      <c r="O26" s="53">
        <v>2022</v>
      </c>
      <c r="P26" s="40">
        <f>IF(N26="IRRIGATED",IF(E26/M26&gt;=SCORES!I$5,1,0),"")</f>
        <v>1</v>
      </c>
      <c r="Q26" s="40">
        <f t="shared" si="0"/>
        <v>3.1363156820137581</v>
      </c>
      <c r="S26" s="8">
        <f t="shared" si="1"/>
        <v>-0.19764397905759162</v>
      </c>
    </row>
    <row r="51" spans="16:17" x14ac:dyDescent="0.25">
      <c r="P51" s="40" t="str">
        <f>IF(N51="IRRIGATED",IF(E51/M51&gt;=SCORES!I$5,1,0),"")</f>
        <v/>
      </c>
      <c r="Q51" s="40">
        <f t="shared" ref="Q51:Q82" si="2">A51*10000*F51/1000/10^6</f>
        <v>0</v>
      </c>
    </row>
    <row r="52" spans="16:17" x14ac:dyDescent="0.25">
      <c r="P52" s="40" t="str">
        <f>IF(N52="IRRIGATED",IF(E52/M52&gt;=SCORES!I$5,1,0),"")</f>
        <v/>
      </c>
      <c r="Q52" s="40">
        <f t="shared" si="2"/>
        <v>0</v>
      </c>
    </row>
    <row r="53" spans="16:17" x14ac:dyDescent="0.25">
      <c r="P53" s="40" t="str">
        <f>IF(N53="IRRIGATED",IF(E53/M53&gt;=SCORES!I$5,1,0),"")</f>
        <v/>
      </c>
      <c r="Q53" s="40">
        <f t="shared" si="2"/>
        <v>0</v>
      </c>
    </row>
    <row r="54" spans="16:17" x14ac:dyDescent="0.25">
      <c r="P54" s="40" t="str">
        <f>IF(N54="IRRIGATED",IF(E54/M54&gt;=SCORES!I$5,1,0),"")</f>
        <v/>
      </c>
      <c r="Q54" s="40">
        <f t="shared" si="2"/>
        <v>0</v>
      </c>
    </row>
    <row r="55" spans="16:17" x14ac:dyDescent="0.25">
      <c r="P55" s="40" t="str">
        <f>IF(N55="IRRIGATED",IF(E55/M55&gt;=SCORES!I$5,1,0),"")</f>
        <v/>
      </c>
      <c r="Q55" s="40">
        <f t="shared" si="2"/>
        <v>0</v>
      </c>
    </row>
    <row r="56" spans="16:17" x14ac:dyDescent="0.25">
      <c r="P56" s="40" t="str">
        <f>IF(N56="IRRIGATED",IF(E56/M56&gt;=SCORES!I$5,1,0),"")</f>
        <v/>
      </c>
      <c r="Q56" s="40">
        <f t="shared" si="2"/>
        <v>0</v>
      </c>
    </row>
    <row r="57" spans="16:17" x14ac:dyDescent="0.25">
      <c r="P57" s="40" t="str">
        <f>IF(N57="IRRIGATED",IF(E57/M57&gt;=SCORES!I$5,1,0),"")</f>
        <v/>
      </c>
      <c r="Q57" s="40">
        <f t="shared" si="2"/>
        <v>0</v>
      </c>
    </row>
    <row r="58" spans="16:17" x14ac:dyDescent="0.25">
      <c r="P58" s="40" t="str">
        <f>IF(N58="IRRIGATED",IF(E58/M58&gt;=SCORES!I$5,1,0),"")</f>
        <v/>
      </c>
      <c r="Q58" s="40">
        <f t="shared" si="2"/>
        <v>0</v>
      </c>
    </row>
    <row r="59" spans="16:17" x14ac:dyDescent="0.25">
      <c r="P59" s="40" t="str">
        <f>IF(N59="IRRIGATED",IF(E59/M59&gt;=SCORES!I$5,1,0),"")</f>
        <v/>
      </c>
      <c r="Q59" s="40">
        <f t="shared" si="2"/>
        <v>0</v>
      </c>
    </row>
    <row r="60" spans="16:17" x14ac:dyDescent="0.25">
      <c r="P60" s="40" t="str">
        <f>IF(N60="IRRIGATED",IF(E60/M60&gt;=SCORES!I$5,1,0),"")</f>
        <v/>
      </c>
      <c r="Q60" s="40">
        <f t="shared" si="2"/>
        <v>0</v>
      </c>
    </row>
    <row r="61" spans="16:17" x14ac:dyDescent="0.25">
      <c r="P61" s="40" t="str">
        <f>IF(N61="IRRIGATED",IF(E61/M61&gt;=SCORES!I$5,1,0),"")</f>
        <v/>
      </c>
      <c r="Q61" s="40">
        <f t="shared" si="2"/>
        <v>0</v>
      </c>
    </row>
    <row r="62" spans="16:17" x14ac:dyDescent="0.25">
      <c r="P62" s="40" t="str">
        <f>IF(N62="IRRIGATED",IF(E62/M62&gt;=SCORES!I$5,1,0),"")</f>
        <v/>
      </c>
      <c r="Q62" s="40">
        <f t="shared" si="2"/>
        <v>0</v>
      </c>
    </row>
    <row r="63" spans="16:17" x14ac:dyDescent="0.25">
      <c r="P63" s="40" t="str">
        <f>IF(N63="IRRIGATED",IF(E63/M63&gt;=SCORES!I$5,1,0),"")</f>
        <v/>
      </c>
      <c r="Q63" s="40">
        <f t="shared" si="2"/>
        <v>0</v>
      </c>
    </row>
    <row r="64" spans="16:17" x14ac:dyDescent="0.25">
      <c r="P64" s="40" t="str">
        <f>IF(N64="IRRIGATED",IF(E64/M64&gt;=SCORES!I$5,1,0),"")</f>
        <v/>
      </c>
      <c r="Q64" s="40">
        <f t="shared" si="2"/>
        <v>0</v>
      </c>
    </row>
    <row r="65" spans="16:17" x14ac:dyDescent="0.25">
      <c r="P65" s="40" t="str">
        <f>IF(N65="IRRIGATED",IF(E65/M65&gt;=SCORES!I$5,1,0),"")</f>
        <v/>
      </c>
      <c r="Q65" s="40">
        <f t="shared" si="2"/>
        <v>0</v>
      </c>
    </row>
    <row r="66" spans="16:17" x14ac:dyDescent="0.25">
      <c r="P66" s="40" t="str">
        <f>IF(N66="IRRIGATED",IF(E66/M66&gt;=SCORES!I$5,1,0),"")</f>
        <v/>
      </c>
      <c r="Q66" s="40">
        <f t="shared" si="2"/>
        <v>0</v>
      </c>
    </row>
    <row r="67" spans="16:17" x14ac:dyDescent="0.25">
      <c r="P67" s="40" t="str">
        <f>IF(N67="IRRIGATED",IF(E67/M67&gt;=SCORES!I$5,1,0),"")</f>
        <v/>
      </c>
      <c r="Q67" s="40">
        <f t="shared" si="2"/>
        <v>0</v>
      </c>
    </row>
    <row r="68" spans="16:17" x14ac:dyDescent="0.25">
      <c r="P68" s="40" t="str">
        <f>IF(N68="IRRIGATED",IF(E68/M68&gt;=SCORES!I$5,1,0),"")</f>
        <v/>
      </c>
      <c r="Q68" s="40">
        <f t="shared" si="2"/>
        <v>0</v>
      </c>
    </row>
    <row r="69" spans="16:17" x14ac:dyDescent="0.25">
      <c r="P69" s="40" t="str">
        <f>IF(N69="IRRIGATED",IF(E69/M69&gt;=SCORES!I$5,1,0),"")</f>
        <v/>
      </c>
      <c r="Q69" s="40">
        <f t="shared" si="2"/>
        <v>0</v>
      </c>
    </row>
    <row r="70" spans="16:17" x14ac:dyDescent="0.25">
      <c r="P70" s="40" t="str">
        <f>IF(N70="IRRIGATED",IF(E70/M70&gt;=SCORES!I$5,1,0),"")</f>
        <v/>
      </c>
      <c r="Q70" s="40">
        <f t="shared" si="2"/>
        <v>0</v>
      </c>
    </row>
    <row r="71" spans="16:17" x14ac:dyDescent="0.25">
      <c r="P71" s="40" t="str">
        <f>IF(N71="IRRIGATED",IF(E71/M71&gt;=SCORES!I$5,1,0),"")</f>
        <v/>
      </c>
      <c r="Q71" s="40">
        <f t="shared" si="2"/>
        <v>0</v>
      </c>
    </row>
    <row r="72" spans="16:17" x14ac:dyDescent="0.25">
      <c r="P72" s="40" t="str">
        <f>IF(N72="IRRIGATED",IF(E72/M72&gt;=SCORES!I$5,1,0),"")</f>
        <v/>
      </c>
      <c r="Q72" s="40">
        <f t="shared" si="2"/>
        <v>0</v>
      </c>
    </row>
    <row r="73" spans="16:17" x14ac:dyDescent="0.25">
      <c r="P73" s="40" t="str">
        <f>IF(N73="IRRIGATED",IF(E73/M73&gt;=SCORES!I$5,1,0),"")</f>
        <v/>
      </c>
      <c r="Q73" s="40">
        <f t="shared" si="2"/>
        <v>0</v>
      </c>
    </row>
    <row r="74" spans="16:17" x14ac:dyDescent="0.25">
      <c r="P74" s="40" t="str">
        <f>IF(N74="IRRIGATED",IF(E74/M74&gt;=SCORES!I$5,1,0),"")</f>
        <v/>
      </c>
      <c r="Q74" s="40">
        <f t="shared" si="2"/>
        <v>0</v>
      </c>
    </row>
    <row r="75" spans="16:17" x14ac:dyDescent="0.25">
      <c r="P75" s="40" t="str">
        <f>IF(N75="IRRIGATED",IF(E75/M75&gt;=SCORES!I$5,1,0),"")</f>
        <v/>
      </c>
      <c r="Q75" s="40">
        <f t="shared" si="2"/>
        <v>0</v>
      </c>
    </row>
    <row r="76" spans="16:17" x14ac:dyDescent="0.25">
      <c r="P76" s="40" t="str">
        <f>IF(N76="IRRIGATED",IF(E76/M76&gt;=SCORES!I$5,1,0),"")</f>
        <v/>
      </c>
      <c r="Q76" s="40">
        <f t="shared" si="2"/>
        <v>0</v>
      </c>
    </row>
    <row r="77" spans="16:17" x14ac:dyDescent="0.25">
      <c r="P77" s="40" t="str">
        <f>IF(N77="IRRIGATED",IF(E77/M77&gt;=SCORES!I$5,1,0),"")</f>
        <v/>
      </c>
      <c r="Q77" s="40">
        <f t="shared" si="2"/>
        <v>0</v>
      </c>
    </row>
    <row r="78" spans="16:17" x14ac:dyDescent="0.25">
      <c r="P78" s="40" t="str">
        <f>IF(N78="IRRIGATED",IF(E78/M78&gt;=SCORES!I$5,1,0),"")</f>
        <v/>
      </c>
      <c r="Q78" s="40">
        <f t="shared" si="2"/>
        <v>0</v>
      </c>
    </row>
    <row r="79" spans="16:17" x14ac:dyDescent="0.25">
      <c r="P79" s="40" t="str">
        <f>IF(N79="IRRIGATED",IF(E79/M79&gt;=SCORES!I$5,1,0),"")</f>
        <v/>
      </c>
      <c r="Q79" s="40">
        <f t="shared" si="2"/>
        <v>0</v>
      </c>
    </row>
    <row r="80" spans="16:17" x14ac:dyDescent="0.25">
      <c r="P80" s="40" t="str">
        <f>IF(N80="IRRIGATED",IF(E80/M80&gt;=SCORES!I$5,1,0),"")</f>
        <v/>
      </c>
      <c r="Q80" s="40">
        <f t="shared" si="2"/>
        <v>0</v>
      </c>
    </row>
    <row r="81" spans="16:17" x14ac:dyDescent="0.25">
      <c r="P81" s="40" t="str">
        <f>IF(N81="IRRIGATED",IF(E81/M81&gt;=SCORES!I$5,1,0),"")</f>
        <v/>
      </c>
      <c r="Q81" s="40">
        <f t="shared" si="2"/>
        <v>0</v>
      </c>
    </row>
    <row r="82" spans="16:17" x14ac:dyDescent="0.25">
      <c r="P82" s="40" t="str">
        <f>IF(N82="IRRIGATED",IF(E82/M82&gt;=SCORES!I$5,1,0),"")</f>
        <v/>
      </c>
      <c r="Q82" s="40">
        <f t="shared" si="2"/>
        <v>0</v>
      </c>
    </row>
    <row r="83" spans="16:17" x14ac:dyDescent="0.25">
      <c r="P83" s="40" t="str">
        <f>IF(N83="IRRIGATED",IF(E83/M83&gt;=SCORES!I$5,1,0),"")</f>
        <v/>
      </c>
      <c r="Q83" s="40">
        <f t="shared" ref="Q83:Q114" si="3">A83*10000*F83/1000/10^6</f>
        <v>0</v>
      </c>
    </row>
    <row r="84" spans="16:17" x14ac:dyDescent="0.25">
      <c r="P84" s="40" t="str">
        <f>IF(N84="IRRIGATED",IF(E84/M84&gt;=SCORES!I$5,1,0),"")</f>
        <v/>
      </c>
      <c r="Q84" s="40">
        <f t="shared" si="3"/>
        <v>0</v>
      </c>
    </row>
    <row r="85" spans="16:17" x14ac:dyDescent="0.25">
      <c r="P85" s="40" t="str">
        <f>IF(N85="IRRIGATED",IF(E85/M85&gt;=SCORES!I$5,1,0),"")</f>
        <v/>
      </c>
      <c r="Q85" s="40">
        <f t="shared" si="3"/>
        <v>0</v>
      </c>
    </row>
    <row r="86" spans="16:17" x14ac:dyDescent="0.25">
      <c r="P86" s="40" t="str">
        <f>IF(N86="IRRIGATED",IF(E86/M86&gt;=SCORES!I$5,1,0),"")</f>
        <v/>
      </c>
      <c r="Q86" s="40">
        <f t="shared" si="3"/>
        <v>0</v>
      </c>
    </row>
    <row r="87" spans="16:17" x14ac:dyDescent="0.25">
      <c r="P87" s="40" t="str">
        <f>IF(N87="IRRIGATED",IF(E87/M87&gt;=SCORES!I$5,1,0),"")</f>
        <v/>
      </c>
      <c r="Q87" s="40">
        <f t="shared" si="3"/>
        <v>0</v>
      </c>
    </row>
    <row r="88" spans="16:17" x14ac:dyDescent="0.25">
      <c r="P88" s="40" t="str">
        <f>IF(N88="IRRIGATED",IF(E88/M88&gt;=SCORES!I$5,1,0),"")</f>
        <v/>
      </c>
      <c r="Q88" s="40">
        <f t="shared" si="3"/>
        <v>0</v>
      </c>
    </row>
    <row r="89" spans="16:17" x14ac:dyDescent="0.25">
      <c r="P89" s="40" t="str">
        <f>IF(N89="IRRIGATED",IF(E89/M89&gt;=SCORES!I$5,1,0),"")</f>
        <v/>
      </c>
      <c r="Q89" s="40">
        <f t="shared" si="3"/>
        <v>0</v>
      </c>
    </row>
    <row r="90" spans="16:17" x14ac:dyDescent="0.25">
      <c r="P90" s="40" t="str">
        <f>IF(N90="IRRIGATED",IF(E90/M90&gt;=SCORES!I$5,1,0),"")</f>
        <v/>
      </c>
      <c r="Q90" s="40">
        <f t="shared" si="3"/>
        <v>0</v>
      </c>
    </row>
    <row r="91" spans="16:17" x14ac:dyDescent="0.25">
      <c r="P91" s="40" t="str">
        <f>IF(N91="IRRIGATED",IF(E91/M91&gt;=SCORES!I$5,1,0),"")</f>
        <v/>
      </c>
      <c r="Q91" s="40">
        <f t="shared" si="3"/>
        <v>0</v>
      </c>
    </row>
    <row r="92" spans="16:17" x14ac:dyDescent="0.25">
      <c r="P92" s="40" t="str">
        <f>IF(N92="IRRIGATED",IF(E92/M92&gt;=SCORES!I$5,1,0),"")</f>
        <v/>
      </c>
      <c r="Q92" s="40">
        <f t="shared" si="3"/>
        <v>0</v>
      </c>
    </row>
    <row r="93" spans="16:17" x14ac:dyDescent="0.25">
      <c r="P93" s="40" t="str">
        <f>IF(N93="IRRIGATED",IF(E93/M93&gt;=SCORES!I$5,1,0),"")</f>
        <v/>
      </c>
      <c r="Q93" s="40">
        <f t="shared" si="3"/>
        <v>0</v>
      </c>
    </row>
    <row r="94" spans="16:17" x14ac:dyDescent="0.25">
      <c r="P94" s="40" t="str">
        <f>IF(N94="IRRIGATED",IF(E94/M94&gt;=SCORES!I$5,1,0),"")</f>
        <v/>
      </c>
      <c r="Q94" s="40">
        <f t="shared" si="3"/>
        <v>0</v>
      </c>
    </row>
    <row r="95" spans="16:17" x14ac:dyDescent="0.25">
      <c r="P95" s="40" t="str">
        <f>IF(N95="IRRIGATED",IF(E95/M95&gt;=SCORES!I$5,1,0),"")</f>
        <v/>
      </c>
      <c r="Q95" s="40">
        <f t="shared" si="3"/>
        <v>0</v>
      </c>
    </row>
    <row r="96" spans="16:17" x14ac:dyDescent="0.25">
      <c r="P96" s="40" t="str">
        <f>IF(N96="IRRIGATED",IF(E96/M96&gt;=SCORES!I$5,1,0),"")</f>
        <v/>
      </c>
      <c r="Q96" s="40">
        <f t="shared" si="3"/>
        <v>0</v>
      </c>
    </row>
    <row r="97" spans="16:17" x14ac:dyDescent="0.25">
      <c r="P97" s="40" t="str">
        <f>IF(N97="IRRIGATED",IF(E97/M97&gt;=SCORES!I$5,1,0),"")</f>
        <v/>
      </c>
      <c r="Q97" s="40">
        <f t="shared" si="3"/>
        <v>0</v>
      </c>
    </row>
    <row r="98" spans="16:17" x14ac:dyDescent="0.25">
      <c r="P98" s="40" t="str">
        <f>IF(N98="IRRIGATED",IF(E98/M98&gt;=SCORES!I$5,1,0),"")</f>
        <v/>
      </c>
      <c r="Q98" s="40">
        <f t="shared" si="3"/>
        <v>0</v>
      </c>
    </row>
    <row r="99" spans="16:17" x14ac:dyDescent="0.25">
      <c r="P99" s="40" t="str">
        <f>IF(N99="IRRIGATED",IF(E99/M99&gt;=SCORES!I$5,1,0),"")</f>
        <v/>
      </c>
      <c r="Q99" s="40">
        <f t="shared" si="3"/>
        <v>0</v>
      </c>
    </row>
    <row r="100" spans="16:17" x14ac:dyDescent="0.25">
      <c r="P100" s="40" t="str">
        <f>IF(N100="IRRIGATED",IF(E100/M100&gt;=SCORES!I$5,1,0),"")</f>
        <v/>
      </c>
      <c r="Q100" s="40">
        <f t="shared" si="3"/>
        <v>0</v>
      </c>
    </row>
    <row r="101" spans="16:17" x14ac:dyDescent="0.25">
      <c r="P101" s="40" t="str">
        <f>IF(N101="IRRIGATED",IF(E101/M101&gt;=SCORES!I$5,1,0),"")</f>
        <v/>
      </c>
      <c r="Q101" s="40">
        <f t="shared" si="3"/>
        <v>0</v>
      </c>
    </row>
    <row r="102" spans="16:17" x14ac:dyDescent="0.25">
      <c r="P102" s="40" t="str">
        <f>IF(N102="IRRIGATED",IF(E102/M102&gt;=SCORES!I$5,1,0),"")</f>
        <v/>
      </c>
      <c r="Q102" s="40">
        <f t="shared" si="3"/>
        <v>0</v>
      </c>
    </row>
    <row r="103" spans="16:17" x14ac:dyDescent="0.25">
      <c r="P103" s="40" t="str">
        <f>IF(N103="IRRIGATED",IF(E103/M103&gt;=SCORES!I$5,1,0),"")</f>
        <v/>
      </c>
      <c r="Q103" s="40">
        <f t="shared" si="3"/>
        <v>0</v>
      </c>
    </row>
    <row r="104" spans="16:17" x14ac:dyDescent="0.25">
      <c r="P104" s="40" t="str">
        <f>IF(N104="IRRIGATED",IF(E104/M104&gt;=SCORES!I$5,1,0),"")</f>
        <v/>
      </c>
      <c r="Q104" s="40">
        <f t="shared" si="3"/>
        <v>0</v>
      </c>
    </row>
    <row r="105" spans="16:17" x14ac:dyDescent="0.25">
      <c r="P105" s="40" t="str">
        <f>IF(N105="IRRIGATED",IF(E105/M105&gt;=SCORES!I$5,1,0),"")</f>
        <v/>
      </c>
      <c r="Q105" s="40">
        <f t="shared" si="3"/>
        <v>0</v>
      </c>
    </row>
    <row r="106" spans="16:17" x14ac:dyDescent="0.25">
      <c r="P106" s="40" t="str">
        <f>IF(N106="IRRIGATED",IF(E106/M106&gt;=SCORES!I$5,1,0),"")</f>
        <v/>
      </c>
      <c r="Q106" s="40">
        <f t="shared" si="3"/>
        <v>0</v>
      </c>
    </row>
    <row r="107" spans="16:17" x14ac:dyDescent="0.25">
      <c r="P107" s="40" t="str">
        <f>IF(N107="IRRIGATED",IF(E107/M107&gt;=SCORES!I$5,1,0),"")</f>
        <v/>
      </c>
      <c r="Q107" s="40">
        <f t="shared" si="3"/>
        <v>0</v>
      </c>
    </row>
    <row r="108" spans="16:17" x14ac:dyDescent="0.25">
      <c r="P108" s="40" t="str">
        <f>IF(N108="IRRIGATED",IF(E108/M108&gt;=SCORES!I$5,1,0),"")</f>
        <v/>
      </c>
      <c r="Q108" s="40">
        <f t="shared" si="3"/>
        <v>0</v>
      </c>
    </row>
    <row r="109" spans="16:17" x14ac:dyDescent="0.25">
      <c r="P109" s="40" t="str">
        <f>IF(N109="IRRIGATED",IF(E109/M109&gt;=SCORES!I$5,1,0),"")</f>
        <v/>
      </c>
      <c r="Q109" s="40">
        <f t="shared" si="3"/>
        <v>0</v>
      </c>
    </row>
    <row r="110" spans="16:17" x14ac:dyDescent="0.25">
      <c r="P110" s="40" t="str">
        <f>IF(N110="IRRIGATED",IF(E110/M110&gt;=SCORES!I$5,1,0),"")</f>
        <v/>
      </c>
      <c r="Q110" s="40">
        <f t="shared" si="3"/>
        <v>0</v>
      </c>
    </row>
    <row r="111" spans="16:17" x14ac:dyDescent="0.25">
      <c r="P111" s="40" t="str">
        <f>IF(N111="IRRIGATED",IF(E111/M111&gt;=SCORES!I$5,1,0),"")</f>
        <v/>
      </c>
      <c r="Q111" s="40">
        <f t="shared" si="3"/>
        <v>0</v>
      </c>
    </row>
    <row r="112" spans="16:17" x14ac:dyDescent="0.25">
      <c r="P112" s="40" t="str">
        <f>IF(N112="IRRIGATED",IF(E112/M112&gt;=SCORES!I$5,1,0),"")</f>
        <v/>
      </c>
      <c r="Q112" s="40">
        <f t="shared" si="3"/>
        <v>0</v>
      </c>
    </row>
    <row r="113" spans="16:17" x14ac:dyDescent="0.25">
      <c r="P113" s="40" t="str">
        <f>IF(N113="IRRIGATED",IF(E113/M113&gt;=SCORES!I$5,1,0),"")</f>
        <v/>
      </c>
      <c r="Q113" s="40">
        <f t="shared" si="3"/>
        <v>0</v>
      </c>
    </row>
    <row r="114" spans="16:17" x14ac:dyDescent="0.25">
      <c r="P114" s="40" t="str">
        <f>IF(N114="IRRIGATED",IF(E114/M114&gt;=SCORES!I$5,1,0),"")</f>
        <v/>
      </c>
      <c r="Q114" s="40">
        <f t="shared" si="3"/>
        <v>0</v>
      </c>
    </row>
    <row r="115" spans="16:17" x14ac:dyDescent="0.25">
      <c r="P115" s="40" t="str">
        <f>IF(N115="IRRIGATED",IF(E115/M115&gt;=SCORES!I$5,1,0),"")</f>
        <v/>
      </c>
      <c r="Q115" s="40">
        <f t="shared" ref="Q115:Q142" si="4">A115*10000*F115/1000/10^6</f>
        <v>0</v>
      </c>
    </row>
    <row r="116" spans="16:17" x14ac:dyDescent="0.25">
      <c r="P116" s="40" t="str">
        <f>IF(N116="IRRIGATED",IF(E116/M116&gt;=SCORES!I$5,1,0),"")</f>
        <v/>
      </c>
      <c r="Q116" s="40">
        <f t="shared" si="4"/>
        <v>0</v>
      </c>
    </row>
    <row r="117" spans="16:17" x14ac:dyDescent="0.25">
      <c r="P117" s="40" t="str">
        <f>IF(N117="IRRIGATED",IF(E117/M117&gt;=SCORES!I$5,1,0),"")</f>
        <v/>
      </c>
      <c r="Q117" s="40">
        <f t="shared" si="4"/>
        <v>0</v>
      </c>
    </row>
    <row r="118" spans="16:17" x14ac:dyDescent="0.25">
      <c r="P118" s="40" t="str">
        <f>IF(N118="IRRIGATED",IF(E118/M118&gt;=SCORES!I$5,1,0),"")</f>
        <v/>
      </c>
      <c r="Q118" s="40">
        <f t="shared" si="4"/>
        <v>0</v>
      </c>
    </row>
    <row r="119" spans="16:17" x14ac:dyDescent="0.25">
      <c r="P119" s="40" t="str">
        <f>IF(N119="IRRIGATED",IF(E119/M119&gt;=SCORES!I$5,1,0),"")</f>
        <v/>
      </c>
      <c r="Q119" s="40">
        <f t="shared" si="4"/>
        <v>0</v>
      </c>
    </row>
    <row r="120" spans="16:17" x14ac:dyDescent="0.25">
      <c r="P120" s="40" t="str">
        <f>IF(N120="IRRIGATED",IF(E120/M120&gt;=SCORES!I$5,1,0),"")</f>
        <v/>
      </c>
      <c r="Q120" s="40">
        <f t="shared" si="4"/>
        <v>0</v>
      </c>
    </row>
    <row r="121" spans="16:17" x14ac:dyDescent="0.25">
      <c r="P121" s="40" t="str">
        <f>IF(N121="IRRIGATED",IF(E121/M121&gt;=SCORES!I$5,1,0),"")</f>
        <v/>
      </c>
      <c r="Q121" s="40">
        <f t="shared" si="4"/>
        <v>0</v>
      </c>
    </row>
    <row r="122" spans="16:17" x14ac:dyDescent="0.25">
      <c r="P122" s="40" t="str">
        <f>IF(N122="IRRIGATED",IF(E122/M122&gt;=SCORES!I$5,1,0),"")</f>
        <v/>
      </c>
      <c r="Q122" s="40">
        <f t="shared" si="4"/>
        <v>0</v>
      </c>
    </row>
    <row r="123" spans="16:17" x14ac:dyDescent="0.25">
      <c r="P123" s="40" t="str">
        <f>IF(N123="IRRIGATED",IF(E123/M123&gt;=SCORES!I$5,1,0),"")</f>
        <v/>
      </c>
      <c r="Q123" s="40">
        <f t="shared" si="4"/>
        <v>0</v>
      </c>
    </row>
    <row r="124" spans="16:17" x14ac:dyDescent="0.25">
      <c r="P124" s="40" t="str">
        <f>IF(N124="IRRIGATED",IF(E124/M124&gt;=SCORES!I$5,1,0),"")</f>
        <v/>
      </c>
      <c r="Q124" s="40">
        <f t="shared" si="4"/>
        <v>0</v>
      </c>
    </row>
    <row r="125" spans="16:17" x14ac:dyDescent="0.25">
      <c r="P125" s="40" t="str">
        <f>IF(N125="IRRIGATED",IF(E125/M125&gt;=SCORES!I$5,1,0),"")</f>
        <v/>
      </c>
      <c r="Q125" s="40">
        <f t="shared" si="4"/>
        <v>0</v>
      </c>
    </row>
    <row r="126" spans="16:17" x14ac:dyDescent="0.25">
      <c r="P126" s="40" t="str">
        <f>IF(N126="IRRIGATED",IF(E126/M126&gt;=SCORES!I$5,1,0),"")</f>
        <v/>
      </c>
      <c r="Q126" s="40">
        <f t="shared" si="4"/>
        <v>0</v>
      </c>
    </row>
    <row r="127" spans="16:17" x14ac:dyDescent="0.25">
      <c r="P127" s="40" t="str">
        <f>IF(N127="IRRIGATED",IF(E127/M127&gt;=SCORES!I$5,1,0),"")</f>
        <v/>
      </c>
      <c r="Q127" s="40">
        <f t="shared" si="4"/>
        <v>0</v>
      </c>
    </row>
    <row r="128" spans="16:17" x14ac:dyDescent="0.25">
      <c r="P128" s="40" t="str">
        <f>IF(N128="IRRIGATED",IF(E128/M128&gt;=SCORES!I$5,1,0),"")</f>
        <v/>
      </c>
      <c r="Q128" s="40">
        <f t="shared" si="4"/>
        <v>0</v>
      </c>
    </row>
    <row r="129" spans="16:17" x14ac:dyDescent="0.25">
      <c r="P129" s="40" t="str">
        <f>IF(N129="IRRIGATED",IF(E129/M129&gt;=SCORES!I$5,1,0),"")</f>
        <v/>
      </c>
      <c r="Q129" s="40">
        <f t="shared" si="4"/>
        <v>0</v>
      </c>
    </row>
    <row r="130" spans="16:17" x14ac:dyDescent="0.25">
      <c r="P130" s="40" t="str">
        <f>IF(N130="IRRIGATED",IF(E130/M130&gt;=SCORES!I$5,1,0),"")</f>
        <v/>
      </c>
      <c r="Q130" s="40">
        <f t="shared" si="4"/>
        <v>0</v>
      </c>
    </row>
    <row r="131" spans="16:17" x14ac:dyDescent="0.25">
      <c r="P131" s="40" t="str">
        <f>IF(N131="IRRIGATED",IF(E131/M131&gt;=SCORES!I$5,1,0),"")</f>
        <v/>
      </c>
      <c r="Q131" s="40">
        <f t="shared" si="4"/>
        <v>0</v>
      </c>
    </row>
    <row r="132" spans="16:17" x14ac:dyDescent="0.25">
      <c r="P132" s="40" t="str">
        <f>IF(N132="IRRIGATED",IF(E132/M132&gt;=SCORES!I$5,1,0),"")</f>
        <v/>
      </c>
      <c r="Q132" s="40">
        <f t="shared" si="4"/>
        <v>0</v>
      </c>
    </row>
    <row r="133" spans="16:17" x14ac:dyDescent="0.25">
      <c r="P133" s="40" t="str">
        <f>IF(N133="IRRIGATED",IF(E133/M133&gt;=SCORES!I$5,1,0),"")</f>
        <v/>
      </c>
      <c r="Q133" s="40">
        <f t="shared" si="4"/>
        <v>0</v>
      </c>
    </row>
    <row r="134" spans="16:17" x14ac:dyDescent="0.25">
      <c r="P134" s="40" t="str">
        <f>IF(N134="IRRIGATED",IF(E134/M134&gt;=SCORES!I$5,1,0),"")</f>
        <v/>
      </c>
      <c r="Q134" s="40">
        <f t="shared" si="4"/>
        <v>0</v>
      </c>
    </row>
    <row r="135" spans="16:17" x14ac:dyDescent="0.25">
      <c r="P135" s="40" t="str">
        <f>IF(N135="IRRIGATED",IF(E135/M135&gt;=SCORES!I$5,1,0),"")</f>
        <v/>
      </c>
      <c r="Q135" s="40">
        <f t="shared" si="4"/>
        <v>0</v>
      </c>
    </row>
    <row r="136" spans="16:17" x14ac:dyDescent="0.25">
      <c r="P136" s="40" t="str">
        <f>IF(N136="IRRIGATED",IF(E136/M136&gt;=SCORES!I$5,1,0),"")</f>
        <v/>
      </c>
      <c r="Q136" s="40">
        <f t="shared" si="4"/>
        <v>0</v>
      </c>
    </row>
    <row r="137" spans="16:17" x14ac:dyDescent="0.25">
      <c r="P137" s="40" t="str">
        <f>IF(N137="IRRIGATED",IF(E137/M137&gt;=SCORES!I$5,1,0),"")</f>
        <v/>
      </c>
      <c r="Q137" s="40">
        <f t="shared" si="4"/>
        <v>0</v>
      </c>
    </row>
    <row r="138" spans="16:17" x14ac:dyDescent="0.25">
      <c r="P138" s="40" t="str">
        <f>IF(N138="IRRIGATED",IF(E138/M138&gt;=SCORES!I$5,1,0),"")</f>
        <v/>
      </c>
      <c r="Q138" s="40">
        <f t="shared" si="4"/>
        <v>0</v>
      </c>
    </row>
    <row r="139" spans="16:17" x14ac:dyDescent="0.25">
      <c r="P139" s="40" t="str">
        <f>IF(N139="IRRIGATED",IF(E139/M139&gt;=SCORES!I$5,1,0),"")</f>
        <v/>
      </c>
      <c r="Q139" s="40">
        <f t="shared" si="4"/>
        <v>0</v>
      </c>
    </row>
    <row r="140" spans="16:17" x14ac:dyDescent="0.25">
      <c r="P140" s="40" t="str">
        <f>IF(N140="IRRIGATED",IF(E140/M140&gt;=SCORES!I$5,1,0),"")</f>
        <v/>
      </c>
      <c r="Q140" s="40">
        <f t="shared" si="4"/>
        <v>0</v>
      </c>
    </row>
    <row r="141" spans="16:17" x14ac:dyDescent="0.25">
      <c r="P141" s="40" t="str">
        <f>IF(N141="IRRIGATED",IF(E141/M141&gt;=SCORES!I$5,1,0),"")</f>
        <v/>
      </c>
      <c r="Q141" s="40">
        <f t="shared" si="4"/>
        <v>0</v>
      </c>
    </row>
    <row r="142" spans="16:17" x14ac:dyDescent="0.25">
      <c r="P142" s="40" t="str">
        <f>IF(N142="IRRIGATED",IF(E142/M142&gt;=SCORES!I$5,1,0),"")</f>
        <v/>
      </c>
      <c r="Q142" s="40">
        <f t="shared" si="4"/>
        <v>0</v>
      </c>
    </row>
  </sheetData>
  <sortState xmlns:xlrd2="http://schemas.microsoft.com/office/spreadsheetml/2017/richdata2" ref="A2:Q142">
    <sortCondition ref="B1:B14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555-8D8B-A844-816B-723C71F9F29D}">
  <dimension ref="A3:I40"/>
  <sheetViews>
    <sheetView workbookViewId="0">
      <pane xSplit="1" topLeftCell="B1" activePane="topRight" state="frozen"/>
      <selection pane="topRight" activeCell="B14" sqref="B14"/>
    </sheetView>
  </sheetViews>
  <sheetFormatPr defaultColWidth="11.25" defaultRowHeight="15.75" x14ac:dyDescent="0.25"/>
  <cols>
    <col min="1" max="1" width="32" bestFit="1" customWidth="1"/>
    <col min="4" max="4" width="19.5" bestFit="1" customWidth="1"/>
    <col min="5" max="5" width="22" bestFit="1" customWidth="1"/>
    <col min="8" max="8" width="11.25" bestFit="1" customWidth="1"/>
  </cols>
  <sheetData>
    <row r="3" spans="1:7" x14ac:dyDescent="0.25">
      <c r="A3" s="5" t="s">
        <v>103</v>
      </c>
      <c r="B3" s="5" t="s">
        <v>104</v>
      </c>
      <c r="C3" s="5" t="s">
        <v>214</v>
      </c>
      <c r="D3" s="5" t="s">
        <v>108</v>
      </c>
      <c r="E3" s="5" t="s">
        <v>109</v>
      </c>
      <c r="F3" s="5" t="s">
        <v>81</v>
      </c>
    </row>
    <row r="5" spans="1:7" x14ac:dyDescent="0.25">
      <c r="A5" s="9" t="s">
        <v>49</v>
      </c>
      <c r="B5" s="25" t="e">
        <f>AVERAGEIFS('Data(perCrop)'!A:A,'Data(perCrop)'!$B:$B,'Data(FAO-AQUASTAT)'!$A5)</f>
        <v>#DIV/0!</v>
      </c>
      <c r="C5" s="25" t="e">
        <f>AVERAGEIFS('Data(perCrop)'!E:E,'Data(perCrop)'!$B:$B,'Data(FAO-AQUASTAT)'!$A5)</f>
        <v>#DIV/0!</v>
      </c>
      <c r="E5" s="38"/>
      <c r="F5" t="str">
        <f>IF(ISNUMBER(B5),IF(E5&gt;=SCORES!I$5,1,0),"")</f>
        <v/>
      </c>
      <c r="G5" s="8"/>
    </row>
    <row r="6" spans="1:7" x14ac:dyDescent="0.25">
      <c r="A6" s="9" t="s">
        <v>59</v>
      </c>
      <c r="B6" s="25">
        <f>AVERAGEIFS('Data(perCrop)'!A:A,'Data(perCrop)'!$B:$B,'Data(FAO-AQUASTAT)'!$A6)</f>
        <v>4967.8228398215015</v>
      </c>
      <c r="C6" s="25">
        <f>AVERAGEIFS('Data(perCrop)'!E:E,'Data(perCrop)'!$B:$B,'Data(FAO-AQUASTAT)'!$A6)</f>
        <v>539.4</v>
      </c>
      <c r="D6">
        <v>7</v>
      </c>
      <c r="E6" s="38">
        <v>746</v>
      </c>
      <c r="F6">
        <f>IF(ISNUMBER(B6),IF(E6&gt;=SCORES!I$5,1,0),"")</f>
        <v>1</v>
      </c>
      <c r="G6" s="8"/>
    </row>
    <row r="7" spans="1:7" x14ac:dyDescent="0.25">
      <c r="A7" s="9" t="s">
        <v>136</v>
      </c>
      <c r="B7" s="25" t="e">
        <f>AVERAGEIFS('Data(perCrop)'!A:A,'Data(perCrop)'!$B:$B,'Data(FAO-AQUASTAT)'!$A7)</f>
        <v>#DIV/0!</v>
      </c>
      <c r="C7" s="25" t="e">
        <f>AVERAGEIFS('Data(perCrop)'!E:E,'Data(perCrop)'!$B:$B,'Data(FAO-AQUASTAT)'!$A7)</f>
        <v>#DIV/0!</v>
      </c>
      <c r="E7" s="38"/>
      <c r="F7" t="str">
        <f>IF(ISNUMBER(B7),IF(E7&gt;=SCORES!I$5,1,0),"")</f>
        <v/>
      </c>
      <c r="G7" s="8"/>
    </row>
    <row r="8" spans="1:7" x14ac:dyDescent="0.25">
      <c r="A8" s="9" t="s">
        <v>52</v>
      </c>
      <c r="B8" s="25" t="e">
        <f>AVERAGEIFS('Data(perCrop)'!A:A,'Data(perCrop)'!$B:$B,'Data(FAO-AQUASTAT)'!$A8)</f>
        <v>#DIV/0!</v>
      </c>
      <c r="C8" s="25" t="e">
        <f>AVERAGEIFS('Data(perCrop)'!E:E,'Data(perCrop)'!$B:$B,'Data(FAO-AQUASTAT)'!$A8)</f>
        <v>#DIV/0!</v>
      </c>
      <c r="E8" s="38"/>
      <c r="F8" t="str">
        <f>IF(ISNUMBER(B8),IF(E8&gt;=SCORES!I$5,1,0),"")</f>
        <v/>
      </c>
      <c r="G8" s="8"/>
    </row>
    <row r="9" spans="1:7" x14ac:dyDescent="0.25">
      <c r="A9" s="9" t="s">
        <v>60</v>
      </c>
      <c r="B9" s="25" t="e">
        <f>AVERAGEIFS('Data(perCrop)'!A:A,'Data(perCrop)'!$B:$B,'Data(FAO-AQUASTAT)'!$A9)</f>
        <v>#DIV/0!</v>
      </c>
      <c r="C9" s="25" t="e">
        <f>AVERAGEIFS('Data(perCrop)'!E:E,'Data(perCrop)'!$B:$B,'Data(FAO-AQUASTAT)'!$A9)</f>
        <v>#DIV/0!</v>
      </c>
      <c r="E9" s="38"/>
      <c r="F9" t="str">
        <f>IF(ISNUMBER(B9),IF(E9&gt;=SCORES!I$5,1,0),"")</f>
        <v/>
      </c>
      <c r="G9" s="8"/>
    </row>
    <row r="10" spans="1:7" x14ac:dyDescent="0.25">
      <c r="A10" s="9" t="s">
        <v>53</v>
      </c>
      <c r="B10" s="25" t="e">
        <f>AVERAGEIFS('Data(perCrop)'!A:A,'Data(perCrop)'!$B:$B,'Data(FAO-AQUASTAT)'!$A10)</f>
        <v>#DIV/0!</v>
      </c>
      <c r="C10" s="25" t="e">
        <f>AVERAGEIFS('Data(perCrop)'!E:E,'Data(perCrop)'!$B:$B,'Data(FAO-AQUASTAT)'!$A10)</f>
        <v>#DIV/0!</v>
      </c>
      <c r="E10" s="38"/>
      <c r="F10" t="str">
        <f>IF(ISNUMBER(B10),IF(E10&gt;=SCORES!I$5,1,0),"")</f>
        <v/>
      </c>
      <c r="G10" s="8"/>
    </row>
    <row r="11" spans="1:7" x14ac:dyDescent="0.25">
      <c r="A11" s="9" t="s">
        <v>120</v>
      </c>
      <c r="B11" s="25" t="e">
        <f>AVERAGEIFS('Data(perCrop)'!A:A,'Data(perCrop)'!$B:$B,'Data(FAO-AQUASTAT)'!$A11)</f>
        <v>#DIV/0!</v>
      </c>
      <c r="C11" s="25" t="e">
        <f>AVERAGEIFS('Data(perCrop)'!E:E,'Data(perCrop)'!$B:$B,'Data(FAO-AQUASTAT)'!$A11)</f>
        <v>#DIV/0!</v>
      </c>
      <c r="E11" s="38"/>
      <c r="F11" t="str">
        <f>IF(ISNUMBER(B11),IF(E11&gt;=SCORES!I$5,1,0),"")</f>
        <v/>
      </c>
      <c r="G11" s="8"/>
    </row>
    <row r="12" spans="1:7" x14ac:dyDescent="0.25">
      <c r="A12" s="9" t="s">
        <v>54</v>
      </c>
      <c r="B12" s="25" t="e">
        <f>AVERAGEIFS('Data(perCrop)'!A:A,'Data(perCrop)'!$B:$B,'Data(FAO-AQUASTAT)'!$A12)</f>
        <v>#DIV/0!</v>
      </c>
      <c r="C12" s="25" t="e">
        <f>AVERAGEIFS('Data(perCrop)'!E:E,'Data(perCrop)'!$B:$B,'Data(FAO-AQUASTAT)'!$A12)</f>
        <v>#DIV/0!</v>
      </c>
      <c r="E12" s="37"/>
      <c r="F12" t="str">
        <f>IF(ISNUMBER(B12),IF(E12&gt;=SCORES!I$5,1,0),"")</f>
        <v/>
      </c>
    </row>
    <row r="13" spans="1:7" x14ac:dyDescent="0.25">
      <c r="A13" s="9" t="s">
        <v>61</v>
      </c>
      <c r="B13" s="25" t="e">
        <f>AVERAGEIFS('Data(perCrop)'!A:A,'Data(perCrop)'!$B:$B,'Data(FAO-AQUASTAT)'!$A13)</f>
        <v>#DIV/0!</v>
      </c>
      <c r="C13" s="25" t="e">
        <f>AVERAGEIFS('Data(perCrop)'!E:E,'Data(perCrop)'!$B:$B,'Data(FAO-AQUASTAT)'!$A13)</f>
        <v>#DIV/0!</v>
      </c>
      <c r="E13" s="37"/>
      <c r="F13" t="str">
        <f>IF(ISNUMBER(B13),IF(E13&gt;=SCORES!I$5,1,0),"")</f>
        <v/>
      </c>
    </row>
    <row r="14" spans="1:7" x14ac:dyDescent="0.25">
      <c r="A14" s="9" t="s">
        <v>137</v>
      </c>
      <c r="B14" s="25" t="e">
        <f>AVERAGEIFS('Data(perCrop)'!A:A,'Data(perCrop)'!$B:$B,'Data(FAO-AQUASTAT)'!$A14)</f>
        <v>#DIV/0!</v>
      </c>
      <c r="C14" s="25" t="e">
        <f>AVERAGEIFS('Data(perCrop)'!E:E,'Data(perCrop)'!$B:$B,'Data(FAO-AQUASTAT)'!$A14)</f>
        <v>#DIV/0!</v>
      </c>
      <c r="E14" s="37"/>
      <c r="F14" t="str">
        <f>IF(ISNUMBER(B14),IF(E14&gt;=SCORES!I$5,1,0),"")</f>
        <v/>
      </c>
    </row>
    <row r="15" spans="1:7" x14ac:dyDescent="0.25">
      <c r="A15" s="9" t="s">
        <v>56</v>
      </c>
      <c r="B15" s="25" t="e">
        <f>AVERAGEIFS('Data(perCrop)'!A:A,'Data(perCrop)'!$B:$B,'Data(FAO-AQUASTAT)'!$A15)</f>
        <v>#DIV/0!</v>
      </c>
      <c r="C15" s="25" t="e">
        <f>AVERAGEIFS('Data(perCrop)'!E:E,'Data(perCrop)'!$B:$B,'Data(FAO-AQUASTAT)'!$A15)</f>
        <v>#DIV/0!</v>
      </c>
      <c r="E15" s="37"/>
      <c r="F15" t="str">
        <f>IF(ISNUMBER(B15),IF(E15&gt;=SCORES!I$5,1,0),"")</f>
        <v/>
      </c>
    </row>
    <row r="16" spans="1:7" x14ac:dyDescent="0.25">
      <c r="A16" s="9" t="s">
        <v>138</v>
      </c>
      <c r="B16" s="25" t="e">
        <f>AVERAGEIFS('Data(perCrop)'!A:A,'Data(perCrop)'!$B:$B,'Data(FAO-AQUASTAT)'!$A16)</f>
        <v>#DIV/0!</v>
      </c>
      <c r="C16" s="25" t="e">
        <f>AVERAGEIFS('Data(perCrop)'!E:E,'Data(perCrop)'!$B:$B,'Data(FAO-AQUASTAT)'!$A16)</f>
        <v>#DIV/0!</v>
      </c>
      <c r="E16" s="38"/>
      <c r="F16" t="str">
        <f>IF(ISNUMBER(B16),IF(E16&gt;=SCORES!I$5,1,0),"")</f>
        <v/>
      </c>
      <c r="G16" s="8"/>
    </row>
    <row r="17" spans="1:9" x14ac:dyDescent="0.25">
      <c r="A17" s="9" t="s">
        <v>50</v>
      </c>
      <c r="B17" s="25" t="e">
        <f>AVERAGEIFS('Data(perCrop)'!A:A,'Data(perCrop)'!$B:$B,'Data(FAO-AQUASTAT)'!$A17)</f>
        <v>#DIV/0!</v>
      </c>
      <c r="C17" s="25" t="e">
        <f>AVERAGEIFS('Data(perCrop)'!E:E,'Data(perCrop)'!$B:$B,'Data(FAO-AQUASTAT)'!$A17)</f>
        <v>#DIV/0!</v>
      </c>
      <c r="E17" s="38"/>
      <c r="F17" t="str">
        <f>IF(ISNUMBER(B17),IF(E17&gt;=SCORES!I$5,1,0),"")</f>
        <v/>
      </c>
      <c r="G17" s="8"/>
    </row>
    <row r="18" spans="1:9" x14ac:dyDescent="0.25">
      <c r="A18" s="9" t="s">
        <v>55</v>
      </c>
      <c r="B18" s="25">
        <f>AVERAGEIFS('Data(perCrop)'!A:A,'Data(perCrop)'!$B:$B,'Data(FAO-AQUASTAT)'!$A18)</f>
        <v>1894.5166691436302</v>
      </c>
      <c r="C18" s="25">
        <f>AVERAGEIFS('Data(perCrop)'!E:E,'Data(perCrop)'!$B:$B,'Data(FAO-AQUASTAT)'!$A18)</f>
        <v>551.79999999999995</v>
      </c>
      <c r="E18" s="38"/>
      <c r="F18">
        <v>1</v>
      </c>
      <c r="G18" s="8"/>
    </row>
    <row r="19" spans="1:9" x14ac:dyDescent="0.25">
      <c r="A19" s="9" t="s">
        <v>51</v>
      </c>
      <c r="B19" s="25">
        <f>AVERAGEIFS('Data(perCrop)'!A:A,'Data(perCrop)'!$B:$B,'Data(FAO-AQUASTAT)'!$A19)</f>
        <v>554.11424438458744</v>
      </c>
      <c r="C19" s="25">
        <f>AVERAGEIFS('Data(perCrop)'!E:E,'Data(perCrop)'!$B:$B,'Data(FAO-AQUASTAT)'!$A19)</f>
        <v>377.6</v>
      </c>
      <c r="E19" s="38"/>
      <c r="F19">
        <f>IF(ISNUMBER(B19),IF(E19&gt;=SCORES!I$5,1,0),"")</f>
        <v>0</v>
      </c>
      <c r="G19" s="8"/>
    </row>
    <row r="20" spans="1:9" x14ac:dyDescent="0.25">
      <c r="A20" s="9" t="s">
        <v>58</v>
      </c>
      <c r="B20" s="25" t="e">
        <f>AVERAGEIFS('Data(perCrop)'!A:A,'Data(perCrop)'!$B:$B,'Data(FAO-AQUASTAT)'!$A20)</f>
        <v>#DIV/0!</v>
      </c>
      <c r="C20" s="25" t="e">
        <f>AVERAGEIFS('Data(perCrop)'!E:E,'Data(perCrop)'!$B:$B,'Data(FAO-AQUASTAT)'!$A20)</f>
        <v>#DIV/0!</v>
      </c>
      <c r="E20" s="38"/>
      <c r="G20" s="8"/>
    </row>
    <row r="21" spans="1:9" x14ac:dyDescent="0.25">
      <c r="A21" s="9" t="s">
        <v>128</v>
      </c>
      <c r="B21" s="25">
        <f>AVERAGEIFS('Data(perCrop)'!A:A,'Data(perCrop)'!$B:$B,'Data(FAO-AQUASTAT)'!$A21)</f>
        <v>909.22224271560958</v>
      </c>
      <c r="C21" s="25">
        <f>AVERAGEIFS('Data(perCrop)'!E:E,'Data(perCrop)'!$B:$B,'Data(FAO-AQUASTAT)'!$A21)</f>
        <v>745.4</v>
      </c>
      <c r="E21" s="38"/>
      <c r="G21" s="8"/>
    </row>
    <row r="22" spans="1:9" x14ac:dyDescent="0.25">
      <c r="A22" s="9" t="s">
        <v>129</v>
      </c>
      <c r="B22" s="25" t="e">
        <f>AVERAGEIFS('Data(perCrop)'!A:A,'Data(perCrop)'!$B:$B,'Data(FAO-AQUASTAT)'!$A22)</f>
        <v>#DIV/0!</v>
      </c>
      <c r="C22" s="25" t="e">
        <f>AVERAGEIFS('Data(perCrop)'!E:E,'Data(perCrop)'!$B:$B,'Data(FAO-AQUASTAT)'!$A22)</f>
        <v>#DIV/0!</v>
      </c>
      <c r="E22" s="38"/>
      <c r="G22" s="8"/>
    </row>
    <row r="23" spans="1:9" x14ac:dyDescent="0.25">
      <c r="A23" s="9" t="s">
        <v>127</v>
      </c>
      <c r="B23" s="25" t="e">
        <f>AVERAGEIFS('Data(perCrop)'!A:A,'Data(perCrop)'!$B:$B,'Data(FAO-AQUASTAT)'!$A23)</f>
        <v>#DIV/0!</v>
      </c>
      <c r="C23" s="25" t="e">
        <f>AVERAGEIFS('Data(perCrop)'!E:E,'Data(perCrop)'!$B:$B,'Data(FAO-AQUASTAT)'!$A23)</f>
        <v>#DIV/0!</v>
      </c>
      <c r="E23" s="38"/>
      <c r="G23" s="8"/>
    </row>
    <row r="24" spans="1:9" x14ac:dyDescent="0.25">
      <c r="A24" s="9" t="s">
        <v>132</v>
      </c>
      <c r="B24" s="25">
        <f>AVERAGEIFS('Data(perCrop)'!A:A,'Data(perCrop)'!$B:$B,'Data(FAO-AQUASTAT)'!$A24)</f>
        <v>2032.0870486639051</v>
      </c>
      <c r="C24" s="25">
        <f>AVERAGEIFS('Data(perCrop)'!E:E,'Data(perCrop)'!$B:$B,'Data(FAO-AQUASTAT)'!$A24)</f>
        <v>1103.8</v>
      </c>
      <c r="E24" s="38"/>
      <c r="G24" s="8"/>
    </row>
    <row r="25" spans="1:9" x14ac:dyDescent="0.25">
      <c r="A25" s="9" t="s">
        <v>139</v>
      </c>
      <c r="B25" s="25" t="e">
        <f>AVERAGEIFS('Data(perCrop)'!A:A,'Data(perCrop)'!$B:$B,'Data(FAO-AQUASTAT)'!$A25)</f>
        <v>#DIV/0!</v>
      </c>
      <c r="C25" s="25" t="e">
        <f>AVERAGEIFS('Data(perCrop)'!E:E,'Data(perCrop)'!$B:$B,'Data(FAO-AQUASTAT)'!$A25)</f>
        <v>#DIV/0!</v>
      </c>
      <c r="E25" s="38"/>
      <c r="G25" s="8"/>
    </row>
    <row r="26" spans="1:9" x14ac:dyDescent="0.25">
      <c r="A26" s="9" t="s">
        <v>140</v>
      </c>
      <c r="B26" s="25" t="e">
        <f>AVERAGEIFS('Data(perCrop)'!A:A,'Data(perCrop)'!$B:$B,'Data(FAO-AQUASTAT)'!$A26)</f>
        <v>#DIV/0!</v>
      </c>
      <c r="C26" s="25" t="e">
        <f>AVERAGEIFS('Data(perCrop)'!E:E,'Data(perCrop)'!$B:$B,'Data(FAO-AQUASTAT)'!$A26)</f>
        <v>#DIV/0!</v>
      </c>
      <c r="E26" s="38"/>
      <c r="G26" s="8"/>
    </row>
    <row r="27" spans="1:9" x14ac:dyDescent="0.25">
      <c r="A27" s="9" t="s">
        <v>141</v>
      </c>
      <c r="B27" s="25" t="e">
        <f>AVERAGEIFS('Data(perCrop)'!A:A,'Data(perCrop)'!$B:$B,'Data(FAO-AQUASTAT)'!$A27)</f>
        <v>#DIV/0!</v>
      </c>
      <c r="C27" s="25" t="e">
        <f>AVERAGEIFS('Data(perCrop)'!E:E,'Data(perCrop)'!$B:$B,'Data(FAO-AQUASTAT)'!$A27)</f>
        <v>#DIV/0!</v>
      </c>
      <c r="E27" s="38"/>
      <c r="G27" s="8"/>
    </row>
    <row r="28" spans="1:9" x14ac:dyDescent="0.25">
      <c r="A28" s="9" t="s">
        <v>142</v>
      </c>
      <c r="B28" s="25" t="e">
        <f>AVERAGEIFS('Data(perCrop)'!A:A,'Data(perCrop)'!$B:$B,'Data(FAO-AQUASTAT)'!$A28)</f>
        <v>#DIV/0!</v>
      </c>
      <c r="C28" s="25" t="e">
        <f>AVERAGEIFS('Data(perCrop)'!E:E,'Data(perCrop)'!$B:$B,'Data(FAO-AQUASTAT)'!$A28)</f>
        <v>#DIV/0!</v>
      </c>
      <c r="E28" s="38"/>
      <c r="G28" s="8"/>
    </row>
    <row r="29" spans="1:9" x14ac:dyDescent="0.25">
      <c r="A29" s="9" t="s">
        <v>133</v>
      </c>
      <c r="B29" s="25" t="e">
        <f>AVERAGEIFS('Data(perCrop)'!A:A,'Data(perCrop)'!$B:$B,'Data(FAO-AQUASTAT)'!$A29)</f>
        <v>#DIV/0!</v>
      </c>
      <c r="C29" s="25" t="e">
        <f>AVERAGEIFS('Data(perCrop)'!E:E,'Data(perCrop)'!$B:$B,'Data(FAO-AQUASTAT)'!$A29)</f>
        <v>#DIV/0!</v>
      </c>
      <c r="E29" s="37"/>
      <c r="F29" s="8"/>
      <c r="G29" s="8"/>
      <c r="H29" s="25"/>
      <c r="I29" s="32"/>
    </row>
    <row r="30" spans="1:9" x14ac:dyDescent="0.25">
      <c r="A30" s="9" t="s">
        <v>130</v>
      </c>
      <c r="B30" s="25" t="e">
        <f>AVERAGEIFS('Data(perCrop)'!A:A,'Data(perCrop)'!$B:$B,'Data(FAO-AQUASTAT)'!$A30)</f>
        <v>#DIV/0!</v>
      </c>
      <c r="C30" s="25" t="e">
        <f>AVERAGEIFS('Data(perCrop)'!E:E,'Data(perCrop)'!$B:$B,'Data(FAO-AQUASTAT)'!$A30)</f>
        <v>#DIV/0!</v>
      </c>
      <c r="E30" s="37"/>
      <c r="F30" s="8"/>
      <c r="G30" s="8"/>
      <c r="H30" s="32"/>
      <c r="I30" s="32"/>
    </row>
    <row r="31" spans="1:9" x14ac:dyDescent="0.25">
      <c r="A31" s="9" t="s">
        <v>143</v>
      </c>
      <c r="B31" s="25" t="e">
        <f>AVERAGEIFS('Data(perCrop)'!A:A,'Data(perCrop)'!$B:$B,'Data(FAO-AQUASTAT)'!$A31)</f>
        <v>#DIV/0!</v>
      </c>
      <c r="C31" s="25" t="e">
        <f>AVERAGEIFS('Data(perCrop)'!E:E,'Data(perCrop)'!$B:$B,'Data(FAO-AQUASTAT)'!$A31)</f>
        <v>#DIV/0!</v>
      </c>
      <c r="E31" s="39"/>
      <c r="F31" s="8"/>
      <c r="G31" s="8"/>
      <c r="H31" s="32"/>
      <c r="I31" s="32"/>
    </row>
    <row r="32" spans="1:9" x14ac:dyDescent="0.25">
      <c r="A32" s="9" t="s">
        <v>144</v>
      </c>
      <c r="B32" s="25" t="e">
        <f>AVERAGEIFS('Data(perCrop)'!A:A,'Data(perCrop)'!$B:$B,'Data(FAO-AQUASTAT)'!$A32)</f>
        <v>#DIV/0!</v>
      </c>
      <c r="C32" s="25" t="e">
        <f>AVERAGEIFS('Data(perCrop)'!E:E,'Data(perCrop)'!$B:$B,'Data(FAO-AQUASTAT)'!$A32)</f>
        <v>#DIV/0!</v>
      </c>
      <c r="E32" s="39"/>
      <c r="F32" s="8"/>
      <c r="G32" s="8"/>
      <c r="H32" s="32"/>
      <c r="I32" s="32"/>
    </row>
    <row r="33" spans="1:9" x14ac:dyDescent="0.25">
      <c r="A33" s="9" t="s">
        <v>145</v>
      </c>
      <c r="B33" s="25" t="e">
        <f>AVERAGEIFS('Data(perCrop)'!A:A,'Data(perCrop)'!$B:$B,'Data(FAO-AQUASTAT)'!$A33)</f>
        <v>#DIV/0!</v>
      </c>
      <c r="C33" s="25" t="e">
        <f>AVERAGEIFS('Data(perCrop)'!E:E,'Data(perCrop)'!$B:$B,'Data(FAO-AQUASTAT)'!$A33)</f>
        <v>#DIV/0!</v>
      </c>
      <c r="E33" s="39"/>
      <c r="F33" s="8"/>
      <c r="G33" s="8"/>
      <c r="H33" s="32"/>
      <c r="I33" s="32"/>
    </row>
    <row r="34" spans="1:9" x14ac:dyDescent="0.25">
      <c r="A34" s="9" t="s">
        <v>134</v>
      </c>
      <c r="B34" s="25" t="e">
        <f>AVERAGEIFS('Data(perCrop)'!A:A,'Data(perCrop)'!$B:$B,'Data(FAO-AQUASTAT)'!$A34)</f>
        <v>#DIV/0!</v>
      </c>
      <c r="C34" s="25" t="e">
        <f>AVERAGEIFS('Data(perCrop)'!E:E,'Data(perCrop)'!$B:$B,'Data(FAO-AQUASTAT)'!$A34)</f>
        <v>#DIV/0!</v>
      </c>
      <c r="E34" s="39"/>
      <c r="F34" s="8"/>
      <c r="G34" s="8"/>
      <c r="H34" s="32"/>
      <c r="I34" s="32"/>
    </row>
    <row r="35" spans="1:9" x14ac:dyDescent="0.25">
      <c r="A35" s="9" t="s">
        <v>131</v>
      </c>
      <c r="B35" s="25" t="e">
        <f>AVERAGEIFS('Data(perCrop)'!A:A,'Data(perCrop)'!$B:$B,'Data(FAO-AQUASTAT)'!$A35)</f>
        <v>#DIV/0!</v>
      </c>
      <c r="C35" s="25" t="e">
        <f>AVERAGEIFS('Data(perCrop)'!E:E,'Data(perCrop)'!$B:$B,'Data(FAO-AQUASTAT)'!$A35)</f>
        <v>#DIV/0!</v>
      </c>
      <c r="E35" s="37"/>
      <c r="F35" s="9"/>
      <c r="G35" s="9"/>
    </row>
    <row r="36" spans="1:9" x14ac:dyDescent="0.25">
      <c r="E36" s="25"/>
      <c r="G36" s="8"/>
      <c r="I36" s="32"/>
    </row>
    <row r="37" spans="1:9" x14ac:dyDescent="0.25">
      <c r="E37" s="25"/>
      <c r="G37" s="8"/>
      <c r="I37" s="32"/>
    </row>
    <row r="39" spans="1:9" x14ac:dyDescent="0.25">
      <c r="E39" s="25"/>
      <c r="G39" s="8"/>
      <c r="I39" s="32"/>
    </row>
    <row r="40" spans="1:9" x14ac:dyDescent="0.25">
      <c r="E40" s="25"/>
      <c r="G40" s="8"/>
      <c r="I40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ED7C-5114-384E-9F38-44064ED8FBE5}">
  <dimension ref="A2:BM59"/>
  <sheetViews>
    <sheetView workbookViewId="0">
      <pane xSplit="1" ySplit="5" topLeftCell="I12" activePane="bottomRight" state="frozen"/>
      <selection pane="topRight" activeCell="B1" sqref="B1"/>
      <selection pane="bottomLeft" activeCell="A6" sqref="A6"/>
      <selection pane="bottomRight" activeCell="V21" sqref="V21:Z21"/>
    </sheetView>
  </sheetViews>
  <sheetFormatPr defaultColWidth="10.75" defaultRowHeight="15.75" x14ac:dyDescent="0.25"/>
  <cols>
    <col min="1" max="1" width="32.75" style="7" bestFit="1" customWidth="1"/>
    <col min="2" max="16384" width="10.75" style="7"/>
  </cols>
  <sheetData>
    <row r="2" spans="1:65" x14ac:dyDescent="0.25">
      <c r="A2" s="9" t="s">
        <v>103</v>
      </c>
      <c r="B2" s="9"/>
      <c r="C2" s="9" t="s">
        <v>104</v>
      </c>
      <c r="D2" s="9"/>
      <c r="E2" s="9"/>
      <c r="G2" s="9"/>
      <c r="J2" s="9" t="s">
        <v>105</v>
      </c>
      <c r="L2" s="9"/>
      <c r="M2" s="9"/>
      <c r="P2" s="9" t="s">
        <v>110</v>
      </c>
      <c r="Q2" s="9"/>
      <c r="R2" s="9"/>
      <c r="S2" s="9"/>
      <c r="T2" s="9"/>
      <c r="U2" s="9"/>
      <c r="V2" s="9" t="s">
        <v>112</v>
      </c>
      <c r="W2" s="9"/>
      <c r="X2" s="46"/>
      <c r="Y2" s="46"/>
      <c r="Z2" s="46"/>
      <c r="AA2" s="46"/>
      <c r="AB2" s="46" t="s">
        <v>147</v>
      </c>
      <c r="AC2" s="46"/>
      <c r="AD2" s="46"/>
      <c r="AE2" s="46"/>
      <c r="AF2" s="46"/>
      <c r="AG2" s="46"/>
      <c r="AH2" s="46" t="s">
        <v>1</v>
      </c>
      <c r="AI2" s="30"/>
      <c r="AJ2" s="30"/>
      <c r="AK2" s="30"/>
      <c r="AL2" s="30"/>
      <c r="AM2" s="9"/>
      <c r="AN2" s="9" t="s">
        <v>36</v>
      </c>
      <c r="AO2" s="9"/>
      <c r="AP2" s="9"/>
      <c r="AQ2" s="9"/>
      <c r="AR2" s="9"/>
      <c r="AS2" s="9"/>
      <c r="AT2" s="5" t="s">
        <v>78</v>
      </c>
      <c r="AU2" s="5" t="s">
        <v>79</v>
      </c>
      <c r="AV2" s="9" t="s">
        <v>190</v>
      </c>
      <c r="AW2" s="9"/>
      <c r="AX2" s="9"/>
      <c r="AY2" s="9"/>
      <c r="AZ2" s="9"/>
      <c r="BA2" s="9"/>
      <c r="BB2" s="9"/>
      <c r="BE2" s="9" t="s">
        <v>28</v>
      </c>
      <c r="BF2" s="7" t="s">
        <v>192</v>
      </c>
      <c r="BH2" s="9" t="s">
        <v>28</v>
      </c>
      <c r="BI2" s="7" t="s">
        <v>193</v>
      </c>
      <c r="BK2" s="9"/>
      <c r="BL2" s="5" t="s">
        <v>107</v>
      </c>
    </row>
    <row r="3" spans="1:65" x14ac:dyDescent="0.25">
      <c r="A3" s="7" t="str">
        <f>Summary!C2</f>
        <v>Ong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7" t="s">
        <v>23</v>
      </c>
      <c r="BC3" s="7" t="s">
        <v>23</v>
      </c>
      <c r="BD3" s="7" t="s">
        <v>23</v>
      </c>
      <c r="BH3" s="7" t="s">
        <v>62</v>
      </c>
      <c r="BI3" s="7" t="s">
        <v>63</v>
      </c>
      <c r="BJ3" s="7" t="s">
        <v>64</v>
      </c>
      <c r="BK3" s="7" t="s">
        <v>11</v>
      </c>
      <c r="BL3" s="7" t="s">
        <v>11</v>
      </c>
      <c r="BM3" s="7" t="s">
        <v>156</v>
      </c>
    </row>
    <row r="4" spans="1:65" x14ac:dyDescent="0.25">
      <c r="B4" s="7" t="s">
        <v>191</v>
      </c>
      <c r="C4" s="7">
        <v>2018</v>
      </c>
      <c r="D4" s="7">
        <v>2019</v>
      </c>
      <c r="E4" s="7">
        <v>2020</v>
      </c>
      <c r="F4" s="7">
        <v>2021</v>
      </c>
      <c r="G4" s="7">
        <v>2022</v>
      </c>
      <c r="H4" s="7" t="s">
        <v>66</v>
      </c>
      <c r="I4" s="7" t="s">
        <v>194</v>
      </c>
      <c r="J4" s="7">
        <v>2018</v>
      </c>
      <c r="K4" s="7">
        <v>2019</v>
      </c>
      <c r="L4" s="7">
        <v>2020</v>
      </c>
      <c r="M4" s="7">
        <v>2021</v>
      </c>
      <c r="N4" s="7">
        <v>2022</v>
      </c>
      <c r="O4" s="7" t="s">
        <v>66</v>
      </c>
      <c r="P4" s="7">
        <v>2018</v>
      </c>
      <c r="Q4" s="7">
        <v>2019</v>
      </c>
      <c r="R4" s="7">
        <v>2020</v>
      </c>
      <c r="S4" s="7">
        <v>2021</v>
      </c>
      <c r="T4" s="7">
        <v>2022</v>
      </c>
      <c r="U4" s="7" t="s">
        <v>66</v>
      </c>
      <c r="V4" s="7">
        <v>2018</v>
      </c>
      <c r="W4" s="7">
        <v>2019</v>
      </c>
      <c r="X4" s="7">
        <v>2020</v>
      </c>
      <c r="Y4" s="7">
        <v>2021</v>
      </c>
      <c r="Z4" s="7">
        <v>2022</v>
      </c>
      <c r="AA4" s="7" t="s">
        <v>66</v>
      </c>
      <c r="AB4" s="7">
        <v>2018</v>
      </c>
      <c r="AC4" s="7">
        <v>2019</v>
      </c>
      <c r="AD4" s="7">
        <v>2020</v>
      </c>
      <c r="AE4" s="7">
        <v>2021</v>
      </c>
      <c r="AF4" s="7">
        <v>2022</v>
      </c>
      <c r="AG4" s="7" t="s">
        <v>66</v>
      </c>
      <c r="AH4" s="7">
        <v>2018</v>
      </c>
      <c r="AI4" s="7">
        <v>2019</v>
      </c>
      <c r="AJ4" s="7">
        <v>2020</v>
      </c>
      <c r="AK4" s="7">
        <v>2021</v>
      </c>
      <c r="AL4" s="7">
        <v>2022</v>
      </c>
      <c r="AM4" s="7" t="s">
        <v>66</v>
      </c>
      <c r="AN4" s="7">
        <v>2018</v>
      </c>
      <c r="AO4" s="7">
        <v>2019</v>
      </c>
      <c r="AP4" s="7">
        <v>2020</v>
      </c>
      <c r="AQ4" s="7">
        <v>2021</v>
      </c>
      <c r="AR4" s="7">
        <v>2022</v>
      </c>
      <c r="AS4" s="7" t="s">
        <v>66</v>
      </c>
      <c r="AV4" s="7">
        <v>2018</v>
      </c>
      <c r="AW4" s="7">
        <v>2019</v>
      </c>
      <c r="AX4" s="7">
        <v>2020</v>
      </c>
      <c r="AY4" s="7">
        <v>2021</v>
      </c>
      <c r="AZ4" s="7">
        <v>2022</v>
      </c>
      <c r="BA4" s="7" t="s">
        <v>66</v>
      </c>
      <c r="BB4" s="7">
        <v>1</v>
      </c>
      <c r="BC4" s="7">
        <v>2</v>
      </c>
      <c r="BD4" s="7">
        <v>3</v>
      </c>
      <c r="BE4" s="7">
        <v>1</v>
      </c>
      <c r="BF4" s="7">
        <v>2</v>
      </c>
      <c r="BG4" s="7">
        <v>3</v>
      </c>
      <c r="BH4" s="7">
        <v>1</v>
      </c>
      <c r="BI4" s="7">
        <v>2</v>
      </c>
      <c r="BJ4" s="7">
        <v>3</v>
      </c>
    </row>
    <row r="5" spans="1:65" x14ac:dyDescent="0.25">
      <c r="A5" s="9" t="s">
        <v>49</v>
      </c>
      <c r="B5">
        <v>1</v>
      </c>
      <c r="C5" s="7" t="str">
        <f>IF(AND(ISNUMBER(AVERAGEIFS('Data(perCrop)'!$A:$A,'Data(perCrop)'!$B:$B,$A5,'Data(perCrop)'!$H:$H,$A$3,'Data(perCrop)'!$O:$O,'Indicators(perCrop)'!C$4)),$B5&lt;&gt;14,$B5&lt;&gt;15),AVERAGEIFS('Data(perCrop)'!$A:$A,'Data(perCrop)'!$B:$B,$A5,'Data(perCrop)'!$H:$H,$A$3,'Data(perCrop)'!$O:$O,'Indicators(perCrop)'!C$4),"")</f>
        <v/>
      </c>
      <c r="D5" s="7" t="str">
        <f>IF(AND(ISNUMBER(AVERAGEIFS('Data(perCrop)'!$A:$A,'Data(perCrop)'!$B:$B,$A5,'Data(perCrop)'!$H:$H,$A$3,'Data(perCrop)'!$O:$O,'Indicators(perCrop)'!D$4)),$B5&lt;&gt;14,$B5&lt;&gt;15),AVERAGEIFS('Data(perCrop)'!$A:$A,'Data(perCrop)'!$B:$B,$A5,'Data(perCrop)'!$H:$H,$A$3,'Data(perCrop)'!$O:$O,'Indicators(perCrop)'!D$4),"")</f>
        <v/>
      </c>
      <c r="E5" s="7" t="str">
        <f>IF(AND(ISNUMBER(AVERAGEIFS('Data(perCrop)'!$A:$A,'Data(perCrop)'!$B:$B,$A5,'Data(perCrop)'!$H:$H,$A$3,'Data(perCrop)'!$O:$O,'Indicators(perCrop)'!E$4)),$B5&lt;&gt;14,$B5&lt;&gt;15),AVERAGEIFS('Data(perCrop)'!$A:$A,'Data(perCrop)'!$B:$B,$A5,'Data(perCrop)'!$H:$H,$A$3,'Data(perCrop)'!$O:$O,'Indicators(perCrop)'!E$4),"")</f>
        <v/>
      </c>
      <c r="F5" s="7" t="str">
        <f>IF(AND(ISNUMBER(AVERAGEIFS('Data(perCrop)'!$A:$A,'Data(perCrop)'!$B:$B,$A5,'Data(perCrop)'!$H:$H,$A$3,'Data(perCrop)'!$O:$O,'Indicators(perCrop)'!F$4)),$B5&lt;&gt;14,$B5&lt;&gt;15),AVERAGEIFS('Data(perCrop)'!$A:$A,'Data(perCrop)'!$B:$B,$A5,'Data(perCrop)'!$H:$H,$A$3,'Data(perCrop)'!$O:$O,'Indicators(perCrop)'!F$4),"")</f>
        <v/>
      </c>
      <c r="G5" s="7" t="str">
        <f>IF(AND(ISNUMBER(AVERAGEIFS('Data(perCrop)'!$A:$A,'Data(perCrop)'!$B:$B,$A5,'Data(perCrop)'!$H:$H,$A$3,'Data(perCrop)'!$O:$O,'Indicators(perCrop)'!G$4)),$B5&lt;&gt;14,$B5&lt;&gt;15),AVERAGEIFS('Data(perCrop)'!$A:$A,'Data(perCrop)'!$B:$B,$A5,'Data(perCrop)'!$H:$H,$A$3,'Data(perCrop)'!$O:$O,'Indicators(perCrop)'!G$4),"")</f>
        <v/>
      </c>
      <c r="H5" s="7" t="str">
        <f>IF(ISNUMBER(AVERAGE(C5:G5)),AVERAGE(C5:G5),"")</f>
        <v/>
      </c>
      <c r="I5" s="32" t="str">
        <f>IF(ISNUMBER(H5),H5/SUM(H$5:H$35),"")</f>
        <v/>
      </c>
      <c r="J5" s="7" t="e">
        <f>AVERAGEIFS('Data(perCrop)'!$D:$D,'Data(perCrop)'!$B:$B,$A5,'Data(perCrop)'!$H:$H,$A$3,'Data(perCrop)'!$O:$O,'Indicators(perCrop)'!C$4)</f>
        <v>#DIV/0!</v>
      </c>
      <c r="K5" s="7" t="e">
        <f>AVERAGEIFS('Data(perCrop)'!$D:$D,'Data(perCrop)'!$B:$B,$A5,'Data(perCrop)'!$H:$H,$A$3,'Data(perCrop)'!$O:$O,'Indicators(perCrop)'!D$4)</f>
        <v>#DIV/0!</v>
      </c>
      <c r="L5" s="7" t="e">
        <f>AVERAGEIFS('Data(perCrop)'!$D:$D,'Data(perCrop)'!$B:$B,$A5,'Data(perCrop)'!$H:$H,$A$3,'Data(perCrop)'!$O:$O,'Indicators(perCrop)'!E$4)</f>
        <v>#DIV/0!</v>
      </c>
      <c r="M5" s="7" t="e">
        <f>AVERAGEIFS('Data(perCrop)'!$D:$D,'Data(perCrop)'!$B:$B,$A5,'Data(perCrop)'!$H:$H,$A$3,'Data(perCrop)'!$O:$O,'Indicators(perCrop)'!F$4)</f>
        <v>#DIV/0!</v>
      </c>
      <c r="N5" s="7" t="e">
        <f>AVERAGEIFS('Data(perCrop)'!$D:$D,'Data(perCrop)'!$B:$B,$A5,'Data(perCrop)'!$H:$H,$A$3,'Data(perCrop)'!$O:$O,'Indicators(perCrop)'!G$4)</f>
        <v>#DIV/0!</v>
      </c>
      <c r="O5" s="7" t="e">
        <f>AVERAGE(J5:N5)</f>
        <v>#DIV/0!</v>
      </c>
      <c r="P5" s="7" t="e">
        <f>AVERAGEIFS('Data(perCrop)'!$E:$E,'Data(perCrop)'!$B:$B,$A5,'Data(perCrop)'!$H:$H,$A$3,'Data(perCrop)'!$O:$O,'Indicators(perCrop)'!J$4)</f>
        <v>#DIV/0!</v>
      </c>
      <c r="Q5" s="7" t="e">
        <f>AVERAGEIFS('Data(perCrop)'!$E:$E,'Data(perCrop)'!$B:$B,$A5,'Data(perCrop)'!$H:$H,$A$3,'Data(perCrop)'!$O:$O,'Indicators(perCrop)'!K$4)</f>
        <v>#DIV/0!</v>
      </c>
      <c r="R5" s="7" t="e">
        <f>AVERAGEIFS('Data(perCrop)'!$E:$E,'Data(perCrop)'!$B:$B,$A5,'Data(perCrop)'!$H:$H,$A$3,'Data(perCrop)'!$O:$O,'Indicators(perCrop)'!L$4)</f>
        <v>#DIV/0!</v>
      </c>
      <c r="S5" s="7" t="e">
        <f>AVERAGEIFS('Data(perCrop)'!$E:$E,'Data(perCrop)'!$B:$B,$A5,'Data(perCrop)'!$H:$H,$A$3,'Data(perCrop)'!$O:$O,'Indicators(perCrop)'!M$4)</f>
        <v>#DIV/0!</v>
      </c>
      <c r="T5" s="7" t="e">
        <f>AVERAGEIFS('Data(perCrop)'!$E:$E,'Data(perCrop)'!$B:$B,$A5,'Data(perCrop)'!$H:$H,$A$3,'Data(perCrop)'!$O:$O,'Indicators(perCrop)'!N$4)</f>
        <v>#DIV/0!</v>
      </c>
      <c r="U5" s="7" t="e">
        <f>AVERAGE(P5:T5)</f>
        <v>#DIV/0!</v>
      </c>
      <c r="V5" s="8" t="str">
        <f>IF(AND(ISNUMBER(J5),$B5&lt;&gt;14,$B5&lt;&gt;15),1-J5/P5,"")</f>
        <v/>
      </c>
      <c r="W5" s="8" t="str">
        <f>IF(AND(ISNUMBER(K5),$B5&lt;&gt;14,$B5&lt;&gt;15),1-K5/Q5,"")</f>
        <v/>
      </c>
      <c r="X5" s="8" t="str">
        <f>IF(AND(ISNUMBER(L5),$B5&lt;&gt;14,$B5&lt;&gt;15),1-L5/R5,"")</f>
        <v/>
      </c>
      <c r="Y5" s="8" t="str">
        <f>IF(AND(ISNUMBER(M5),$B5&lt;&gt;14,$B5&lt;&gt;15),1-M5/S5,"")</f>
        <v/>
      </c>
      <c r="Z5" s="8" t="str">
        <f>IF(AND(ISNUMBER(N5),$B5&lt;&gt;14,$B5&lt;&gt;15),1-N5/T5,"")</f>
        <v/>
      </c>
      <c r="AA5" s="8" t="e">
        <f t="shared" ref="AA5:AA11" si="0">AVERAGE(V5:Z5)</f>
        <v>#DIV/0!</v>
      </c>
      <c r="AB5" s="8" t="str">
        <f>IF(AND(ISNUMBER(J5),$B5&lt;&gt;14,$B5&lt;&gt;15),(AVERAGEIFS('Data(perCrop)'!$L:$L,'Data(perCrop)'!$B:$B,'Indicators(perCrop)'!$A5,'Data(perCrop)'!$O:$O,'Indicators(perCrop)'!AB$4,'Data(perCrop)'!$H:$H,'Indicators(perCrop)'!$A$3)-AVERAGEIFS('Data(perCrop)'!$K:$K,'Data(perCrop)'!$B:$B,'Indicators(perCrop)'!$A5,'Data(perCrop)'!$O:$O,'Indicators(perCrop)'!AB$4,'Data(perCrop)'!$H:$H,'Indicators(perCrop)'!$A$3))/AVERAGEIFS('Data(perCrop)'!$L:$L,'Data(perCrop)'!$B:$B,'Indicators(perCrop)'!$A5,'Data(perCrop)'!$O:$O,'Indicators(perCrop)'!AB$4,'Data(perCrop)'!$H:$H,'Indicators(perCrop)'!$A$3),"")</f>
        <v/>
      </c>
      <c r="AC5" s="8" t="str">
        <f>IF(AND(ISNUMBER(K5),$B5&lt;&gt;14,$B5&lt;&gt;15),(AVERAGEIFS('Data(perCrop)'!$L:$L,'Data(perCrop)'!$B:$B,'Indicators(perCrop)'!$A5,'Data(perCrop)'!$O:$O,'Indicators(perCrop)'!AC$4,'Data(perCrop)'!$H:$H,'Indicators(perCrop)'!$A$3)-AVERAGEIFS('Data(perCrop)'!$K:$K,'Data(perCrop)'!$B:$B,'Indicators(perCrop)'!$A5,'Data(perCrop)'!$O:$O,'Indicators(perCrop)'!AC$4,'Data(perCrop)'!$H:$H,'Indicators(perCrop)'!$A$3))/AVERAGEIFS('Data(perCrop)'!$L:$L,'Data(perCrop)'!$B:$B,'Indicators(perCrop)'!$A5,'Data(perCrop)'!$O:$O,'Indicators(perCrop)'!AC$4,'Data(perCrop)'!$H:$H,'Indicators(perCrop)'!$A$3),"")</f>
        <v/>
      </c>
      <c r="AD5" s="8" t="str">
        <f>IF(AND(ISNUMBER(L5),$B5&lt;&gt;14,$B5&lt;&gt;15),(AVERAGEIFS('Data(perCrop)'!$L:$L,'Data(perCrop)'!$B:$B,'Indicators(perCrop)'!$A5,'Data(perCrop)'!$O:$O,'Indicators(perCrop)'!AD$4,'Data(perCrop)'!$H:$H,'Indicators(perCrop)'!$A$3)-AVERAGEIFS('Data(perCrop)'!$K:$K,'Data(perCrop)'!$B:$B,'Indicators(perCrop)'!$A5,'Data(perCrop)'!$O:$O,'Indicators(perCrop)'!AD$4,'Data(perCrop)'!$H:$H,'Indicators(perCrop)'!$A$3))/AVERAGEIFS('Data(perCrop)'!$L:$L,'Data(perCrop)'!$B:$B,'Indicators(perCrop)'!$A5,'Data(perCrop)'!$O:$O,'Indicators(perCrop)'!AD$4,'Data(perCrop)'!$H:$H,'Indicators(perCrop)'!$A$3),"")</f>
        <v/>
      </c>
      <c r="AE5" s="8" t="str">
        <f>IF(AND(ISNUMBER(M5),$B5&lt;&gt;14,$B5&lt;&gt;15),(AVERAGEIFS('Data(perCrop)'!$L:$L,'Data(perCrop)'!$B:$B,'Indicators(perCrop)'!$A5,'Data(perCrop)'!$O:$O,'Indicators(perCrop)'!AE$4,'Data(perCrop)'!$H:$H,'Indicators(perCrop)'!$A$3)-AVERAGEIFS('Data(perCrop)'!$K:$K,'Data(perCrop)'!$B:$B,'Indicators(perCrop)'!$A5,'Data(perCrop)'!$O:$O,'Indicators(perCrop)'!AE$4,'Data(perCrop)'!$H:$H,'Indicators(perCrop)'!$A$3))/AVERAGEIFS('Data(perCrop)'!$L:$L,'Data(perCrop)'!$B:$B,'Indicators(perCrop)'!$A5,'Data(perCrop)'!$O:$O,'Indicators(perCrop)'!AE$4,'Data(perCrop)'!$H:$H,'Indicators(perCrop)'!$A$3),"")</f>
        <v/>
      </c>
      <c r="AF5" s="8" t="str">
        <f>IF(AND(ISNUMBER(N5),$B5&lt;&gt;14,$B5&lt;&gt;15),(AVERAGEIFS('Data(perCrop)'!$L:$L,'Data(perCrop)'!$B:$B,'Indicators(perCrop)'!$A5,'Data(perCrop)'!$O:$O,'Indicators(perCrop)'!AF$4,'Data(perCrop)'!$H:$H,'Indicators(perCrop)'!$A$3)-AVERAGEIFS('Data(perCrop)'!$K:$K,'Data(perCrop)'!$B:$B,'Indicators(perCrop)'!$A5,'Data(perCrop)'!$O:$O,'Indicators(perCrop)'!AF$4,'Data(perCrop)'!$H:$H,'Indicators(perCrop)'!$A$3))/AVERAGEIFS('Data(perCrop)'!$L:$L,'Data(perCrop)'!$B:$B,'Indicators(perCrop)'!$A5,'Data(perCrop)'!$O:$O,'Indicators(perCrop)'!AF$4,'Data(perCrop)'!$H:$H,'Indicators(perCrop)'!$A$3),"")</f>
        <v/>
      </c>
      <c r="AG5" s="8" t="e">
        <f>AVERAGE(AB5:AF5)</f>
        <v>#DIV/0!</v>
      </c>
      <c r="AH5" s="8" t="str">
        <f>IF(AND(ISNUMBER(J5),$B5&lt;&gt;14,$B5&lt;&gt;15,$B5&lt;31),AVERAGEIFS('Data(perSeason,perCrop)'!$M:$M,'Data(perSeason,perCrop)'!$K:$K,'Indicators(perCrop)'!$A$3,'Data(perSeason,perCrop)'!$C:$C,'Indicators(perCrop)'!$A5,'Data(perSeason,perCrop)'!$S:$S,'Indicators(perCrop)'!AH$4,'Data(perSeason,perCrop)'!$R:$R,"IRRIGATED")-AVERAGEIFS('Data(perSeason,perCrop)'!$N:$N,'Data(perSeason,perCrop)'!$K:$K,'Indicators(perCrop)'!$A$3,'Data(perSeason,perCrop)'!$C:$C,'Indicators(perCrop)'!$A5,'Data(perSeason,perCrop)'!$S:$S,'Indicators(perCrop)'!AH$4,'Data(perSeason,perCrop)'!$R:$R,"IRRIGATED"),"")</f>
        <v/>
      </c>
      <c r="AI5" s="8" t="str">
        <f>IF(AND(ISNUMBER(K5),$B5&lt;&gt;14,$B5&lt;&gt;15,$B5&lt;31),AVERAGEIFS('Data(perSeason,perCrop)'!$M:$M,'Data(perSeason,perCrop)'!$K:$K,'Indicators(perCrop)'!$A$3,'Data(perSeason,perCrop)'!$C:$C,'Indicators(perCrop)'!$A5,'Data(perSeason,perCrop)'!$S:$S,'Indicators(perCrop)'!AI$4,'Data(perSeason,perCrop)'!$R:$R,"IRRIGATED")-AVERAGEIFS('Data(perSeason,perCrop)'!$N:$N,'Data(perSeason,perCrop)'!$K:$K,'Indicators(perCrop)'!$A$3,'Data(perSeason,perCrop)'!$C:$C,'Indicators(perCrop)'!$A5,'Data(perSeason,perCrop)'!$S:$S,'Indicators(perCrop)'!AI$4,'Data(perSeason,perCrop)'!$R:$R,"IRRIGATED"),"")</f>
        <v/>
      </c>
      <c r="AJ5" s="8" t="str">
        <f>IF(AND(ISNUMBER(L5),$B5&lt;&gt;14,$B5&lt;&gt;15,$B5&lt;31),AVERAGEIFS('Data(perSeason,perCrop)'!$M:$M,'Data(perSeason,perCrop)'!$K:$K,'Indicators(perCrop)'!$A$3,'Data(perSeason,perCrop)'!$C:$C,'Indicators(perCrop)'!$A5,'Data(perSeason,perCrop)'!$S:$S,'Indicators(perCrop)'!AJ$4,'Data(perSeason,perCrop)'!$R:$R,"IRRIGATED")-AVERAGEIFS('Data(perSeason,perCrop)'!$N:$N,'Data(perSeason,perCrop)'!$K:$K,'Indicators(perCrop)'!$A$3,'Data(perSeason,perCrop)'!$C:$C,'Indicators(perCrop)'!$A5,'Data(perSeason,perCrop)'!$S:$S,'Indicators(perCrop)'!AJ$4,'Data(perSeason,perCrop)'!$R:$R,"IRRIGATED"),"")</f>
        <v/>
      </c>
      <c r="AK5" s="8" t="str">
        <f>IF(AND(ISNUMBER(M5),$B5&lt;&gt;14,$B5&lt;&gt;15,$B5&lt;31),AVERAGEIFS('Data(perSeason,perCrop)'!$M:$M,'Data(perSeason,perCrop)'!$K:$K,'Indicators(perCrop)'!$A$3,'Data(perSeason,perCrop)'!$C:$C,'Indicators(perCrop)'!$A5,'Data(perSeason,perCrop)'!$S:$S,'Indicators(perCrop)'!AK$4,'Data(perSeason,perCrop)'!$R:$R,"IRRIGATED")-AVERAGEIFS('Data(perSeason,perCrop)'!$N:$N,'Data(perSeason,perCrop)'!$K:$K,'Indicators(perCrop)'!$A$3,'Data(perSeason,perCrop)'!$C:$C,'Indicators(perCrop)'!$A5,'Data(perSeason,perCrop)'!$S:$S,'Indicators(perCrop)'!AK$4,'Data(perSeason,perCrop)'!$R:$R,"IRRIGATED"),"")</f>
        <v/>
      </c>
      <c r="AL5" s="8" t="str">
        <f>IF(AND(ISNUMBER(N5),$B5&lt;&gt;14,$B5&lt;&gt;15,$B5&lt;31),AVERAGEIFS('Data(perSeason,perCrop)'!$M:$M,'Data(perSeason,perCrop)'!$K:$K,'Indicators(perCrop)'!$A$3,'Data(perSeason,perCrop)'!$C:$C,'Indicators(perCrop)'!$A5,'Data(perSeason,perCrop)'!$S:$S,'Indicators(perCrop)'!AL$4,'Data(perSeason,perCrop)'!$R:$R,"IRRIGATED")-AVERAGEIFS('Data(perSeason,perCrop)'!$N:$N,'Data(perSeason,perCrop)'!$K:$K,'Indicators(perCrop)'!$A$3,'Data(perSeason,perCrop)'!$C:$C,'Indicators(perCrop)'!$A5,'Data(perSeason,perCrop)'!$S:$S,'Indicators(perCrop)'!AL$4,'Data(perSeason,perCrop)'!$R:$R,"IRRIGATED"),"")</f>
        <v/>
      </c>
      <c r="AM5" s="8" t="e">
        <f>AVERAGE(AH5:AL5)</f>
        <v>#DIV/0!</v>
      </c>
      <c r="AN5" s="7" t="e">
        <f>AVERAGEIFS('Data(perCrop)'!$K:$K,'Data(perCrop)'!$B:$B,$A5,'Data(perCrop)'!$H:$H,$A$3,'Data(perCrop)'!$O:$O,'Indicators(perCrop)'!C$4)</f>
        <v>#DIV/0!</v>
      </c>
      <c r="AO5" s="7" t="e">
        <f>AVERAGEIFS('Data(perCrop)'!$K:$K,'Data(perCrop)'!$B:$B,$A5,'Data(perCrop)'!$H:$H,$A$3,'Data(perCrop)'!$O:$O,'Indicators(perCrop)'!D$4)</f>
        <v>#DIV/0!</v>
      </c>
      <c r="AP5" s="7" t="e">
        <f>AVERAGEIFS('Data(perCrop)'!$K:$K,'Data(perCrop)'!$B:$B,$A5,'Data(perCrop)'!$H:$H,$A$3,'Data(perCrop)'!$O:$O,'Indicators(perCrop)'!E$4)</f>
        <v>#DIV/0!</v>
      </c>
      <c r="AQ5" s="7" t="e">
        <f>AVERAGEIFS('Data(perCrop)'!$K:$K,'Data(perCrop)'!$B:$B,$A5,'Data(perCrop)'!$H:$H,$A$3,'Data(perCrop)'!$O:$O,'Indicators(perCrop)'!F$4)</f>
        <v>#DIV/0!</v>
      </c>
      <c r="AR5" s="7" t="e">
        <f>AVERAGEIFS('Data(perCrop)'!$K:$K,'Data(perCrop)'!$B:$B,$A5,'Data(perCrop)'!$H:$H,$A$3,'Data(perCrop)'!$O:$O,'Indicators(perCrop)'!G$4)</f>
        <v>#DIV/0!</v>
      </c>
      <c r="AS5" s="8" t="e">
        <f>AVERAGE(AN5:AR5)</f>
        <v>#DIV/0!</v>
      </c>
      <c r="AT5" s="51">
        <v>0.13</v>
      </c>
      <c r="AU5" s="51">
        <v>0.02</v>
      </c>
      <c r="AV5" s="8" t="str">
        <f>IF(ISNUMBER((AN5)*$AT5/(1-$AU5)/((J5)*(1/1000*10000))),(AN5)*$AT5/(1-$AU5)/((J5)*(1/1000*10000)),"")</f>
        <v/>
      </c>
      <c r="AW5" s="8" t="str">
        <f t="shared" ref="AW5:AZ5" si="1">IF(ISNUMBER((AO5)*$AT5/(1-$AU5)/((K5)*(1/1000*10000))),(AO5)*$AT5/(1-$AU5)/((K5)*(1/1000*10000)),"")</f>
        <v/>
      </c>
      <c r="AX5" s="8" t="str">
        <f t="shared" si="1"/>
        <v/>
      </c>
      <c r="AY5" s="8" t="str">
        <f t="shared" si="1"/>
        <v/>
      </c>
      <c r="AZ5" s="8" t="str">
        <f t="shared" si="1"/>
        <v/>
      </c>
      <c r="BA5" s="8" t="e">
        <f>AVERAGE(AV5:AZ5)</f>
        <v>#DIV/0!</v>
      </c>
      <c r="BB5" s="7">
        <f>SUMIFS('Data(perSeason,perCrop)'!$A:$A,'Data(perSeason,perCrop)'!$C:$C,'Indicators(perCrop)'!$A5,'Data(perSeason,perCrop)'!$R:$R,"IRRIGATED",'Data(perSeason,perCrop)'!$O:$O,'Indicators(perCrop)'!BB$4)/5</f>
        <v>0</v>
      </c>
      <c r="BC5" s="7">
        <f>SUMIFS('Data(perSeason,perCrop)'!$A:$A,'Data(perSeason,perCrop)'!$C:$C,'Indicators(perCrop)'!$A5,'Data(perSeason,perCrop)'!$R:$R,"IRRIGATED",'Data(perSeason,perCrop)'!$O:$O,'Indicators(perCrop)'!BC$4)/5</f>
        <v>0</v>
      </c>
      <c r="BD5" s="7">
        <f>SUMIFS('Data(perSeason,perCrop)'!$A:$A,'Data(perSeason,perCrop)'!$C:$C,'Indicators(perCrop)'!$A5,'Data(perSeason,perCrop)'!$R:$R,"IRRIGATED",'Data(perSeason,perCrop)'!$O:$O,'Indicators(perCrop)'!BD$4)/5</f>
        <v>0</v>
      </c>
      <c r="BE5" s="7" t="e">
        <f>AVERAGEIFS('Data(perSeason,perCrop)'!$G:$G,'Data(perSeason,perCrop)'!$C:$C,'Indicators(perCrop)'!$A5,'Data(perSeason,perCrop)'!$R:$R,"IRRIGATED",'Data(perSeason,perCrop)'!$O:$O,'Indicators(perCrop)'!BE$4)</f>
        <v>#DIV/0!</v>
      </c>
      <c r="BF5" s="7" t="e">
        <f>AVERAGEIFS('Data(perSeason,perCrop)'!$G:$G,'Data(perSeason,perCrop)'!$C:$C,'Indicators(perCrop)'!$A5,'Data(perSeason,perCrop)'!$R:$R,"IRRIGATED",'Data(perSeason,perCrop)'!$O:$O,'Indicators(perCrop)'!BF$4)</f>
        <v>#DIV/0!</v>
      </c>
      <c r="BG5" s="7" t="e">
        <f>AVERAGEIFS('Data(perSeason,perCrop)'!$G:$G,'Data(perSeason,perCrop)'!$C:$C,'Indicators(perCrop)'!$A5,'Data(perSeason,perCrop)'!$R:$R,"IRRIGATED",'Data(perSeason,perCrop)'!$O:$O,'Indicators(perCrop)'!BG$4)</f>
        <v>#DIV/0!</v>
      </c>
      <c r="BH5" s="7" t="str">
        <f>IF(ISNUMBER(BE5),BE5*BB5/$H5,"")</f>
        <v/>
      </c>
      <c r="BI5" s="7" t="str">
        <f>IF(ISNUMBER(BF5),BF5*BC5/$H5,"")</f>
        <v/>
      </c>
      <c r="BJ5" s="7" t="str">
        <f>IF(ISNUMBER(BG5),BG5*BD5/$H5,"")</f>
        <v/>
      </c>
      <c r="BK5" s="25" t="e">
        <f>AVERAGEIFS('Data(perCrop)'!F:F,'Data(perCrop)'!$B:$B,A5)</f>
        <v>#DIV/0!</v>
      </c>
      <c r="BL5" s="8" t="str">
        <f t="shared" ref="BL5:BL35" si="2">IF(ISNUMBER(H5),BK5/1000*H5*10000/10^6,"")</f>
        <v/>
      </c>
      <c r="BM5" s="32" t="str">
        <f t="shared" ref="BM5:BM35" si="3">IF(ISNUMBER(H5),BL5/SUM(BL$5:BL$35),"")</f>
        <v/>
      </c>
    </row>
    <row r="6" spans="1:65" x14ac:dyDescent="0.25">
      <c r="A6" s="9" t="s">
        <v>59</v>
      </c>
      <c r="B6">
        <v>2</v>
      </c>
      <c r="C6" s="7">
        <f>IF(AND(ISNUMBER(AVERAGEIFS('Data(perCrop)'!$A:$A,'Data(perCrop)'!$B:$B,$A6,'Data(perCrop)'!$H:$H,$A$3,'Data(perCrop)'!$O:$O,'Indicators(perCrop)'!C$4)),$B6&lt;&gt;14,$B6&lt;&gt;15),AVERAGEIFS('Data(perCrop)'!$A:$A,'Data(perCrop)'!$B:$B,$A6,'Data(perCrop)'!$H:$H,$A$3,'Data(perCrop)'!$O:$O,'Indicators(perCrop)'!C$4),"")</f>
        <v>6350.0256780341497</v>
      </c>
      <c r="D6" s="7">
        <f>IF(AND(ISNUMBER(AVERAGEIFS('Data(perCrop)'!$A:$A,'Data(perCrop)'!$B:$B,$A6,'Data(perCrop)'!$H:$H,$A$3,'Data(perCrop)'!$O:$O,'Indicators(perCrop)'!D$4)),$B6&lt;&gt;14,$B6&lt;&gt;15),AVERAGEIFS('Data(perCrop)'!$A:$A,'Data(perCrop)'!$B:$B,$A6,'Data(perCrop)'!$H:$H,$A$3,'Data(perCrop)'!$O:$O,'Indicators(perCrop)'!D$4),"")</f>
        <v>3323.70095410557</v>
      </c>
      <c r="E6" s="7">
        <f>IF(AND(ISNUMBER(AVERAGEIFS('Data(perCrop)'!$A:$A,'Data(perCrop)'!$B:$B,$A6,'Data(perCrop)'!$H:$H,$A$3,'Data(perCrop)'!$O:$O,'Indicators(perCrop)'!E$4)),$B6&lt;&gt;14,$B6&lt;&gt;15),AVERAGEIFS('Data(perCrop)'!$A:$A,'Data(perCrop)'!$B:$B,$A6,'Data(perCrop)'!$H:$H,$A$3,'Data(perCrop)'!$O:$O,'Indicators(perCrop)'!E$4),"")</f>
        <v>4042.2027212005</v>
      </c>
      <c r="F6" s="7">
        <f>IF(AND(ISNUMBER(AVERAGEIFS('Data(perCrop)'!$A:$A,'Data(perCrop)'!$B:$B,$A6,'Data(perCrop)'!$H:$H,$A$3,'Data(perCrop)'!$O:$O,'Indicators(perCrop)'!F$4)),$B6&lt;&gt;14,$B6&lt;&gt;15),AVERAGEIFS('Data(perCrop)'!$A:$A,'Data(perCrop)'!$B:$B,$A6,'Data(perCrop)'!$H:$H,$A$3,'Data(perCrop)'!$O:$O,'Indicators(perCrop)'!F$4),"")</f>
        <v>4722.5405967596198</v>
      </c>
      <c r="G6" s="7">
        <f>IF(AND(ISNUMBER(AVERAGEIFS('Data(perCrop)'!$A:$A,'Data(perCrop)'!$B:$B,$A6,'Data(perCrop)'!$H:$H,$A$3,'Data(perCrop)'!$O:$O,'Indicators(perCrop)'!G$4)),$B6&lt;&gt;14,$B6&lt;&gt;15),AVERAGEIFS('Data(perCrop)'!$A:$A,'Data(perCrop)'!$B:$B,$A6,'Data(perCrop)'!$H:$H,$A$3,'Data(perCrop)'!$O:$O,'Indicators(perCrop)'!G$4),"")</f>
        <v>6400.6442490076697</v>
      </c>
      <c r="H6" s="7">
        <f t="shared" ref="H6:H35" si="4">IF(ISNUMBER(AVERAGE(C6:G6)),AVERAGE(C6:G6),"")</f>
        <v>4967.8228398215015</v>
      </c>
      <c r="I6" s="32">
        <f t="shared" ref="I6:I35" si="5">IF(ISNUMBER(H6),H6/SUM(H$5:H$35),"")</f>
        <v>0.47962314047621341</v>
      </c>
      <c r="J6" s="7">
        <f>AVERAGEIFS('Data(perCrop)'!$D:$D,'Data(perCrop)'!$B:$B,$A6,'Data(perCrop)'!$H:$H,$A$3,'Data(perCrop)'!$O:$O,'Indicators(perCrop)'!C$4)</f>
        <v>497</v>
      </c>
      <c r="K6" s="7">
        <f>AVERAGEIFS('Data(perCrop)'!$D:$D,'Data(perCrop)'!$B:$B,$A6,'Data(perCrop)'!$H:$H,$A$3,'Data(perCrop)'!$O:$O,'Indicators(perCrop)'!D$4)</f>
        <v>416</v>
      </c>
      <c r="L6" s="7">
        <f>AVERAGEIFS('Data(perCrop)'!$D:$D,'Data(perCrop)'!$B:$B,$A6,'Data(perCrop)'!$H:$H,$A$3,'Data(perCrop)'!$O:$O,'Indicators(perCrop)'!E$4)</f>
        <v>453</v>
      </c>
      <c r="M6" s="7">
        <f>AVERAGEIFS('Data(perCrop)'!$D:$D,'Data(perCrop)'!$B:$B,$A6,'Data(perCrop)'!$H:$H,$A$3,'Data(perCrop)'!$O:$O,'Indicators(perCrop)'!F$4)</f>
        <v>414</v>
      </c>
      <c r="N6" s="7">
        <f>AVERAGEIFS('Data(perCrop)'!$D:$D,'Data(perCrop)'!$B:$B,$A6,'Data(perCrop)'!$H:$H,$A$3,'Data(perCrop)'!$O:$O,'Indicators(perCrop)'!G$4)</f>
        <v>445</v>
      </c>
      <c r="O6" s="7">
        <f t="shared" ref="O6:O35" si="6">AVERAGE(J6:N6)</f>
        <v>445</v>
      </c>
      <c r="P6" s="7">
        <f>AVERAGEIFS('Data(perCrop)'!$E:$E,'Data(perCrop)'!$B:$B,$A6,'Data(perCrop)'!$H:$H,$A$3,'Data(perCrop)'!$O:$O,'Indicators(perCrop)'!J$4)</f>
        <v>577</v>
      </c>
      <c r="Q6" s="7">
        <f>AVERAGEIFS('Data(perCrop)'!$E:$E,'Data(perCrop)'!$B:$B,$A6,'Data(perCrop)'!$H:$H,$A$3,'Data(perCrop)'!$O:$O,'Indicators(perCrop)'!K$4)</f>
        <v>517</v>
      </c>
      <c r="R6" s="7">
        <f>AVERAGEIFS('Data(perCrop)'!$E:$E,'Data(perCrop)'!$B:$B,$A6,'Data(perCrop)'!$H:$H,$A$3,'Data(perCrop)'!$O:$O,'Indicators(perCrop)'!L$4)</f>
        <v>577</v>
      </c>
      <c r="S6" s="7">
        <f>AVERAGEIFS('Data(perCrop)'!$E:$E,'Data(perCrop)'!$B:$B,$A6,'Data(perCrop)'!$H:$H,$A$3,'Data(perCrop)'!$O:$O,'Indicators(perCrop)'!M$4)</f>
        <v>505</v>
      </c>
      <c r="T6" s="7">
        <f>AVERAGEIFS('Data(perCrop)'!$E:$E,'Data(perCrop)'!$B:$B,$A6,'Data(perCrop)'!$H:$H,$A$3,'Data(perCrop)'!$O:$O,'Indicators(perCrop)'!N$4)</f>
        <v>521</v>
      </c>
      <c r="U6" s="7">
        <f t="shared" ref="U6:U35" si="7">AVERAGE(P6:T6)</f>
        <v>539.4</v>
      </c>
      <c r="V6" s="8">
        <f t="shared" ref="V6:V35" si="8">IF(AND(ISNUMBER(J6),$B6&lt;&gt;14,$B6&lt;&gt;15),1-J6/P6,"")</f>
        <v>0.13864818024263437</v>
      </c>
      <c r="W6" s="8">
        <f t="shared" ref="W6:W35" si="9">IF(AND(ISNUMBER(K6),$B6&lt;&gt;14,$B6&lt;&gt;15),1-K6/Q6,"")</f>
        <v>0.19535783365570603</v>
      </c>
      <c r="X6" s="8">
        <f t="shared" ref="X6:X35" si="10">IF(AND(ISNUMBER(L6),$B6&lt;&gt;14,$B6&lt;&gt;15),1-L6/R6,"")</f>
        <v>0.21490467937608315</v>
      </c>
      <c r="Y6" s="8">
        <f t="shared" ref="Y6:Y35" si="11">IF(AND(ISNUMBER(M6),$B6&lt;&gt;14,$B6&lt;&gt;15),1-M6/S6,"")</f>
        <v>0.18019801980198025</v>
      </c>
      <c r="Z6" s="8">
        <f t="shared" ref="Z6:Z34" si="12">IF(AND(ISNUMBER(N6),$B6&lt;&gt;14,$B6&lt;&gt;15),1-N6/T6,"")</f>
        <v>0.14587332053742808</v>
      </c>
      <c r="AA6" s="8">
        <f t="shared" si="0"/>
        <v>0.17499640672276637</v>
      </c>
      <c r="AB6" s="8">
        <f>IF(AND(ISNUMBER(J6),$B6&lt;&gt;14,$B6&lt;&gt;15),(AVERAGEIFS('Data(perCrop)'!$L:$L,'Data(perCrop)'!$B:$B,'Indicators(perCrop)'!$A6,'Data(perCrop)'!$O:$O,'Indicators(perCrop)'!AB$4,'Data(perCrop)'!$H:$H,'Indicators(perCrop)'!$A$3)-AVERAGEIFS('Data(perCrop)'!$K:$K,'Data(perCrop)'!$B:$B,'Indicators(perCrop)'!$A6,'Data(perCrop)'!$O:$O,'Indicators(perCrop)'!AB$4,'Data(perCrop)'!$H:$H,'Indicators(perCrop)'!$A$3))/AVERAGEIFS('Data(perCrop)'!$L:$L,'Data(perCrop)'!$B:$B,'Indicators(perCrop)'!$A6,'Data(perCrop)'!$O:$O,'Indicators(perCrop)'!AB$4,'Data(perCrop)'!$H:$H,'Indicators(perCrop)'!$A$3),"")</f>
        <v>0.18412207582683518</v>
      </c>
      <c r="AC6" s="8">
        <f>IF(AND(ISNUMBER(K6),$B6&lt;&gt;14,$B6&lt;&gt;15),(AVERAGEIFS('Data(perCrop)'!$L:$L,'Data(perCrop)'!$B:$B,'Indicators(perCrop)'!$A6,'Data(perCrop)'!$O:$O,'Indicators(perCrop)'!AC$4,'Data(perCrop)'!$H:$H,'Indicators(perCrop)'!$A$3)-AVERAGEIFS('Data(perCrop)'!$K:$K,'Data(perCrop)'!$B:$B,'Indicators(perCrop)'!$A6,'Data(perCrop)'!$O:$O,'Indicators(perCrop)'!AC$4,'Data(perCrop)'!$H:$H,'Indicators(perCrop)'!$A$3))/AVERAGEIFS('Data(perCrop)'!$L:$L,'Data(perCrop)'!$B:$B,'Indicators(perCrop)'!$A6,'Data(perCrop)'!$O:$O,'Indicators(perCrop)'!AC$4,'Data(perCrop)'!$H:$H,'Indicators(perCrop)'!$A$3),"")</f>
        <v>0.21255497800879647</v>
      </c>
      <c r="AD6" s="8">
        <f>IF(AND(ISNUMBER(L6),$B6&lt;&gt;14,$B6&lt;&gt;15),(AVERAGEIFS('Data(perCrop)'!$L:$L,'Data(perCrop)'!$B:$B,'Indicators(perCrop)'!$A6,'Data(perCrop)'!$O:$O,'Indicators(perCrop)'!AD$4,'Data(perCrop)'!$H:$H,'Indicators(perCrop)'!$A$3)-AVERAGEIFS('Data(perCrop)'!$K:$K,'Data(perCrop)'!$B:$B,'Indicators(perCrop)'!$A6,'Data(perCrop)'!$O:$O,'Indicators(perCrop)'!AD$4,'Data(perCrop)'!$H:$H,'Indicators(perCrop)'!$A$3))/AVERAGEIFS('Data(perCrop)'!$L:$L,'Data(perCrop)'!$B:$B,'Indicators(perCrop)'!$A6,'Data(perCrop)'!$O:$O,'Indicators(perCrop)'!AD$4,'Data(perCrop)'!$H:$H,'Indicators(perCrop)'!$A$3),"")</f>
        <v>0.25537726186411747</v>
      </c>
      <c r="AE6" s="8">
        <f>IF(AND(ISNUMBER(M6),$B6&lt;&gt;14,$B6&lt;&gt;15),(AVERAGEIFS('Data(perCrop)'!$L:$L,'Data(perCrop)'!$B:$B,'Indicators(perCrop)'!$A6,'Data(perCrop)'!$O:$O,'Indicators(perCrop)'!AE$4,'Data(perCrop)'!$H:$H,'Indicators(perCrop)'!$A$3)-AVERAGEIFS('Data(perCrop)'!$K:$K,'Data(perCrop)'!$B:$B,'Indicators(perCrop)'!$A6,'Data(perCrop)'!$O:$O,'Indicators(perCrop)'!AE$4,'Data(perCrop)'!$H:$H,'Indicators(perCrop)'!$A$3))/AVERAGEIFS('Data(perCrop)'!$L:$L,'Data(perCrop)'!$B:$B,'Indicators(perCrop)'!$A6,'Data(perCrop)'!$O:$O,'Indicators(perCrop)'!AE$4,'Data(perCrop)'!$H:$H,'Indicators(perCrop)'!$A$3),"")</f>
        <v>0.26428329952670726</v>
      </c>
      <c r="AF6" s="8">
        <f>IF(AND(ISNUMBER(N6),$B6&lt;&gt;14,$B6&lt;&gt;15),(AVERAGEIFS('Data(perCrop)'!$L:$L,'Data(perCrop)'!$B:$B,'Indicators(perCrop)'!$A6,'Data(perCrop)'!$O:$O,'Indicators(perCrop)'!AF$4,'Data(perCrop)'!$H:$H,'Indicators(perCrop)'!$A$3)-AVERAGEIFS('Data(perCrop)'!$K:$K,'Data(perCrop)'!$B:$B,'Indicators(perCrop)'!$A6,'Data(perCrop)'!$O:$O,'Indicators(perCrop)'!AF$4,'Data(perCrop)'!$H:$H,'Indicators(perCrop)'!$A$3))/AVERAGEIFS('Data(perCrop)'!$L:$L,'Data(perCrop)'!$B:$B,'Indicators(perCrop)'!$A6,'Data(perCrop)'!$O:$O,'Indicators(perCrop)'!AF$4,'Data(perCrop)'!$H:$H,'Indicators(perCrop)'!$A$3),"")</f>
        <v>0.19764397905759162</v>
      </c>
      <c r="AG6" s="8">
        <f t="shared" ref="AG6:AG35" si="13">AVERAGE(AB6:AF6)</f>
        <v>0.22279631885680962</v>
      </c>
      <c r="AH6" s="8">
        <f>IF(AND(ISNUMBER(J6),$B6&lt;&gt;14,$B6&lt;&gt;15),AVERAGEIFS('Data(perSeason,perCrop)'!$M:$M,'Data(perSeason,perCrop)'!$K:$K,'Indicators(perCrop)'!$A$3,'Data(perSeason,perCrop)'!$C:$C,'Indicators(perCrop)'!$A6,'Data(perSeason,perCrop)'!$S:$S,'Indicators(perCrop)'!AH$4,'Data(perSeason,perCrop)'!$R:$R,"IRRIGATED")-AVERAGEIFS('Data(perSeason,perCrop)'!$N:$N,'Data(perSeason,perCrop)'!$K:$K,'Indicators(perCrop)'!$A$3,'Data(perSeason,perCrop)'!$C:$C,'Indicators(perCrop)'!$A6,'Data(perSeason,perCrop)'!$S:$S,'Indicators(perCrop)'!AH$4,'Data(perSeason,perCrop)'!$R:$R,"IRRIGATED"),"")</f>
        <v>0.28833944615385698</v>
      </c>
      <c r="AI6" s="8">
        <f>IF(AND(ISNUMBER(K6),$B6&lt;&gt;14,$B6&lt;&gt;15),AVERAGEIFS('Data(perSeason,perCrop)'!$M:$M,'Data(perSeason,perCrop)'!$K:$K,'Indicators(perCrop)'!$A$3,'Data(perSeason,perCrop)'!$C:$C,'Indicators(perCrop)'!$A6,'Data(perSeason,perCrop)'!$S:$S,'Indicators(perCrop)'!AI$4,'Data(perSeason,perCrop)'!$R:$R,"IRRIGATED")-AVERAGEIFS('Data(perSeason,perCrop)'!$N:$N,'Data(perSeason,perCrop)'!$K:$K,'Indicators(perCrop)'!$A$3,'Data(perSeason,perCrop)'!$C:$C,'Indicators(perCrop)'!$A6,'Data(perSeason,perCrop)'!$S:$S,'Indicators(perCrop)'!AI$4,'Data(perSeason,perCrop)'!$R:$R,"IRRIGATED"),"")</f>
        <v>0.30633765303118443</v>
      </c>
      <c r="AJ6" s="8">
        <f>IF(AND(ISNUMBER(L6),$B6&lt;&gt;14,$B6&lt;&gt;15),AVERAGEIFS('Data(perSeason,perCrop)'!$M:$M,'Data(perSeason,perCrop)'!$K:$K,'Indicators(perCrop)'!$A$3,'Data(perSeason,perCrop)'!$C:$C,'Indicators(perCrop)'!$A6,'Data(perSeason,perCrop)'!$S:$S,'Indicators(perCrop)'!AJ$4,'Data(perSeason,perCrop)'!$R:$R,"IRRIGATED")-AVERAGEIFS('Data(perSeason,perCrop)'!$N:$N,'Data(perSeason,perCrop)'!$K:$K,'Indicators(perCrop)'!$A$3,'Data(perSeason,perCrop)'!$C:$C,'Indicators(perCrop)'!$A6,'Data(perSeason,perCrop)'!$S:$S,'Indicators(perCrop)'!AJ$4,'Data(perSeason,perCrop)'!$R:$R,"IRRIGATED"),"")</f>
        <v>0.21954009418254949</v>
      </c>
      <c r="AK6" s="8">
        <f>IF(AND(ISNUMBER(M6),$B6&lt;&gt;14,$B6&lt;&gt;15),AVERAGEIFS('Data(perSeason,perCrop)'!$M:$M,'Data(perSeason,perCrop)'!$K:$K,'Indicators(perCrop)'!$A$3,'Data(perSeason,perCrop)'!$C:$C,'Indicators(perCrop)'!$A6,'Data(perSeason,perCrop)'!$S:$S,'Indicators(perCrop)'!AK$4,'Data(perSeason,perCrop)'!$R:$R,"IRRIGATED")-AVERAGEIFS('Data(perSeason,perCrop)'!$N:$N,'Data(perSeason,perCrop)'!$K:$K,'Indicators(perCrop)'!$A$3,'Data(perSeason,perCrop)'!$C:$C,'Indicators(perCrop)'!$A6,'Data(perSeason,perCrop)'!$S:$S,'Indicators(perCrop)'!AK$4,'Data(perSeason,perCrop)'!$R:$R,"IRRIGATED"),"")</f>
        <v>0.28775421899048048</v>
      </c>
      <c r="AL6" s="8">
        <f>IF(AND(ISNUMBER(N6),$B6&lt;&gt;14,$B6&lt;&gt;15),AVERAGEIFS('Data(perSeason,perCrop)'!$M:$M,'Data(perSeason,perCrop)'!$K:$K,'Indicators(perCrop)'!$A$3,'Data(perSeason,perCrop)'!$C:$C,'Indicators(perCrop)'!$A6,'Data(perSeason,perCrop)'!$S:$S,'Indicators(perCrop)'!AL$4,'Data(perSeason,perCrop)'!$R:$R,"IRRIGATED")-AVERAGEIFS('Data(perSeason,perCrop)'!$N:$N,'Data(perSeason,perCrop)'!$K:$K,'Indicators(perCrop)'!$A$3,'Data(perSeason,perCrop)'!$C:$C,'Indicators(perCrop)'!$A6,'Data(perSeason,perCrop)'!$S:$S,'Indicators(perCrop)'!AL$4,'Data(perSeason,perCrop)'!$R:$R,"IRRIGATED"),"")</f>
        <v>0.26520606172335348</v>
      </c>
      <c r="AM6" s="8">
        <f t="shared" ref="AM6:AM35" si="14">AVERAGE(AH6:AL6)</f>
        <v>0.27343549481628504</v>
      </c>
      <c r="AN6" s="7">
        <f>AVERAGEIFS('Data(perCrop)'!$K:$K,'Data(perCrop)'!$B:$B,$A6,'Data(perCrop)'!$H:$H,$A$3,'Data(perCrop)'!$O:$O,'Indicators(perCrop)'!C$4)</f>
        <v>12137</v>
      </c>
      <c r="AO6" s="7">
        <f>AVERAGEIFS('Data(perCrop)'!$K:$K,'Data(perCrop)'!$B:$B,$A6,'Data(perCrop)'!$H:$H,$A$3,'Data(perCrop)'!$O:$O,'Indicators(perCrop)'!D$4)</f>
        <v>9847</v>
      </c>
      <c r="AP6" s="7">
        <f>AVERAGEIFS('Data(perCrop)'!$K:$K,'Data(perCrop)'!$B:$B,$A6,'Data(perCrop)'!$H:$H,$A$3,'Data(perCrop)'!$O:$O,'Indicators(perCrop)'!E$4)</f>
        <v>8724</v>
      </c>
      <c r="AQ6" s="7">
        <f>AVERAGEIFS('Data(perCrop)'!$K:$K,'Data(perCrop)'!$B:$B,$A6,'Data(perCrop)'!$H:$H,$A$3,'Data(perCrop)'!$O:$O,'Indicators(perCrop)'!F$4)</f>
        <v>8705</v>
      </c>
      <c r="AR6" s="7">
        <f>AVERAGEIFS('Data(perCrop)'!$K:$K,'Data(perCrop)'!$B:$B,$A6,'Data(perCrop)'!$H:$H,$A$3,'Data(perCrop)'!$O:$O,'Indicators(perCrop)'!G$4)</f>
        <v>10421</v>
      </c>
      <c r="AS6" s="8">
        <f t="shared" ref="AS6:AS35" si="15">AVERAGE(AN6:AR6)</f>
        <v>9966.7999999999993</v>
      </c>
      <c r="AT6" s="51">
        <v>0.42</v>
      </c>
      <c r="AU6" s="51">
        <v>0.15</v>
      </c>
      <c r="AV6" s="8">
        <f t="shared" ref="AV6:AV17" si="16">IF(ISNUMBER((AN6)*$AT6/(1-$AU6)/((J6)*(1/1000*10000))),(AN6)*$AT6/(1-$AU6)/((J6)*(1/1000*10000)),"")</f>
        <v>1.2066611433305716</v>
      </c>
      <c r="AW6" s="8">
        <f t="shared" ref="AW6:AW17" si="17">IF(ISNUMBER((AO6)*$AT6/(1-$AU6)/((K6)*(1/1000*10000))),(AO6)*$AT6/(1-$AU6)/((K6)*(1/1000*10000)),"")</f>
        <v>1.1696097285067872</v>
      </c>
      <c r="AX6" s="8">
        <f t="shared" ref="AX6:AX17" si="18">IF(ISNUMBER((AP6)*$AT6/(1-$AU6)/((L6)*(1/1000*10000))),(AP6)*$AT6/(1-$AU6)/((L6)*(1/1000*10000)),"")</f>
        <v>0.95158550837553568</v>
      </c>
      <c r="AY6" s="8">
        <f t="shared" ref="AY6:AY17" si="19">IF(ISNUMBER((AQ6)*$AT6/(1-$AU6)/((M6)*(1/1000*10000))),(AQ6)*$AT6/(1-$AU6)/((M6)*(1/1000*10000)),"")</f>
        <v>1.0389599317988065</v>
      </c>
      <c r="AZ6" s="8">
        <f t="shared" ref="AZ6:AZ17" si="20">IF(ISNUMBER((AR6)*$AT6/(1-$AU6)/((N6)*(1/1000*10000))),(AR6)*$AT6/(1-$AU6)/((N6)*(1/1000*10000)),"")</f>
        <v>1.1571235955056178</v>
      </c>
      <c r="BA6" s="8">
        <f>AVERAGE(AV6:AZ6)</f>
        <v>1.1047879815034638</v>
      </c>
      <c r="BB6" s="7">
        <f>SUMIFS('Data(perSeason,perCrop)'!$A:$A,'Data(perSeason,perCrop)'!$C:$C,'Indicators(perCrop)'!$A6,'Data(perSeason,perCrop)'!$R:$R,"IRRIGATED",'Data(perSeason,perCrop)'!$O:$O,'Indicators(perCrop)'!BB$4)/5</f>
        <v>3245.7037788096559</v>
      </c>
      <c r="BC6" s="7">
        <f>SUMIFS('Data(perSeason,perCrop)'!$A:$A,'Data(perSeason,perCrop)'!$C:$C,'Indicators(perCrop)'!$A6,'Data(perSeason,perCrop)'!$R:$R,"IRRIGATED",'Data(perSeason,perCrop)'!$O:$O,'Indicators(perCrop)'!BC$4)/5</f>
        <v>4628.6912503271624</v>
      </c>
      <c r="BD6" s="7">
        <f>SUMIFS('Data(perSeason,perCrop)'!$A:$A,'Data(perSeason,perCrop)'!$C:$C,'Indicators(perCrop)'!$A6,'Data(perSeason,perCrop)'!$R:$R,"IRRIGATED",'Data(perSeason,perCrop)'!$O:$O,'Indicators(perCrop)'!BD$4)/5</f>
        <v>0</v>
      </c>
      <c r="BE6" s="7">
        <f>AVERAGEIFS('Data(perSeason,perCrop)'!$G:$G,'Data(perSeason,perCrop)'!$C:$C,'Indicators(perCrop)'!$A6,'Data(perSeason,perCrop)'!$R:$R,"IRRIGATED",'Data(perSeason,perCrop)'!$O:$O,'Indicators(perCrop)'!BE$4)</f>
        <v>57</v>
      </c>
      <c r="BF6" s="7">
        <f>AVERAGEIFS('Data(perSeason,perCrop)'!$G:$G,'Data(perSeason,perCrop)'!$C:$C,'Indicators(perCrop)'!$A6,'Data(perSeason,perCrop)'!$R:$R,"IRRIGATED",'Data(perSeason,perCrop)'!$O:$O,'Indicators(perCrop)'!BF$4)</f>
        <v>27.4</v>
      </c>
      <c r="BG6" s="7" t="e">
        <f>AVERAGEIFS('Data(perSeason,perCrop)'!$G:$G,'Data(perSeason,perCrop)'!$C:$C,'Indicators(perCrop)'!$A6,'Data(perSeason,perCrop)'!$R:$R,"IRRIGATED",'Data(perSeason,perCrop)'!$O:$O,'Indicators(perCrop)'!BG$4)</f>
        <v>#DIV/0!</v>
      </c>
      <c r="BH6" s="7">
        <f>IF(ISNUMBER(BE6),BE6*BB6/$H6,"")</f>
        <v>37.240682962598925</v>
      </c>
      <c r="BI6" s="7">
        <f t="shared" ref="BI6:BI35" si="21">IF(ISNUMBER(BF6),BF6*BC6/$H6,"")</f>
        <v>25.529521552648852</v>
      </c>
      <c r="BJ6" s="7" t="str">
        <f t="shared" ref="BJ6:BJ35" si="22">IF(ISNUMBER(BG6),BG6*BD6/$H6,"")</f>
        <v/>
      </c>
      <c r="BK6" s="25">
        <f>AVERAGEIFS('Data(perCrop)'!F:F,'Data(perCrop)'!$B:$B,A6)</f>
        <v>62.4</v>
      </c>
      <c r="BL6" s="8">
        <f t="shared" si="2"/>
        <v>3.0999214520486169</v>
      </c>
      <c r="BM6" s="32">
        <f t="shared" si="3"/>
        <v>0.25748695070765548</v>
      </c>
    </row>
    <row r="7" spans="1:65" x14ac:dyDescent="0.25">
      <c r="A7" s="9" t="s">
        <v>136</v>
      </c>
      <c r="B7">
        <v>3</v>
      </c>
      <c r="C7" s="7" t="str">
        <f>IF(AND(ISNUMBER(AVERAGEIFS('Data(perCrop)'!$A:$A,'Data(perCrop)'!$B:$B,$A7,'Data(perCrop)'!$H:$H,$A$3,'Data(perCrop)'!$O:$O,'Indicators(perCrop)'!C$4)),$B7&lt;&gt;14,$B7&lt;&gt;15),AVERAGEIFS('Data(perCrop)'!$A:$A,'Data(perCrop)'!$B:$B,$A7,'Data(perCrop)'!$H:$H,$A$3,'Data(perCrop)'!$O:$O,'Indicators(perCrop)'!C$4),"")</f>
        <v/>
      </c>
      <c r="D7" s="7" t="str">
        <f>IF(AND(ISNUMBER(AVERAGEIFS('Data(perCrop)'!$A:$A,'Data(perCrop)'!$B:$B,$A7,'Data(perCrop)'!$H:$H,$A$3,'Data(perCrop)'!$O:$O,'Indicators(perCrop)'!D$4)),$B7&lt;&gt;14,$B7&lt;&gt;15),AVERAGEIFS('Data(perCrop)'!$A:$A,'Data(perCrop)'!$B:$B,$A7,'Data(perCrop)'!$H:$H,$A$3,'Data(perCrop)'!$O:$O,'Indicators(perCrop)'!D$4),"")</f>
        <v/>
      </c>
      <c r="E7" s="7" t="str">
        <f>IF(AND(ISNUMBER(AVERAGEIFS('Data(perCrop)'!$A:$A,'Data(perCrop)'!$B:$B,$A7,'Data(perCrop)'!$H:$H,$A$3,'Data(perCrop)'!$O:$O,'Indicators(perCrop)'!E$4)),$B7&lt;&gt;14,$B7&lt;&gt;15),AVERAGEIFS('Data(perCrop)'!$A:$A,'Data(perCrop)'!$B:$B,$A7,'Data(perCrop)'!$H:$H,$A$3,'Data(perCrop)'!$O:$O,'Indicators(perCrop)'!E$4),"")</f>
        <v/>
      </c>
      <c r="F7" s="7" t="str">
        <f>IF(AND(ISNUMBER(AVERAGEIFS('Data(perCrop)'!$A:$A,'Data(perCrop)'!$B:$B,$A7,'Data(perCrop)'!$H:$H,$A$3,'Data(perCrop)'!$O:$O,'Indicators(perCrop)'!F$4)),$B7&lt;&gt;14,$B7&lt;&gt;15),AVERAGEIFS('Data(perCrop)'!$A:$A,'Data(perCrop)'!$B:$B,$A7,'Data(perCrop)'!$H:$H,$A$3,'Data(perCrop)'!$O:$O,'Indicators(perCrop)'!F$4),"")</f>
        <v/>
      </c>
      <c r="G7" s="7" t="str">
        <f>IF(AND(ISNUMBER(AVERAGEIFS('Data(perCrop)'!$A:$A,'Data(perCrop)'!$B:$B,$A7,'Data(perCrop)'!$H:$H,$A$3,'Data(perCrop)'!$O:$O,'Indicators(perCrop)'!G$4)),$B7&lt;&gt;14,$B7&lt;&gt;15),AVERAGEIFS('Data(perCrop)'!$A:$A,'Data(perCrop)'!$B:$B,$A7,'Data(perCrop)'!$H:$H,$A$3,'Data(perCrop)'!$O:$O,'Indicators(perCrop)'!G$4),"")</f>
        <v/>
      </c>
      <c r="H7" s="7" t="str">
        <f t="shared" si="4"/>
        <v/>
      </c>
      <c r="I7" s="32" t="str">
        <f t="shared" si="5"/>
        <v/>
      </c>
      <c r="J7" s="7" t="e">
        <f>AVERAGEIFS('Data(perCrop)'!$D:$D,'Data(perCrop)'!$B:$B,$A7,'Data(perCrop)'!$H:$H,$A$3,'Data(perCrop)'!$O:$O,'Indicators(perCrop)'!C$4)</f>
        <v>#DIV/0!</v>
      </c>
      <c r="K7" s="7" t="e">
        <f>AVERAGEIFS('Data(perCrop)'!$D:$D,'Data(perCrop)'!$B:$B,$A7,'Data(perCrop)'!$H:$H,$A$3,'Data(perCrop)'!$O:$O,'Indicators(perCrop)'!D$4)</f>
        <v>#DIV/0!</v>
      </c>
      <c r="L7" s="7" t="e">
        <f>AVERAGEIFS('Data(perCrop)'!$D:$D,'Data(perCrop)'!$B:$B,$A7,'Data(perCrop)'!$H:$H,$A$3,'Data(perCrop)'!$O:$O,'Indicators(perCrop)'!E$4)</f>
        <v>#DIV/0!</v>
      </c>
      <c r="M7" s="7" t="e">
        <f>AVERAGEIFS('Data(perCrop)'!$D:$D,'Data(perCrop)'!$B:$B,$A7,'Data(perCrop)'!$H:$H,$A$3,'Data(perCrop)'!$O:$O,'Indicators(perCrop)'!F$4)</f>
        <v>#DIV/0!</v>
      </c>
      <c r="N7" s="7" t="e">
        <f>AVERAGEIFS('Data(perCrop)'!$D:$D,'Data(perCrop)'!$B:$B,$A7,'Data(perCrop)'!$H:$H,$A$3,'Data(perCrop)'!$O:$O,'Indicators(perCrop)'!G$4)</f>
        <v>#DIV/0!</v>
      </c>
      <c r="O7" s="7" t="e">
        <f t="shared" si="6"/>
        <v>#DIV/0!</v>
      </c>
      <c r="P7" s="7" t="e">
        <f>AVERAGEIFS('Data(perCrop)'!$E:$E,'Data(perCrop)'!$B:$B,$A7,'Data(perCrop)'!$H:$H,$A$3,'Data(perCrop)'!$O:$O,'Indicators(perCrop)'!J$4)</f>
        <v>#DIV/0!</v>
      </c>
      <c r="Q7" s="7" t="e">
        <f>AVERAGEIFS('Data(perCrop)'!$E:$E,'Data(perCrop)'!$B:$B,$A7,'Data(perCrop)'!$H:$H,$A$3,'Data(perCrop)'!$O:$O,'Indicators(perCrop)'!K$4)</f>
        <v>#DIV/0!</v>
      </c>
      <c r="R7" s="7" t="e">
        <f>AVERAGEIFS('Data(perCrop)'!$E:$E,'Data(perCrop)'!$B:$B,$A7,'Data(perCrop)'!$H:$H,$A$3,'Data(perCrop)'!$O:$O,'Indicators(perCrop)'!L$4)</f>
        <v>#DIV/0!</v>
      </c>
      <c r="S7" s="7" t="e">
        <f>AVERAGEIFS('Data(perCrop)'!$E:$E,'Data(perCrop)'!$B:$B,$A7,'Data(perCrop)'!$H:$H,$A$3,'Data(perCrop)'!$O:$O,'Indicators(perCrop)'!M$4)</f>
        <v>#DIV/0!</v>
      </c>
      <c r="T7" s="7" t="e">
        <f>AVERAGEIFS('Data(perCrop)'!$E:$E,'Data(perCrop)'!$B:$B,$A7,'Data(perCrop)'!$H:$H,$A$3,'Data(perCrop)'!$O:$O,'Indicators(perCrop)'!N$4)</f>
        <v>#DIV/0!</v>
      </c>
      <c r="U7" s="7" t="e">
        <f t="shared" si="7"/>
        <v>#DIV/0!</v>
      </c>
      <c r="V7" s="8" t="str">
        <f t="shared" si="8"/>
        <v/>
      </c>
      <c r="W7" s="8" t="str">
        <f t="shared" si="9"/>
        <v/>
      </c>
      <c r="X7" s="8" t="str">
        <f t="shared" si="10"/>
        <v/>
      </c>
      <c r="Y7" s="8" t="str">
        <f t="shared" si="11"/>
        <v/>
      </c>
      <c r="Z7" s="8" t="str">
        <f t="shared" si="12"/>
        <v/>
      </c>
      <c r="AA7" s="8" t="e">
        <f t="shared" si="0"/>
        <v>#DIV/0!</v>
      </c>
      <c r="AB7" s="8" t="str">
        <f>IF(AND(ISNUMBER(J7),$B7&lt;&gt;14,$B7&lt;&gt;15),(AVERAGEIFS('Data(perCrop)'!$L:$L,'Data(perCrop)'!$B:$B,'Indicators(perCrop)'!$A7,'Data(perCrop)'!$O:$O,'Indicators(perCrop)'!AB$4,'Data(perCrop)'!$H:$H,'Indicators(perCrop)'!$A$3)-AVERAGEIFS('Data(perCrop)'!$K:$K,'Data(perCrop)'!$B:$B,'Indicators(perCrop)'!$A7,'Data(perCrop)'!$O:$O,'Indicators(perCrop)'!AB$4,'Data(perCrop)'!$H:$H,'Indicators(perCrop)'!$A$3))/AVERAGEIFS('Data(perCrop)'!$L:$L,'Data(perCrop)'!$B:$B,'Indicators(perCrop)'!$A7,'Data(perCrop)'!$O:$O,'Indicators(perCrop)'!AB$4,'Data(perCrop)'!$H:$H,'Indicators(perCrop)'!$A$3),"")</f>
        <v/>
      </c>
      <c r="AC7" s="8" t="str">
        <f>IF(AND(ISNUMBER(K7),$B7&lt;&gt;14,$B7&lt;&gt;15),(AVERAGEIFS('Data(perCrop)'!$L:$L,'Data(perCrop)'!$B:$B,'Indicators(perCrop)'!$A7,'Data(perCrop)'!$O:$O,'Indicators(perCrop)'!AC$4,'Data(perCrop)'!$H:$H,'Indicators(perCrop)'!$A$3)-AVERAGEIFS('Data(perCrop)'!$K:$K,'Data(perCrop)'!$B:$B,'Indicators(perCrop)'!$A7,'Data(perCrop)'!$O:$O,'Indicators(perCrop)'!AC$4,'Data(perCrop)'!$H:$H,'Indicators(perCrop)'!$A$3))/AVERAGEIFS('Data(perCrop)'!$L:$L,'Data(perCrop)'!$B:$B,'Indicators(perCrop)'!$A7,'Data(perCrop)'!$O:$O,'Indicators(perCrop)'!AC$4,'Data(perCrop)'!$H:$H,'Indicators(perCrop)'!$A$3),"")</f>
        <v/>
      </c>
      <c r="AD7" s="8" t="str">
        <f>IF(AND(ISNUMBER(L7),$B7&lt;&gt;14,$B7&lt;&gt;15),(AVERAGEIFS('Data(perCrop)'!$L:$L,'Data(perCrop)'!$B:$B,'Indicators(perCrop)'!$A7,'Data(perCrop)'!$O:$O,'Indicators(perCrop)'!AD$4,'Data(perCrop)'!$H:$H,'Indicators(perCrop)'!$A$3)-AVERAGEIFS('Data(perCrop)'!$K:$K,'Data(perCrop)'!$B:$B,'Indicators(perCrop)'!$A7,'Data(perCrop)'!$O:$O,'Indicators(perCrop)'!AD$4,'Data(perCrop)'!$H:$H,'Indicators(perCrop)'!$A$3))/AVERAGEIFS('Data(perCrop)'!$L:$L,'Data(perCrop)'!$B:$B,'Indicators(perCrop)'!$A7,'Data(perCrop)'!$O:$O,'Indicators(perCrop)'!AD$4,'Data(perCrop)'!$H:$H,'Indicators(perCrop)'!$A$3),"")</f>
        <v/>
      </c>
      <c r="AE7" s="8" t="str">
        <f>IF(AND(ISNUMBER(M7),$B7&lt;&gt;14,$B7&lt;&gt;15),(AVERAGEIFS('Data(perCrop)'!$L:$L,'Data(perCrop)'!$B:$B,'Indicators(perCrop)'!$A7,'Data(perCrop)'!$O:$O,'Indicators(perCrop)'!AE$4,'Data(perCrop)'!$H:$H,'Indicators(perCrop)'!$A$3)-AVERAGEIFS('Data(perCrop)'!$K:$K,'Data(perCrop)'!$B:$B,'Indicators(perCrop)'!$A7,'Data(perCrop)'!$O:$O,'Indicators(perCrop)'!AE$4,'Data(perCrop)'!$H:$H,'Indicators(perCrop)'!$A$3))/AVERAGEIFS('Data(perCrop)'!$L:$L,'Data(perCrop)'!$B:$B,'Indicators(perCrop)'!$A7,'Data(perCrop)'!$O:$O,'Indicators(perCrop)'!AE$4,'Data(perCrop)'!$H:$H,'Indicators(perCrop)'!$A$3),"")</f>
        <v/>
      </c>
      <c r="AF7" s="8" t="str">
        <f>IF(AND(ISNUMBER(N7),$B7&lt;&gt;14,$B7&lt;&gt;15),(AVERAGEIFS('Data(perCrop)'!$L:$L,'Data(perCrop)'!$B:$B,'Indicators(perCrop)'!$A7,'Data(perCrop)'!$O:$O,'Indicators(perCrop)'!AF$4,'Data(perCrop)'!$H:$H,'Indicators(perCrop)'!$A$3)-AVERAGEIFS('Data(perCrop)'!$K:$K,'Data(perCrop)'!$B:$B,'Indicators(perCrop)'!$A7,'Data(perCrop)'!$O:$O,'Indicators(perCrop)'!AF$4,'Data(perCrop)'!$H:$H,'Indicators(perCrop)'!$A$3))/AVERAGEIFS('Data(perCrop)'!$L:$L,'Data(perCrop)'!$B:$B,'Indicators(perCrop)'!$A7,'Data(perCrop)'!$O:$O,'Indicators(perCrop)'!AF$4,'Data(perCrop)'!$H:$H,'Indicators(perCrop)'!$A$3),"")</f>
        <v/>
      </c>
      <c r="AG7" s="8" t="e">
        <f t="shared" si="13"/>
        <v>#DIV/0!</v>
      </c>
      <c r="AH7" s="8" t="str">
        <f>IF(AND(ISNUMBER(J7),$B7&lt;&gt;14,$B7&lt;&gt;15),AVERAGEIFS('Data(perSeason,perCrop)'!$M:$M,'Data(perSeason,perCrop)'!$K:$K,'Indicators(perCrop)'!$A$3,'Data(perSeason,perCrop)'!$C:$C,'Indicators(perCrop)'!$A7,'Data(perSeason,perCrop)'!$S:$S,'Indicators(perCrop)'!AH$4,'Data(perSeason,perCrop)'!$R:$R,"IRRIGATED")-AVERAGEIFS('Data(perSeason,perCrop)'!$N:$N,'Data(perSeason,perCrop)'!$K:$K,'Indicators(perCrop)'!$A$3,'Data(perSeason,perCrop)'!$C:$C,'Indicators(perCrop)'!$A7,'Data(perSeason,perCrop)'!$S:$S,'Indicators(perCrop)'!AH$4,'Data(perSeason,perCrop)'!$R:$R,"IRRIGATED"),"")</f>
        <v/>
      </c>
      <c r="AI7" s="8" t="str">
        <f>IF(AND(ISNUMBER(K7),$B7&lt;&gt;14,$B7&lt;&gt;15),AVERAGEIFS('Data(perSeason,perCrop)'!$M:$M,'Data(perSeason,perCrop)'!$K:$K,'Indicators(perCrop)'!$A$3,'Data(perSeason,perCrop)'!$C:$C,'Indicators(perCrop)'!$A7,'Data(perSeason,perCrop)'!$S:$S,'Indicators(perCrop)'!AI$4,'Data(perSeason,perCrop)'!$R:$R,"IRRIGATED")-AVERAGEIFS('Data(perSeason,perCrop)'!$N:$N,'Data(perSeason,perCrop)'!$K:$K,'Indicators(perCrop)'!$A$3,'Data(perSeason,perCrop)'!$C:$C,'Indicators(perCrop)'!$A7,'Data(perSeason,perCrop)'!$S:$S,'Indicators(perCrop)'!AI$4,'Data(perSeason,perCrop)'!$R:$R,"IRRIGATED"),"")</f>
        <v/>
      </c>
      <c r="AJ7" s="8" t="str">
        <f>IF(AND(ISNUMBER(L7),$B7&lt;&gt;14,$B7&lt;&gt;15),AVERAGEIFS('Data(perSeason,perCrop)'!$M:$M,'Data(perSeason,perCrop)'!$K:$K,'Indicators(perCrop)'!$A$3,'Data(perSeason,perCrop)'!$C:$C,'Indicators(perCrop)'!$A7,'Data(perSeason,perCrop)'!$S:$S,'Indicators(perCrop)'!AJ$4,'Data(perSeason,perCrop)'!$R:$R,"IRRIGATED")-AVERAGEIFS('Data(perSeason,perCrop)'!$N:$N,'Data(perSeason,perCrop)'!$K:$K,'Indicators(perCrop)'!$A$3,'Data(perSeason,perCrop)'!$C:$C,'Indicators(perCrop)'!$A7,'Data(perSeason,perCrop)'!$S:$S,'Indicators(perCrop)'!AJ$4,'Data(perSeason,perCrop)'!$R:$R,"IRRIGATED"),"")</f>
        <v/>
      </c>
      <c r="AK7" s="8" t="str">
        <f>IF(AND(ISNUMBER(M7),$B7&lt;&gt;14,$B7&lt;&gt;15),AVERAGEIFS('Data(perSeason,perCrop)'!$M:$M,'Data(perSeason,perCrop)'!$K:$K,'Indicators(perCrop)'!$A$3,'Data(perSeason,perCrop)'!$C:$C,'Indicators(perCrop)'!$A7,'Data(perSeason,perCrop)'!$S:$S,'Indicators(perCrop)'!AK$4,'Data(perSeason,perCrop)'!$R:$R,"IRRIGATED")-AVERAGEIFS('Data(perSeason,perCrop)'!$N:$N,'Data(perSeason,perCrop)'!$K:$K,'Indicators(perCrop)'!$A$3,'Data(perSeason,perCrop)'!$C:$C,'Indicators(perCrop)'!$A7,'Data(perSeason,perCrop)'!$S:$S,'Indicators(perCrop)'!AK$4,'Data(perSeason,perCrop)'!$R:$R,"IRRIGATED"),"")</f>
        <v/>
      </c>
      <c r="AL7" s="8" t="str">
        <f>IF(AND(ISNUMBER(N7),$B7&lt;&gt;14,$B7&lt;&gt;15),AVERAGEIFS('Data(perSeason,perCrop)'!$M:$M,'Data(perSeason,perCrop)'!$K:$K,'Indicators(perCrop)'!$A$3,'Data(perSeason,perCrop)'!$C:$C,'Indicators(perCrop)'!$A7,'Data(perSeason,perCrop)'!$S:$S,'Indicators(perCrop)'!AL$4,'Data(perSeason,perCrop)'!$R:$R,"IRRIGATED")-AVERAGEIFS('Data(perSeason,perCrop)'!$N:$N,'Data(perSeason,perCrop)'!$K:$K,'Indicators(perCrop)'!$A$3,'Data(perSeason,perCrop)'!$C:$C,'Indicators(perCrop)'!$A7,'Data(perSeason,perCrop)'!$S:$S,'Indicators(perCrop)'!AL$4,'Data(perSeason,perCrop)'!$R:$R,"IRRIGATED"),"")</f>
        <v/>
      </c>
      <c r="AM7" s="8" t="e">
        <f t="shared" si="14"/>
        <v>#DIV/0!</v>
      </c>
      <c r="AN7" s="7" t="e">
        <f>AVERAGEIFS('Data(perCrop)'!$K:$K,'Data(perCrop)'!$B:$B,$A7,'Data(perCrop)'!$H:$H,$A$3,'Data(perCrop)'!$O:$O,'Indicators(perCrop)'!C$4)</f>
        <v>#DIV/0!</v>
      </c>
      <c r="AO7" s="7" t="e">
        <f>AVERAGEIFS('Data(perCrop)'!$K:$K,'Data(perCrop)'!$B:$B,$A7,'Data(perCrop)'!$H:$H,$A$3,'Data(perCrop)'!$O:$O,'Indicators(perCrop)'!D$4)</f>
        <v>#DIV/0!</v>
      </c>
      <c r="AP7" s="7" t="e">
        <f>AVERAGEIFS('Data(perCrop)'!$K:$K,'Data(perCrop)'!$B:$B,$A7,'Data(perCrop)'!$H:$H,$A$3,'Data(perCrop)'!$O:$O,'Indicators(perCrop)'!E$4)</f>
        <v>#DIV/0!</v>
      </c>
      <c r="AQ7" s="7" t="e">
        <f>AVERAGEIFS('Data(perCrop)'!$K:$K,'Data(perCrop)'!$B:$B,$A7,'Data(perCrop)'!$H:$H,$A$3,'Data(perCrop)'!$O:$O,'Indicators(perCrop)'!F$4)</f>
        <v>#DIV/0!</v>
      </c>
      <c r="AR7" s="7" t="e">
        <f>AVERAGEIFS('Data(perCrop)'!$K:$K,'Data(perCrop)'!$B:$B,$A7,'Data(perCrop)'!$H:$H,$A$3,'Data(perCrop)'!$O:$O,'Indicators(perCrop)'!G$4)</f>
        <v>#DIV/0!</v>
      </c>
      <c r="AS7" s="8" t="e">
        <f t="shared" si="15"/>
        <v>#DIV/0!</v>
      </c>
      <c r="AT7" s="52">
        <v>0.39</v>
      </c>
      <c r="AU7" s="52">
        <v>0.26</v>
      </c>
      <c r="AV7" s="8" t="str">
        <f t="shared" si="16"/>
        <v/>
      </c>
      <c r="AW7" s="8" t="str">
        <f t="shared" si="17"/>
        <v/>
      </c>
      <c r="AX7" s="8" t="str">
        <f t="shared" si="18"/>
        <v/>
      </c>
      <c r="AY7" s="8" t="str">
        <f t="shared" si="19"/>
        <v/>
      </c>
      <c r="AZ7" s="8" t="str">
        <f t="shared" si="20"/>
        <v/>
      </c>
      <c r="BA7" s="8" t="e">
        <f t="shared" ref="BA7:BA17" si="23">AVERAGE(AV7:AZ7)</f>
        <v>#DIV/0!</v>
      </c>
      <c r="BB7" s="7">
        <f>SUMIFS('Data(perSeason,perCrop)'!$A:$A,'Data(perSeason,perCrop)'!$C:$C,'Indicators(perCrop)'!$A7,'Data(perSeason,perCrop)'!$R:$R,"IRRIGATED",'Data(perSeason,perCrop)'!$O:$O,'Indicators(perCrop)'!BB$4)/5</f>
        <v>0</v>
      </c>
      <c r="BC7" s="7">
        <f>SUMIFS('Data(perSeason,perCrop)'!$A:$A,'Data(perSeason,perCrop)'!$C:$C,'Indicators(perCrop)'!$A7,'Data(perSeason,perCrop)'!$R:$R,"IRRIGATED",'Data(perSeason,perCrop)'!$O:$O,'Indicators(perCrop)'!BC$4)/5</f>
        <v>0</v>
      </c>
      <c r="BD7" s="7">
        <f>SUMIFS('Data(perSeason,perCrop)'!$A:$A,'Data(perSeason,perCrop)'!$C:$C,'Indicators(perCrop)'!$A7,'Data(perSeason,perCrop)'!$R:$R,"IRRIGATED",'Data(perSeason,perCrop)'!$O:$O,'Indicators(perCrop)'!BD$4)/5</f>
        <v>0</v>
      </c>
      <c r="BE7" s="7" t="e">
        <f>AVERAGEIFS('Data(perSeason,perCrop)'!$G:$G,'Data(perSeason,perCrop)'!$C:$C,'Indicators(perCrop)'!$A7,'Data(perSeason,perCrop)'!$R:$R,"IRRIGATED",'Data(perSeason,perCrop)'!$O:$O,'Indicators(perCrop)'!BE$4)</f>
        <v>#DIV/0!</v>
      </c>
      <c r="BF7" s="7" t="e">
        <f>AVERAGEIFS('Data(perSeason,perCrop)'!$G:$G,'Data(perSeason,perCrop)'!$C:$C,'Indicators(perCrop)'!$A7,'Data(perSeason,perCrop)'!$R:$R,"IRRIGATED",'Data(perSeason,perCrop)'!$O:$O,'Indicators(perCrop)'!BF$4)</f>
        <v>#DIV/0!</v>
      </c>
      <c r="BG7" s="7" t="e">
        <f>AVERAGEIFS('Data(perSeason,perCrop)'!$G:$G,'Data(perSeason,perCrop)'!$C:$C,'Indicators(perCrop)'!$A7,'Data(perSeason,perCrop)'!$R:$R,"IRRIGATED",'Data(perSeason,perCrop)'!$O:$O,'Indicators(perCrop)'!BG$4)</f>
        <v>#DIV/0!</v>
      </c>
      <c r="BH7" s="7" t="str">
        <f t="shared" ref="BH7:BH35" si="24">IF(ISNUMBER(BE7),BE7*BB7/$H7,"")</f>
        <v/>
      </c>
      <c r="BI7" s="7" t="str">
        <f t="shared" si="21"/>
        <v/>
      </c>
      <c r="BJ7" s="7" t="str">
        <f t="shared" si="22"/>
        <v/>
      </c>
      <c r="BK7" s="25" t="e">
        <f>AVERAGEIFS('Data(perCrop)'!F:F,'Data(perCrop)'!$B:$B,A7)</f>
        <v>#DIV/0!</v>
      </c>
      <c r="BL7" s="8" t="str">
        <f t="shared" si="2"/>
        <v/>
      </c>
      <c r="BM7" s="32" t="str">
        <f t="shared" si="3"/>
        <v/>
      </c>
    </row>
    <row r="8" spans="1:65" x14ac:dyDescent="0.25">
      <c r="A8" s="9" t="s">
        <v>52</v>
      </c>
      <c r="B8">
        <v>4</v>
      </c>
      <c r="C8" s="7" t="str">
        <f>IF(AND(ISNUMBER(AVERAGEIFS('Data(perCrop)'!$A:$A,'Data(perCrop)'!$B:$B,$A8,'Data(perCrop)'!$H:$H,$A$3,'Data(perCrop)'!$O:$O,'Indicators(perCrop)'!C$4)),$B8&lt;&gt;14,$B8&lt;&gt;15),AVERAGEIFS('Data(perCrop)'!$A:$A,'Data(perCrop)'!$B:$B,$A8,'Data(perCrop)'!$H:$H,$A$3,'Data(perCrop)'!$O:$O,'Indicators(perCrop)'!C$4),"")</f>
        <v/>
      </c>
      <c r="D8" s="7" t="str">
        <f>IF(AND(ISNUMBER(AVERAGEIFS('Data(perCrop)'!$A:$A,'Data(perCrop)'!$B:$B,$A8,'Data(perCrop)'!$H:$H,$A$3,'Data(perCrop)'!$O:$O,'Indicators(perCrop)'!D$4)),$B8&lt;&gt;14,$B8&lt;&gt;15),AVERAGEIFS('Data(perCrop)'!$A:$A,'Data(perCrop)'!$B:$B,$A8,'Data(perCrop)'!$H:$H,$A$3,'Data(perCrop)'!$O:$O,'Indicators(perCrop)'!D$4),"")</f>
        <v/>
      </c>
      <c r="E8" s="7" t="str">
        <f>IF(AND(ISNUMBER(AVERAGEIFS('Data(perCrop)'!$A:$A,'Data(perCrop)'!$B:$B,$A8,'Data(perCrop)'!$H:$H,$A$3,'Data(perCrop)'!$O:$O,'Indicators(perCrop)'!E$4)),$B8&lt;&gt;14,$B8&lt;&gt;15),AVERAGEIFS('Data(perCrop)'!$A:$A,'Data(perCrop)'!$B:$B,$A8,'Data(perCrop)'!$H:$H,$A$3,'Data(perCrop)'!$O:$O,'Indicators(perCrop)'!E$4),"")</f>
        <v/>
      </c>
      <c r="F8" s="7" t="str">
        <f>IF(AND(ISNUMBER(AVERAGEIFS('Data(perCrop)'!$A:$A,'Data(perCrop)'!$B:$B,$A8,'Data(perCrop)'!$H:$H,$A$3,'Data(perCrop)'!$O:$O,'Indicators(perCrop)'!F$4)),$B8&lt;&gt;14,$B8&lt;&gt;15),AVERAGEIFS('Data(perCrop)'!$A:$A,'Data(perCrop)'!$B:$B,$A8,'Data(perCrop)'!$H:$H,$A$3,'Data(perCrop)'!$O:$O,'Indicators(perCrop)'!F$4),"")</f>
        <v/>
      </c>
      <c r="G8" s="7" t="str">
        <f>IF(AND(ISNUMBER(AVERAGEIFS('Data(perCrop)'!$A:$A,'Data(perCrop)'!$B:$B,$A8,'Data(perCrop)'!$H:$H,$A$3,'Data(perCrop)'!$O:$O,'Indicators(perCrop)'!G$4)),$B8&lt;&gt;14,$B8&lt;&gt;15),AVERAGEIFS('Data(perCrop)'!$A:$A,'Data(perCrop)'!$B:$B,$A8,'Data(perCrop)'!$H:$H,$A$3,'Data(perCrop)'!$O:$O,'Indicators(perCrop)'!G$4),"")</f>
        <v/>
      </c>
      <c r="H8" s="7" t="str">
        <f t="shared" si="4"/>
        <v/>
      </c>
      <c r="I8" s="32" t="str">
        <f t="shared" si="5"/>
        <v/>
      </c>
      <c r="J8" s="7" t="e">
        <f>AVERAGEIFS('Data(perCrop)'!$D:$D,'Data(perCrop)'!$B:$B,$A8,'Data(perCrop)'!$H:$H,$A$3,'Data(perCrop)'!$O:$O,'Indicators(perCrop)'!C$4)</f>
        <v>#DIV/0!</v>
      </c>
      <c r="K8" s="7" t="e">
        <f>AVERAGEIFS('Data(perCrop)'!$D:$D,'Data(perCrop)'!$B:$B,$A8,'Data(perCrop)'!$H:$H,$A$3,'Data(perCrop)'!$O:$O,'Indicators(perCrop)'!D$4)</f>
        <v>#DIV/0!</v>
      </c>
      <c r="L8" s="7" t="e">
        <f>AVERAGEIFS('Data(perCrop)'!$D:$D,'Data(perCrop)'!$B:$B,$A8,'Data(perCrop)'!$H:$H,$A$3,'Data(perCrop)'!$O:$O,'Indicators(perCrop)'!E$4)</f>
        <v>#DIV/0!</v>
      </c>
      <c r="M8" s="7" t="e">
        <f>AVERAGEIFS('Data(perCrop)'!$D:$D,'Data(perCrop)'!$B:$B,$A8,'Data(perCrop)'!$H:$H,$A$3,'Data(perCrop)'!$O:$O,'Indicators(perCrop)'!F$4)</f>
        <v>#DIV/0!</v>
      </c>
      <c r="N8" s="7" t="e">
        <f>AVERAGEIFS('Data(perCrop)'!$D:$D,'Data(perCrop)'!$B:$B,$A8,'Data(perCrop)'!$H:$H,$A$3,'Data(perCrop)'!$O:$O,'Indicators(perCrop)'!G$4)</f>
        <v>#DIV/0!</v>
      </c>
      <c r="O8" s="7" t="e">
        <f t="shared" si="6"/>
        <v>#DIV/0!</v>
      </c>
      <c r="P8" s="7" t="e">
        <f>AVERAGEIFS('Data(perCrop)'!$E:$E,'Data(perCrop)'!$B:$B,$A8,'Data(perCrop)'!$H:$H,$A$3,'Data(perCrop)'!$O:$O,'Indicators(perCrop)'!J$4)</f>
        <v>#DIV/0!</v>
      </c>
      <c r="Q8" s="7" t="e">
        <f>AVERAGEIFS('Data(perCrop)'!$E:$E,'Data(perCrop)'!$B:$B,$A8,'Data(perCrop)'!$H:$H,$A$3,'Data(perCrop)'!$O:$O,'Indicators(perCrop)'!K$4)</f>
        <v>#DIV/0!</v>
      </c>
      <c r="R8" s="7" t="e">
        <f>AVERAGEIFS('Data(perCrop)'!$E:$E,'Data(perCrop)'!$B:$B,$A8,'Data(perCrop)'!$H:$H,$A$3,'Data(perCrop)'!$O:$O,'Indicators(perCrop)'!L$4)</f>
        <v>#DIV/0!</v>
      </c>
      <c r="S8" s="7" t="e">
        <f>AVERAGEIFS('Data(perCrop)'!$E:$E,'Data(perCrop)'!$B:$B,$A8,'Data(perCrop)'!$H:$H,$A$3,'Data(perCrop)'!$O:$O,'Indicators(perCrop)'!M$4)</f>
        <v>#DIV/0!</v>
      </c>
      <c r="T8" s="7" t="e">
        <f>AVERAGEIFS('Data(perCrop)'!$E:$E,'Data(perCrop)'!$B:$B,$A8,'Data(perCrop)'!$H:$H,$A$3,'Data(perCrop)'!$O:$O,'Indicators(perCrop)'!N$4)</f>
        <v>#DIV/0!</v>
      </c>
      <c r="U8" s="7" t="e">
        <f t="shared" si="7"/>
        <v>#DIV/0!</v>
      </c>
      <c r="V8" s="8" t="str">
        <f t="shared" si="8"/>
        <v/>
      </c>
      <c r="W8" s="8" t="str">
        <f t="shared" si="9"/>
        <v/>
      </c>
      <c r="X8" s="8" t="str">
        <f t="shared" si="10"/>
        <v/>
      </c>
      <c r="Y8" s="8" t="str">
        <f t="shared" si="11"/>
        <v/>
      </c>
      <c r="Z8" s="8" t="str">
        <f t="shared" si="12"/>
        <v/>
      </c>
      <c r="AA8" s="8" t="e">
        <f t="shared" si="0"/>
        <v>#DIV/0!</v>
      </c>
      <c r="AB8" s="8" t="str">
        <f>IF(AND(ISNUMBER(J8),$B8&lt;&gt;14,$B8&lt;&gt;15),(AVERAGEIFS('Data(perCrop)'!$L:$L,'Data(perCrop)'!$B:$B,'Indicators(perCrop)'!$A8,'Data(perCrop)'!$O:$O,'Indicators(perCrop)'!AB$4,'Data(perCrop)'!$H:$H,'Indicators(perCrop)'!$A$3)-AVERAGEIFS('Data(perCrop)'!$K:$K,'Data(perCrop)'!$B:$B,'Indicators(perCrop)'!$A8,'Data(perCrop)'!$O:$O,'Indicators(perCrop)'!AB$4,'Data(perCrop)'!$H:$H,'Indicators(perCrop)'!$A$3))/AVERAGEIFS('Data(perCrop)'!$L:$L,'Data(perCrop)'!$B:$B,'Indicators(perCrop)'!$A8,'Data(perCrop)'!$O:$O,'Indicators(perCrop)'!AB$4,'Data(perCrop)'!$H:$H,'Indicators(perCrop)'!$A$3),"")</f>
        <v/>
      </c>
      <c r="AC8" s="8" t="str">
        <f>IF(AND(ISNUMBER(K8),$B8&lt;&gt;14,$B8&lt;&gt;15),(AVERAGEIFS('Data(perCrop)'!$L:$L,'Data(perCrop)'!$B:$B,'Indicators(perCrop)'!$A8,'Data(perCrop)'!$O:$O,'Indicators(perCrop)'!AC$4,'Data(perCrop)'!$H:$H,'Indicators(perCrop)'!$A$3)-AVERAGEIFS('Data(perCrop)'!$K:$K,'Data(perCrop)'!$B:$B,'Indicators(perCrop)'!$A8,'Data(perCrop)'!$O:$O,'Indicators(perCrop)'!AC$4,'Data(perCrop)'!$H:$H,'Indicators(perCrop)'!$A$3))/AVERAGEIFS('Data(perCrop)'!$L:$L,'Data(perCrop)'!$B:$B,'Indicators(perCrop)'!$A8,'Data(perCrop)'!$O:$O,'Indicators(perCrop)'!AC$4,'Data(perCrop)'!$H:$H,'Indicators(perCrop)'!$A$3),"")</f>
        <v/>
      </c>
      <c r="AD8" s="8" t="str">
        <f>IF(AND(ISNUMBER(L8),$B8&lt;&gt;14,$B8&lt;&gt;15),(AVERAGEIFS('Data(perCrop)'!$L:$L,'Data(perCrop)'!$B:$B,'Indicators(perCrop)'!$A8,'Data(perCrop)'!$O:$O,'Indicators(perCrop)'!AD$4,'Data(perCrop)'!$H:$H,'Indicators(perCrop)'!$A$3)-AVERAGEIFS('Data(perCrop)'!$K:$K,'Data(perCrop)'!$B:$B,'Indicators(perCrop)'!$A8,'Data(perCrop)'!$O:$O,'Indicators(perCrop)'!AD$4,'Data(perCrop)'!$H:$H,'Indicators(perCrop)'!$A$3))/AVERAGEIFS('Data(perCrop)'!$L:$L,'Data(perCrop)'!$B:$B,'Indicators(perCrop)'!$A8,'Data(perCrop)'!$O:$O,'Indicators(perCrop)'!AD$4,'Data(perCrop)'!$H:$H,'Indicators(perCrop)'!$A$3),"")</f>
        <v/>
      </c>
      <c r="AE8" s="8" t="str">
        <f>IF(AND(ISNUMBER(M8),$B8&lt;&gt;14,$B8&lt;&gt;15),(AVERAGEIFS('Data(perCrop)'!$L:$L,'Data(perCrop)'!$B:$B,'Indicators(perCrop)'!$A8,'Data(perCrop)'!$O:$O,'Indicators(perCrop)'!AE$4,'Data(perCrop)'!$H:$H,'Indicators(perCrop)'!$A$3)-AVERAGEIFS('Data(perCrop)'!$K:$K,'Data(perCrop)'!$B:$B,'Indicators(perCrop)'!$A8,'Data(perCrop)'!$O:$O,'Indicators(perCrop)'!AE$4,'Data(perCrop)'!$H:$H,'Indicators(perCrop)'!$A$3))/AVERAGEIFS('Data(perCrop)'!$L:$L,'Data(perCrop)'!$B:$B,'Indicators(perCrop)'!$A8,'Data(perCrop)'!$O:$O,'Indicators(perCrop)'!AE$4,'Data(perCrop)'!$H:$H,'Indicators(perCrop)'!$A$3),"")</f>
        <v/>
      </c>
      <c r="AF8" s="8" t="str">
        <f>IF(AND(ISNUMBER(N8),$B8&lt;&gt;14,$B8&lt;&gt;15),(AVERAGEIFS('Data(perCrop)'!$L:$L,'Data(perCrop)'!$B:$B,'Indicators(perCrop)'!$A8,'Data(perCrop)'!$O:$O,'Indicators(perCrop)'!AF$4,'Data(perCrop)'!$H:$H,'Indicators(perCrop)'!$A$3)-AVERAGEIFS('Data(perCrop)'!$K:$K,'Data(perCrop)'!$B:$B,'Indicators(perCrop)'!$A8,'Data(perCrop)'!$O:$O,'Indicators(perCrop)'!AF$4,'Data(perCrop)'!$H:$H,'Indicators(perCrop)'!$A$3))/AVERAGEIFS('Data(perCrop)'!$L:$L,'Data(perCrop)'!$B:$B,'Indicators(perCrop)'!$A8,'Data(perCrop)'!$O:$O,'Indicators(perCrop)'!AF$4,'Data(perCrop)'!$H:$H,'Indicators(perCrop)'!$A$3),"")</f>
        <v/>
      </c>
      <c r="AG8" s="8" t="e">
        <f t="shared" si="13"/>
        <v>#DIV/0!</v>
      </c>
      <c r="AH8" s="8" t="str">
        <f>IF(AND(ISNUMBER(J8),$B8&lt;&gt;14,$B8&lt;&gt;15),AVERAGEIFS('Data(perSeason,perCrop)'!$M:$M,'Data(perSeason,perCrop)'!$K:$K,'Indicators(perCrop)'!$A$3,'Data(perSeason,perCrop)'!$C:$C,'Indicators(perCrop)'!$A8,'Data(perSeason,perCrop)'!$S:$S,'Indicators(perCrop)'!AH$4,'Data(perSeason,perCrop)'!$R:$R,"IRRIGATED")-AVERAGEIFS('Data(perSeason,perCrop)'!$N:$N,'Data(perSeason,perCrop)'!$K:$K,'Indicators(perCrop)'!$A$3,'Data(perSeason,perCrop)'!$C:$C,'Indicators(perCrop)'!$A8,'Data(perSeason,perCrop)'!$S:$S,'Indicators(perCrop)'!AH$4,'Data(perSeason,perCrop)'!$R:$R,"IRRIGATED"),"")</f>
        <v/>
      </c>
      <c r="AI8" s="8" t="str">
        <f>IF(AND(ISNUMBER(K8),$B8&lt;&gt;14,$B8&lt;&gt;15),AVERAGEIFS('Data(perSeason,perCrop)'!$M:$M,'Data(perSeason,perCrop)'!$K:$K,'Indicators(perCrop)'!$A$3,'Data(perSeason,perCrop)'!$C:$C,'Indicators(perCrop)'!$A8,'Data(perSeason,perCrop)'!$S:$S,'Indicators(perCrop)'!AI$4,'Data(perSeason,perCrop)'!$R:$R,"IRRIGATED")-AVERAGEIFS('Data(perSeason,perCrop)'!$N:$N,'Data(perSeason,perCrop)'!$K:$K,'Indicators(perCrop)'!$A$3,'Data(perSeason,perCrop)'!$C:$C,'Indicators(perCrop)'!$A8,'Data(perSeason,perCrop)'!$S:$S,'Indicators(perCrop)'!AI$4,'Data(perSeason,perCrop)'!$R:$R,"IRRIGATED"),"")</f>
        <v/>
      </c>
      <c r="AJ8" s="8" t="str">
        <f>IF(AND(ISNUMBER(L8),$B8&lt;&gt;14,$B8&lt;&gt;15),AVERAGEIFS('Data(perSeason,perCrop)'!$M:$M,'Data(perSeason,perCrop)'!$K:$K,'Indicators(perCrop)'!$A$3,'Data(perSeason,perCrop)'!$C:$C,'Indicators(perCrop)'!$A8,'Data(perSeason,perCrop)'!$S:$S,'Indicators(perCrop)'!AJ$4,'Data(perSeason,perCrop)'!$R:$R,"IRRIGATED")-AVERAGEIFS('Data(perSeason,perCrop)'!$N:$N,'Data(perSeason,perCrop)'!$K:$K,'Indicators(perCrop)'!$A$3,'Data(perSeason,perCrop)'!$C:$C,'Indicators(perCrop)'!$A8,'Data(perSeason,perCrop)'!$S:$S,'Indicators(perCrop)'!AJ$4,'Data(perSeason,perCrop)'!$R:$R,"IRRIGATED"),"")</f>
        <v/>
      </c>
      <c r="AK8" s="8" t="str">
        <f>IF(AND(ISNUMBER(M8),$B8&lt;&gt;14,$B8&lt;&gt;15),AVERAGEIFS('Data(perSeason,perCrop)'!$M:$M,'Data(perSeason,perCrop)'!$K:$K,'Indicators(perCrop)'!$A$3,'Data(perSeason,perCrop)'!$C:$C,'Indicators(perCrop)'!$A8,'Data(perSeason,perCrop)'!$S:$S,'Indicators(perCrop)'!AK$4,'Data(perSeason,perCrop)'!$R:$R,"IRRIGATED")-AVERAGEIFS('Data(perSeason,perCrop)'!$N:$N,'Data(perSeason,perCrop)'!$K:$K,'Indicators(perCrop)'!$A$3,'Data(perSeason,perCrop)'!$C:$C,'Indicators(perCrop)'!$A8,'Data(perSeason,perCrop)'!$S:$S,'Indicators(perCrop)'!AK$4,'Data(perSeason,perCrop)'!$R:$R,"IRRIGATED"),"")</f>
        <v/>
      </c>
      <c r="AL8" s="8" t="str">
        <f>IF(AND(ISNUMBER(N8),$B8&lt;&gt;14,$B8&lt;&gt;15),AVERAGEIFS('Data(perSeason,perCrop)'!$M:$M,'Data(perSeason,perCrop)'!$K:$K,'Indicators(perCrop)'!$A$3,'Data(perSeason,perCrop)'!$C:$C,'Indicators(perCrop)'!$A8,'Data(perSeason,perCrop)'!$S:$S,'Indicators(perCrop)'!AL$4,'Data(perSeason,perCrop)'!$R:$R,"IRRIGATED")-AVERAGEIFS('Data(perSeason,perCrop)'!$N:$N,'Data(perSeason,perCrop)'!$K:$K,'Indicators(perCrop)'!$A$3,'Data(perSeason,perCrop)'!$C:$C,'Indicators(perCrop)'!$A8,'Data(perSeason,perCrop)'!$S:$S,'Indicators(perCrop)'!AL$4,'Data(perSeason,perCrop)'!$R:$R,"IRRIGATED"),"")</f>
        <v/>
      </c>
      <c r="AM8" s="8" t="e">
        <f t="shared" si="14"/>
        <v>#DIV/0!</v>
      </c>
      <c r="AN8" s="7" t="e">
        <f>AVERAGEIFS('Data(perCrop)'!$K:$K,'Data(perCrop)'!$B:$B,$A8,'Data(perCrop)'!$H:$H,$A$3,'Data(perCrop)'!$O:$O,'Indicators(perCrop)'!C$4)</f>
        <v>#DIV/0!</v>
      </c>
      <c r="AO8" s="7" t="e">
        <f>AVERAGEIFS('Data(perCrop)'!$K:$K,'Data(perCrop)'!$B:$B,$A8,'Data(perCrop)'!$H:$H,$A$3,'Data(perCrop)'!$O:$O,'Indicators(perCrop)'!D$4)</f>
        <v>#DIV/0!</v>
      </c>
      <c r="AP8" s="7" t="e">
        <f>AVERAGEIFS('Data(perCrop)'!$K:$K,'Data(perCrop)'!$B:$B,$A8,'Data(perCrop)'!$H:$H,$A$3,'Data(perCrop)'!$O:$O,'Indicators(perCrop)'!E$4)</f>
        <v>#DIV/0!</v>
      </c>
      <c r="AQ8" s="7" t="e">
        <f>AVERAGEIFS('Data(perCrop)'!$K:$K,'Data(perCrop)'!$B:$B,$A8,'Data(perCrop)'!$H:$H,$A$3,'Data(perCrop)'!$O:$O,'Indicators(perCrop)'!F$4)</f>
        <v>#DIV/0!</v>
      </c>
      <c r="AR8" s="7" t="e">
        <f>AVERAGEIFS('Data(perCrop)'!$K:$K,'Data(perCrop)'!$B:$B,$A8,'Data(perCrop)'!$H:$H,$A$3,'Data(perCrop)'!$O:$O,'Indicators(perCrop)'!G$4)</f>
        <v>#DIV/0!</v>
      </c>
      <c r="AS8" s="8" t="e">
        <f t="shared" si="15"/>
        <v>#DIV/0!</v>
      </c>
      <c r="AT8" s="51">
        <v>0.37</v>
      </c>
      <c r="AU8" s="51">
        <v>0.15</v>
      </c>
      <c r="AV8" s="8" t="str">
        <f t="shared" si="16"/>
        <v/>
      </c>
      <c r="AW8" s="8" t="str">
        <f t="shared" si="17"/>
        <v/>
      </c>
      <c r="AX8" s="8" t="str">
        <f t="shared" si="18"/>
        <v/>
      </c>
      <c r="AY8" s="8" t="str">
        <f t="shared" si="19"/>
        <v/>
      </c>
      <c r="AZ8" s="8" t="str">
        <f t="shared" si="20"/>
        <v/>
      </c>
      <c r="BA8" s="8" t="e">
        <f t="shared" si="23"/>
        <v>#DIV/0!</v>
      </c>
      <c r="BB8" s="7">
        <f>SUMIFS('Data(perSeason,perCrop)'!$A:$A,'Data(perSeason,perCrop)'!$C:$C,'Indicators(perCrop)'!$A8,'Data(perSeason,perCrop)'!$R:$R,"IRRIGATED",'Data(perSeason,perCrop)'!$O:$O,'Indicators(perCrop)'!BB$4)/5</f>
        <v>0</v>
      </c>
      <c r="BC8" s="7">
        <f>SUMIFS('Data(perSeason,perCrop)'!$A:$A,'Data(perSeason,perCrop)'!$C:$C,'Indicators(perCrop)'!$A8,'Data(perSeason,perCrop)'!$R:$R,"IRRIGATED",'Data(perSeason,perCrop)'!$O:$O,'Indicators(perCrop)'!BC$4)/5</f>
        <v>0</v>
      </c>
      <c r="BD8" s="7">
        <f>SUMIFS('Data(perSeason,perCrop)'!$A:$A,'Data(perSeason,perCrop)'!$C:$C,'Indicators(perCrop)'!$A8,'Data(perSeason,perCrop)'!$R:$R,"IRRIGATED",'Data(perSeason,perCrop)'!$O:$O,'Indicators(perCrop)'!BD$4)/5</f>
        <v>0</v>
      </c>
      <c r="BE8" s="7" t="e">
        <f>AVERAGEIFS('Data(perSeason,perCrop)'!$G:$G,'Data(perSeason,perCrop)'!$C:$C,'Indicators(perCrop)'!$A8,'Data(perSeason,perCrop)'!$R:$R,"IRRIGATED",'Data(perSeason,perCrop)'!$O:$O,'Indicators(perCrop)'!BE$4)</f>
        <v>#DIV/0!</v>
      </c>
      <c r="BF8" s="7" t="e">
        <f>AVERAGEIFS('Data(perSeason,perCrop)'!$G:$G,'Data(perSeason,perCrop)'!$C:$C,'Indicators(perCrop)'!$A8,'Data(perSeason,perCrop)'!$R:$R,"IRRIGATED",'Data(perSeason,perCrop)'!$O:$O,'Indicators(perCrop)'!BF$4)</f>
        <v>#DIV/0!</v>
      </c>
      <c r="BG8" s="7" t="e">
        <f>AVERAGEIFS('Data(perSeason,perCrop)'!$G:$G,'Data(perSeason,perCrop)'!$C:$C,'Indicators(perCrop)'!$A8,'Data(perSeason,perCrop)'!$R:$R,"IRRIGATED",'Data(perSeason,perCrop)'!$O:$O,'Indicators(perCrop)'!BG$4)</f>
        <v>#DIV/0!</v>
      </c>
      <c r="BH8" s="7" t="str">
        <f t="shared" si="24"/>
        <v/>
      </c>
      <c r="BI8" s="7" t="str">
        <f t="shared" si="21"/>
        <v/>
      </c>
      <c r="BJ8" s="7" t="str">
        <f t="shared" si="22"/>
        <v/>
      </c>
      <c r="BK8" s="25" t="e">
        <f>AVERAGEIFS('Data(perCrop)'!F:F,'Data(perCrop)'!$B:$B,A8)</f>
        <v>#DIV/0!</v>
      </c>
      <c r="BL8" s="8" t="str">
        <f t="shared" si="2"/>
        <v/>
      </c>
      <c r="BM8" s="32" t="str">
        <f t="shared" si="3"/>
        <v/>
      </c>
    </row>
    <row r="9" spans="1:65" x14ac:dyDescent="0.25">
      <c r="A9" s="9" t="s">
        <v>60</v>
      </c>
      <c r="B9">
        <v>5</v>
      </c>
      <c r="C9" s="7" t="str">
        <f>IF(AND(ISNUMBER(AVERAGEIFS('Data(perCrop)'!$A:$A,'Data(perCrop)'!$B:$B,$A9,'Data(perCrop)'!$H:$H,$A$3,'Data(perCrop)'!$O:$O,'Indicators(perCrop)'!C$4)),$B9&lt;&gt;14,$B9&lt;&gt;15),AVERAGEIFS('Data(perCrop)'!$A:$A,'Data(perCrop)'!$B:$B,$A9,'Data(perCrop)'!$H:$H,$A$3,'Data(perCrop)'!$O:$O,'Indicators(perCrop)'!C$4),"")</f>
        <v/>
      </c>
      <c r="D9" s="7" t="str">
        <f>IF(AND(ISNUMBER(AVERAGEIFS('Data(perCrop)'!$A:$A,'Data(perCrop)'!$B:$B,$A9,'Data(perCrop)'!$H:$H,$A$3,'Data(perCrop)'!$O:$O,'Indicators(perCrop)'!D$4)),$B9&lt;&gt;14,$B9&lt;&gt;15),AVERAGEIFS('Data(perCrop)'!$A:$A,'Data(perCrop)'!$B:$B,$A9,'Data(perCrop)'!$H:$H,$A$3,'Data(perCrop)'!$O:$O,'Indicators(perCrop)'!D$4),"")</f>
        <v/>
      </c>
      <c r="E9" s="7" t="str">
        <f>IF(AND(ISNUMBER(AVERAGEIFS('Data(perCrop)'!$A:$A,'Data(perCrop)'!$B:$B,$A9,'Data(perCrop)'!$H:$H,$A$3,'Data(perCrop)'!$O:$O,'Indicators(perCrop)'!E$4)),$B9&lt;&gt;14,$B9&lt;&gt;15),AVERAGEIFS('Data(perCrop)'!$A:$A,'Data(perCrop)'!$B:$B,$A9,'Data(perCrop)'!$H:$H,$A$3,'Data(perCrop)'!$O:$O,'Indicators(perCrop)'!E$4),"")</f>
        <v/>
      </c>
      <c r="F9" s="7" t="str">
        <f>IF(AND(ISNUMBER(AVERAGEIFS('Data(perCrop)'!$A:$A,'Data(perCrop)'!$B:$B,$A9,'Data(perCrop)'!$H:$H,$A$3,'Data(perCrop)'!$O:$O,'Indicators(perCrop)'!F$4)),$B9&lt;&gt;14,$B9&lt;&gt;15),AVERAGEIFS('Data(perCrop)'!$A:$A,'Data(perCrop)'!$B:$B,$A9,'Data(perCrop)'!$H:$H,$A$3,'Data(perCrop)'!$O:$O,'Indicators(perCrop)'!F$4),"")</f>
        <v/>
      </c>
      <c r="G9" s="7" t="str">
        <f>IF(AND(ISNUMBER(AVERAGEIFS('Data(perCrop)'!$A:$A,'Data(perCrop)'!$B:$B,$A9,'Data(perCrop)'!$H:$H,$A$3,'Data(perCrop)'!$O:$O,'Indicators(perCrop)'!G$4)),$B9&lt;&gt;14,$B9&lt;&gt;15),AVERAGEIFS('Data(perCrop)'!$A:$A,'Data(perCrop)'!$B:$B,$A9,'Data(perCrop)'!$H:$H,$A$3,'Data(perCrop)'!$O:$O,'Indicators(perCrop)'!G$4),"")</f>
        <v/>
      </c>
      <c r="H9" s="7" t="str">
        <f t="shared" si="4"/>
        <v/>
      </c>
      <c r="I9" s="32" t="str">
        <f t="shared" si="5"/>
        <v/>
      </c>
      <c r="J9" s="7" t="e">
        <f>AVERAGEIFS('Data(perCrop)'!$D:$D,'Data(perCrop)'!$B:$B,$A9,'Data(perCrop)'!$H:$H,$A$3,'Data(perCrop)'!$O:$O,'Indicators(perCrop)'!C$4)</f>
        <v>#DIV/0!</v>
      </c>
      <c r="K9" s="7" t="e">
        <f>AVERAGEIFS('Data(perCrop)'!$D:$D,'Data(perCrop)'!$B:$B,$A9,'Data(perCrop)'!$H:$H,$A$3,'Data(perCrop)'!$O:$O,'Indicators(perCrop)'!D$4)</f>
        <v>#DIV/0!</v>
      </c>
      <c r="L9" s="7" t="e">
        <f>AVERAGEIFS('Data(perCrop)'!$D:$D,'Data(perCrop)'!$B:$B,$A9,'Data(perCrop)'!$H:$H,$A$3,'Data(perCrop)'!$O:$O,'Indicators(perCrop)'!E$4)</f>
        <v>#DIV/0!</v>
      </c>
      <c r="M9" s="7" t="e">
        <f>AVERAGEIFS('Data(perCrop)'!$D:$D,'Data(perCrop)'!$B:$B,$A9,'Data(perCrop)'!$H:$H,$A$3,'Data(perCrop)'!$O:$O,'Indicators(perCrop)'!F$4)</f>
        <v>#DIV/0!</v>
      </c>
      <c r="N9" s="7" t="e">
        <f>AVERAGEIFS('Data(perCrop)'!$D:$D,'Data(perCrop)'!$B:$B,$A9,'Data(perCrop)'!$H:$H,$A$3,'Data(perCrop)'!$O:$O,'Indicators(perCrop)'!G$4)</f>
        <v>#DIV/0!</v>
      </c>
      <c r="O9" s="7" t="e">
        <f t="shared" si="6"/>
        <v>#DIV/0!</v>
      </c>
      <c r="P9" s="7" t="e">
        <f>AVERAGEIFS('Data(perCrop)'!$E:$E,'Data(perCrop)'!$B:$B,$A9,'Data(perCrop)'!$H:$H,$A$3,'Data(perCrop)'!$O:$O,'Indicators(perCrop)'!J$4)</f>
        <v>#DIV/0!</v>
      </c>
      <c r="Q9" s="7" t="e">
        <f>AVERAGEIFS('Data(perCrop)'!$E:$E,'Data(perCrop)'!$B:$B,$A9,'Data(perCrop)'!$H:$H,$A$3,'Data(perCrop)'!$O:$O,'Indicators(perCrop)'!K$4)</f>
        <v>#DIV/0!</v>
      </c>
      <c r="R9" s="7" t="e">
        <f>AVERAGEIFS('Data(perCrop)'!$E:$E,'Data(perCrop)'!$B:$B,$A9,'Data(perCrop)'!$H:$H,$A$3,'Data(perCrop)'!$O:$O,'Indicators(perCrop)'!L$4)</f>
        <v>#DIV/0!</v>
      </c>
      <c r="S9" s="7" t="e">
        <f>AVERAGEIFS('Data(perCrop)'!$E:$E,'Data(perCrop)'!$B:$B,$A9,'Data(perCrop)'!$H:$H,$A$3,'Data(perCrop)'!$O:$O,'Indicators(perCrop)'!M$4)</f>
        <v>#DIV/0!</v>
      </c>
      <c r="T9" s="7" t="e">
        <f>AVERAGEIFS('Data(perCrop)'!$E:$E,'Data(perCrop)'!$B:$B,$A9,'Data(perCrop)'!$H:$H,$A$3,'Data(perCrop)'!$O:$O,'Indicators(perCrop)'!N$4)</f>
        <v>#DIV/0!</v>
      </c>
      <c r="U9" s="7" t="e">
        <f t="shared" si="7"/>
        <v>#DIV/0!</v>
      </c>
      <c r="V9" s="8" t="str">
        <f t="shared" si="8"/>
        <v/>
      </c>
      <c r="W9" s="8" t="str">
        <f t="shared" si="9"/>
        <v/>
      </c>
      <c r="X9" s="8" t="str">
        <f t="shared" si="10"/>
        <v/>
      </c>
      <c r="Y9" s="8" t="str">
        <f t="shared" si="11"/>
        <v/>
      </c>
      <c r="Z9" s="8" t="str">
        <f t="shared" si="12"/>
        <v/>
      </c>
      <c r="AA9" s="8" t="e">
        <f t="shared" si="0"/>
        <v>#DIV/0!</v>
      </c>
      <c r="AB9" s="8" t="str">
        <f>IF(AND(ISNUMBER(J9),$B9&lt;&gt;14,$B9&lt;&gt;15),(AVERAGEIFS('Data(perCrop)'!$L:$L,'Data(perCrop)'!$B:$B,'Indicators(perCrop)'!$A9,'Data(perCrop)'!$O:$O,'Indicators(perCrop)'!AB$4,'Data(perCrop)'!$H:$H,'Indicators(perCrop)'!$A$3)-AVERAGEIFS('Data(perCrop)'!$K:$K,'Data(perCrop)'!$B:$B,'Indicators(perCrop)'!$A9,'Data(perCrop)'!$O:$O,'Indicators(perCrop)'!AB$4,'Data(perCrop)'!$H:$H,'Indicators(perCrop)'!$A$3))/AVERAGEIFS('Data(perCrop)'!$L:$L,'Data(perCrop)'!$B:$B,'Indicators(perCrop)'!$A9,'Data(perCrop)'!$O:$O,'Indicators(perCrop)'!AB$4,'Data(perCrop)'!$H:$H,'Indicators(perCrop)'!$A$3),"")</f>
        <v/>
      </c>
      <c r="AC9" s="8" t="str">
        <f>IF(AND(ISNUMBER(K9),$B9&lt;&gt;14,$B9&lt;&gt;15),(AVERAGEIFS('Data(perCrop)'!$L:$L,'Data(perCrop)'!$B:$B,'Indicators(perCrop)'!$A9,'Data(perCrop)'!$O:$O,'Indicators(perCrop)'!AC$4,'Data(perCrop)'!$H:$H,'Indicators(perCrop)'!$A$3)-AVERAGEIFS('Data(perCrop)'!$K:$K,'Data(perCrop)'!$B:$B,'Indicators(perCrop)'!$A9,'Data(perCrop)'!$O:$O,'Indicators(perCrop)'!AC$4,'Data(perCrop)'!$H:$H,'Indicators(perCrop)'!$A$3))/AVERAGEIFS('Data(perCrop)'!$L:$L,'Data(perCrop)'!$B:$B,'Indicators(perCrop)'!$A9,'Data(perCrop)'!$O:$O,'Indicators(perCrop)'!AC$4,'Data(perCrop)'!$H:$H,'Indicators(perCrop)'!$A$3),"")</f>
        <v/>
      </c>
      <c r="AD9" s="8" t="str">
        <f>IF(AND(ISNUMBER(L9),$B9&lt;&gt;14,$B9&lt;&gt;15),(AVERAGEIFS('Data(perCrop)'!$L:$L,'Data(perCrop)'!$B:$B,'Indicators(perCrop)'!$A9,'Data(perCrop)'!$O:$O,'Indicators(perCrop)'!AD$4,'Data(perCrop)'!$H:$H,'Indicators(perCrop)'!$A$3)-AVERAGEIFS('Data(perCrop)'!$K:$K,'Data(perCrop)'!$B:$B,'Indicators(perCrop)'!$A9,'Data(perCrop)'!$O:$O,'Indicators(perCrop)'!AD$4,'Data(perCrop)'!$H:$H,'Indicators(perCrop)'!$A$3))/AVERAGEIFS('Data(perCrop)'!$L:$L,'Data(perCrop)'!$B:$B,'Indicators(perCrop)'!$A9,'Data(perCrop)'!$O:$O,'Indicators(perCrop)'!AD$4,'Data(perCrop)'!$H:$H,'Indicators(perCrop)'!$A$3),"")</f>
        <v/>
      </c>
      <c r="AE9" s="8" t="str">
        <f>IF(AND(ISNUMBER(M9),$B9&lt;&gt;14,$B9&lt;&gt;15),(AVERAGEIFS('Data(perCrop)'!$L:$L,'Data(perCrop)'!$B:$B,'Indicators(perCrop)'!$A9,'Data(perCrop)'!$O:$O,'Indicators(perCrop)'!AE$4,'Data(perCrop)'!$H:$H,'Indicators(perCrop)'!$A$3)-AVERAGEIFS('Data(perCrop)'!$K:$K,'Data(perCrop)'!$B:$B,'Indicators(perCrop)'!$A9,'Data(perCrop)'!$O:$O,'Indicators(perCrop)'!AE$4,'Data(perCrop)'!$H:$H,'Indicators(perCrop)'!$A$3))/AVERAGEIFS('Data(perCrop)'!$L:$L,'Data(perCrop)'!$B:$B,'Indicators(perCrop)'!$A9,'Data(perCrop)'!$O:$O,'Indicators(perCrop)'!AE$4,'Data(perCrop)'!$H:$H,'Indicators(perCrop)'!$A$3),"")</f>
        <v/>
      </c>
      <c r="AF9" s="8" t="str">
        <f>IF(AND(ISNUMBER(N9),$B9&lt;&gt;14,$B9&lt;&gt;15),(AVERAGEIFS('Data(perCrop)'!$L:$L,'Data(perCrop)'!$B:$B,'Indicators(perCrop)'!$A9,'Data(perCrop)'!$O:$O,'Indicators(perCrop)'!AF$4,'Data(perCrop)'!$H:$H,'Indicators(perCrop)'!$A$3)-AVERAGEIFS('Data(perCrop)'!$K:$K,'Data(perCrop)'!$B:$B,'Indicators(perCrop)'!$A9,'Data(perCrop)'!$O:$O,'Indicators(perCrop)'!AF$4,'Data(perCrop)'!$H:$H,'Indicators(perCrop)'!$A$3))/AVERAGEIFS('Data(perCrop)'!$L:$L,'Data(perCrop)'!$B:$B,'Indicators(perCrop)'!$A9,'Data(perCrop)'!$O:$O,'Indicators(perCrop)'!AF$4,'Data(perCrop)'!$H:$H,'Indicators(perCrop)'!$A$3),"")</f>
        <v/>
      </c>
      <c r="AG9" s="8" t="e">
        <f t="shared" si="13"/>
        <v>#DIV/0!</v>
      </c>
      <c r="AH9" s="8" t="str">
        <f>IF(AND(ISNUMBER(J9),$B9&lt;&gt;14,$B9&lt;&gt;15),AVERAGEIFS('Data(perSeason,perCrop)'!$M:$M,'Data(perSeason,perCrop)'!$K:$K,'Indicators(perCrop)'!$A$3,'Data(perSeason,perCrop)'!$C:$C,'Indicators(perCrop)'!$A9,'Data(perSeason,perCrop)'!$S:$S,'Indicators(perCrop)'!AH$4,'Data(perSeason,perCrop)'!$R:$R,"IRRIGATED")-AVERAGEIFS('Data(perSeason,perCrop)'!$N:$N,'Data(perSeason,perCrop)'!$K:$K,'Indicators(perCrop)'!$A$3,'Data(perSeason,perCrop)'!$C:$C,'Indicators(perCrop)'!$A9,'Data(perSeason,perCrop)'!$S:$S,'Indicators(perCrop)'!AH$4,'Data(perSeason,perCrop)'!$R:$R,"IRRIGATED"),"")</f>
        <v/>
      </c>
      <c r="AI9" s="8" t="str">
        <f>IF(AND(ISNUMBER(K9),$B9&lt;&gt;14,$B9&lt;&gt;15),AVERAGEIFS('Data(perSeason,perCrop)'!$M:$M,'Data(perSeason,perCrop)'!$K:$K,'Indicators(perCrop)'!$A$3,'Data(perSeason,perCrop)'!$C:$C,'Indicators(perCrop)'!$A9,'Data(perSeason,perCrop)'!$S:$S,'Indicators(perCrop)'!AI$4,'Data(perSeason,perCrop)'!$R:$R,"IRRIGATED")-AVERAGEIFS('Data(perSeason,perCrop)'!$N:$N,'Data(perSeason,perCrop)'!$K:$K,'Indicators(perCrop)'!$A$3,'Data(perSeason,perCrop)'!$C:$C,'Indicators(perCrop)'!$A9,'Data(perSeason,perCrop)'!$S:$S,'Indicators(perCrop)'!AI$4,'Data(perSeason,perCrop)'!$R:$R,"IRRIGATED"),"")</f>
        <v/>
      </c>
      <c r="AJ9" s="8" t="str">
        <f>IF(AND(ISNUMBER(L9),$B9&lt;&gt;14,$B9&lt;&gt;15),AVERAGEIFS('Data(perSeason,perCrop)'!$M:$M,'Data(perSeason,perCrop)'!$K:$K,'Indicators(perCrop)'!$A$3,'Data(perSeason,perCrop)'!$C:$C,'Indicators(perCrop)'!$A9,'Data(perSeason,perCrop)'!$S:$S,'Indicators(perCrop)'!AJ$4,'Data(perSeason,perCrop)'!$R:$R,"IRRIGATED")-AVERAGEIFS('Data(perSeason,perCrop)'!$N:$N,'Data(perSeason,perCrop)'!$K:$K,'Indicators(perCrop)'!$A$3,'Data(perSeason,perCrop)'!$C:$C,'Indicators(perCrop)'!$A9,'Data(perSeason,perCrop)'!$S:$S,'Indicators(perCrop)'!AJ$4,'Data(perSeason,perCrop)'!$R:$R,"IRRIGATED"),"")</f>
        <v/>
      </c>
      <c r="AK9" s="8" t="str">
        <f>IF(AND(ISNUMBER(M9),$B9&lt;&gt;14,$B9&lt;&gt;15),AVERAGEIFS('Data(perSeason,perCrop)'!$M:$M,'Data(perSeason,perCrop)'!$K:$K,'Indicators(perCrop)'!$A$3,'Data(perSeason,perCrop)'!$C:$C,'Indicators(perCrop)'!$A9,'Data(perSeason,perCrop)'!$S:$S,'Indicators(perCrop)'!AK$4,'Data(perSeason,perCrop)'!$R:$R,"IRRIGATED")-AVERAGEIFS('Data(perSeason,perCrop)'!$N:$N,'Data(perSeason,perCrop)'!$K:$K,'Indicators(perCrop)'!$A$3,'Data(perSeason,perCrop)'!$C:$C,'Indicators(perCrop)'!$A9,'Data(perSeason,perCrop)'!$S:$S,'Indicators(perCrop)'!AK$4,'Data(perSeason,perCrop)'!$R:$R,"IRRIGATED"),"")</f>
        <v/>
      </c>
      <c r="AL9" s="8" t="str">
        <f>IF(AND(ISNUMBER(N9),$B9&lt;&gt;14,$B9&lt;&gt;15),AVERAGEIFS('Data(perSeason,perCrop)'!$M:$M,'Data(perSeason,perCrop)'!$K:$K,'Indicators(perCrop)'!$A$3,'Data(perSeason,perCrop)'!$C:$C,'Indicators(perCrop)'!$A9,'Data(perSeason,perCrop)'!$S:$S,'Indicators(perCrop)'!AL$4,'Data(perSeason,perCrop)'!$R:$R,"IRRIGATED")-AVERAGEIFS('Data(perSeason,perCrop)'!$N:$N,'Data(perSeason,perCrop)'!$K:$K,'Indicators(perCrop)'!$A$3,'Data(perSeason,perCrop)'!$C:$C,'Indicators(perCrop)'!$A9,'Data(perSeason,perCrop)'!$S:$S,'Indicators(perCrop)'!AL$4,'Data(perSeason,perCrop)'!$R:$R,"IRRIGATED"),"")</f>
        <v/>
      </c>
      <c r="AM9" s="8" t="e">
        <f t="shared" si="14"/>
        <v>#DIV/0!</v>
      </c>
      <c r="AN9" s="7" t="e">
        <f>AVERAGEIFS('Data(perCrop)'!$K:$K,'Data(perCrop)'!$B:$B,$A9,'Data(perCrop)'!$H:$H,$A$3,'Data(perCrop)'!$O:$O,'Indicators(perCrop)'!C$4)</f>
        <v>#DIV/0!</v>
      </c>
      <c r="AO9" s="7" t="e">
        <f>AVERAGEIFS('Data(perCrop)'!$K:$K,'Data(perCrop)'!$B:$B,$A9,'Data(perCrop)'!$H:$H,$A$3,'Data(perCrop)'!$O:$O,'Indicators(perCrop)'!D$4)</f>
        <v>#DIV/0!</v>
      </c>
      <c r="AP9" s="7" t="e">
        <f>AVERAGEIFS('Data(perCrop)'!$K:$K,'Data(perCrop)'!$B:$B,$A9,'Data(perCrop)'!$H:$H,$A$3,'Data(perCrop)'!$O:$O,'Indicators(perCrop)'!E$4)</f>
        <v>#DIV/0!</v>
      </c>
      <c r="AQ9" s="7" t="e">
        <f>AVERAGEIFS('Data(perCrop)'!$K:$K,'Data(perCrop)'!$B:$B,$A9,'Data(perCrop)'!$H:$H,$A$3,'Data(perCrop)'!$O:$O,'Indicators(perCrop)'!F$4)</f>
        <v>#DIV/0!</v>
      </c>
      <c r="AR9" s="7" t="e">
        <f>AVERAGEIFS('Data(perCrop)'!$K:$K,'Data(perCrop)'!$B:$B,$A9,'Data(perCrop)'!$H:$H,$A$3,'Data(perCrop)'!$O:$O,'Indicators(perCrop)'!G$4)</f>
        <v>#DIV/0!</v>
      </c>
      <c r="AS9" s="8" t="e">
        <f t="shared" si="15"/>
        <v>#DIV/0!</v>
      </c>
      <c r="AT9" s="52">
        <v>0.25</v>
      </c>
      <c r="AU9" s="52">
        <v>0.1</v>
      </c>
      <c r="AV9" s="8" t="str">
        <f t="shared" si="16"/>
        <v/>
      </c>
      <c r="AW9" s="8" t="str">
        <f t="shared" si="17"/>
        <v/>
      </c>
      <c r="AX9" s="8" t="str">
        <f t="shared" si="18"/>
        <v/>
      </c>
      <c r="AY9" s="8" t="str">
        <f t="shared" si="19"/>
        <v/>
      </c>
      <c r="AZ9" s="8" t="str">
        <f t="shared" si="20"/>
        <v/>
      </c>
      <c r="BA9" s="8" t="e">
        <f t="shared" si="23"/>
        <v>#DIV/0!</v>
      </c>
      <c r="BB9" s="7">
        <f>SUMIFS('Data(perSeason,perCrop)'!$A:$A,'Data(perSeason,perCrop)'!$C:$C,'Indicators(perCrop)'!$A9,'Data(perSeason,perCrop)'!$R:$R,"IRRIGATED",'Data(perSeason,perCrop)'!$O:$O,'Indicators(perCrop)'!BB$4)/5</f>
        <v>0</v>
      </c>
      <c r="BC9" s="7">
        <f>SUMIFS('Data(perSeason,perCrop)'!$A:$A,'Data(perSeason,perCrop)'!$C:$C,'Indicators(perCrop)'!$A9,'Data(perSeason,perCrop)'!$R:$R,"IRRIGATED",'Data(perSeason,perCrop)'!$O:$O,'Indicators(perCrop)'!BC$4)/5</f>
        <v>0</v>
      </c>
      <c r="BD9" s="7">
        <f>SUMIFS('Data(perSeason,perCrop)'!$A:$A,'Data(perSeason,perCrop)'!$C:$C,'Indicators(perCrop)'!$A9,'Data(perSeason,perCrop)'!$R:$R,"IRRIGATED",'Data(perSeason,perCrop)'!$O:$O,'Indicators(perCrop)'!BD$4)/5</f>
        <v>0</v>
      </c>
      <c r="BE9" s="7" t="e">
        <f>AVERAGEIFS('Data(perSeason,perCrop)'!$G:$G,'Data(perSeason,perCrop)'!$C:$C,'Indicators(perCrop)'!$A9,'Data(perSeason,perCrop)'!$R:$R,"IRRIGATED",'Data(perSeason,perCrop)'!$O:$O,'Indicators(perCrop)'!BE$4)</f>
        <v>#DIV/0!</v>
      </c>
      <c r="BF9" s="7" t="e">
        <f>AVERAGEIFS('Data(perSeason,perCrop)'!$G:$G,'Data(perSeason,perCrop)'!$C:$C,'Indicators(perCrop)'!$A9,'Data(perSeason,perCrop)'!$R:$R,"IRRIGATED",'Data(perSeason,perCrop)'!$O:$O,'Indicators(perCrop)'!BF$4)</f>
        <v>#DIV/0!</v>
      </c>
      <c r="BG9" s="7" t="e">
        <f>AVERAGEIFS('Data(perSeason,perCrop)'!$G:$G,'Data(perSeason,perCrop)'!$C:$C,'Indicators(perCrop)'!$A9,'Data(perSeason,perCrop)'!$R:$R,"IRRIGATED",'Data(perSeason,perCrop)'!$O:$O,'Indicators(perCrop)'!BG$4)</f>
        <v>#DIV/0!</v>
      </c>
      <c r="BH9" s="7" t="str">
        <f t="shared" si="24"/>
        <v/>
      </c>
      <c r="BI9" s="7" t="str">
        <f t="shared" si="21"/>
        <v/>
      </c>
      <c r="BJ9" s="7" t="str">
        <f t="shared" si="22"/>
        <v/>
      </c>
      <c r="BK9" s="25" t="e">
        <f>AVERAGEIFS('Data(perCrop)'!F:F,'Data(perCrop)'!$B:$B,A9)</f>
        <v>#DIV/0!</v>
      </c>
      <c r="BL9" s="8" t="str">
        <f t="shared" si="2"/>
        <v/>
      </c>
      <c r="BM9" s="32" t="str">
        <f t="shared" si="3"/>
        <v/>
      </c>
    </row>
    <row r="10" spans="1:65" x14ac:dyDescent="0.25">
      <c r="A10" s="9" t="s">
        <v>53</v>
      </c>
      <c r="B10">
        <v>6</v>
      </c>
      <c r="C10" s="7" t="str">
        <f>IF(AND(ISNUMBER(AVERAGEIFS('Data(perCrop)'!$A:$A,'Data(perCrop)'!$B:$B,$A10,'Data(perCrop)'!$H:$H,$A$3,'Data(perCrop)'!$O:$O,'Indicators(perCrop)'!C$4)),$B10&lt;&gt;14,$B10&lt;&gt;15),AVERAGEIFS('Data(perCrop)'!$A:$A,'Data(perCrop)'!$B:$B,$A10,'Data(perCrop)'!$H:$H,$A$3,'Data(perCrop)'!$O:$O,'Indicators(perCrop)'!C$4),"")</f>
        <v/>
      </c>
      <c r="D10" s="7" t="str">
        <f>IF(AND(ISNUMBER(AVERAGEIFS('Data(perCrop)'!$A:$A,'Data(perCrop)'!$B:$B,$A10,'Data(perCrop)'!$H:$H,$A$3,'Data(perCrop)'!$O:$O,'Indicators(perCrop)'!D$4)),$B10&lt;&gt;14,$B10&lt;&gt;15),AVERAGEIFS('Data(perCrop)'!$A:$A,'Data(perCrop)'!$B:$B,$A10,'Data(perCrop)'!$H:$H,$A$3,'Data(perCrop)'!$O:$O,'Indicators(perCrop)'!D$4),"")</f>
        <v/>
      </c>
      <c r="E10" s="7" t="str">
        <f>IF(AND(ISNUMBER(AVERAGEIFS('Data(perCrop)'!$A:$A,'Data(perCrop)'!$B:$B,$A10,'Data(perCrop)'!$H:$H,$A$3,'Data(perCrop)'!$O:$O,'Indicators(perCrop)'!E$4)),$B10&lt;&gt;14,$B10&lt;&gt;15),AVERAGEIFS('Data(perCrop)'!$A:$A,'Data(perCrop)'!$B:$B,$A10,'Data(perCrop)'!$H:$H,$A$3,'Data(perCrop)'!$O:$O,'Indicators(perCrop)'!E$4),"")</f>
        <v/>
      </c>
      <c r="F10" s="7" t="str">
        <f>IF(AND(ISNUMBER(AVERAGEIFS('Data(perCrop)'!$A:$A,'Data(perCrop)'!$B:$B,$A10,'Data(perCrop)'!$H:$H,$A$3,'Data(perCrop)'!$O:$O,'Indicators(perCrop)'!F$4)),$B10&lt;&gt;14,$B10&lt;&gt;15),AVERAGEIFS('Data(perCrop)'!$A:$A,'Data(perCrop)'!$B:$B,$A10,'Data(perCrop)'!$H:$H,$A$3,'Data(perCrop)'!$O:$O,'Indicators(perCrop)'!F$4),"")</f>
        <v/>
      </c>
      <c r="G10" s="7" t="str">
        <f>IF(AND(ISNUMBER(AVERAGEIFS('Data(perCrop)'!$A:$A,'Data(perCrop)'!$B:$B,$A10,'Data(perCrop)'!$H:$H,$A$3,'Data(perCrop)'!$O:$O,'Indicators(perCrop)'!G$4)),$B10&lt;&gt;14,$B10&lt;&gt;15),AVERAGEIFS('Data(perCrop)'!$A:$A,'Data(perCrop)'!$B:$B,$A10,'Data(perCrop)'!$H:$H,$A$3,'Data(perCrop)'!$O:$O,'Indicators(perCrop)'!G$4),"")</f>
        <v/>
      </c>
      <c r="H10" s="7" t="str">
        <f t="shared" si="4"/>
        <v/>
      </c>
      <c r="I10" s="32" t="str">
        <f t="shared" si="5"/>
        <v/>
      </c>
      <c r="J10" s="7" t="e">
        <f>AVERAGEIFS('Data(perCrop)'!$D:$D,'Data(perCrop)'!$B:$B,$A10,'Data(perCrop)'!$H:$H,$A$3,'Data(perCrop)'!$O:$O,'Indicators(perCrop)'!C$4)</f>
        <v>#DIV/0!</v>
      </c>
      <c r="K10" s="7" t="e">
        <f>AVERAGEIFS('Data(perCrop)'!$D:$D,'Data(perCrop)'!$B:$B,$A10,'Data(perCrop)'!$H:$H,$A$3,'Data(perCrop)'!$O:$O,'Indicators(perCrop)'!D$4)</f>
        <v>#DIV/0!</v>
      </c>
      <c r="L10" s="7" t="e">
        <f>AVERAGEIFS('Data(perCrop)'!$D:$D,'Data(perCrop)'!$B:$B,$A10,'Data(perCrop)'!$H:$H,$A$3,'Data(perCrop)'!$O:$O,'Indicators(perCrop)'!E$4)</f>
        <v>#DIV/0!</v>
      </c>
      <c r="M10" s="7" t="e">
        <f>AVERAGEIFS('Data(perCrop)'!$D:$D,'Data(perCrop)'!$B:$B,$A10,'Data(perCrop)'!$H:$H,$A$3,'Data(perCrop)'!$O:$O,'Indicators(perCrop)'!F$4)</f>
        <v>#DIV/0!</v>
      </c>
      <c r="N10" s="7" t="e">
        <f>AVERAGEIFS('Data(perCrop)'!$D:$D,'Data(perCrop)'!$B:$B,$A10,'Data(perCrop)'!$H:$H,$A$3,'Data(perCrop)'!$O:$O,'Indicators(perCrop)'!G$4)</f>
        <v>#DIV/0!</v>
      </c>
      <c r="O10" s="7" t="e">
        <f t="shared" si="6"/>
        <v>#DIV/0!</v>
      </c>
      <c r="P10" s="7" t="e">
        <f>AVERAGEIFS('Data(perCrop)'!$E:$E,'Data(perCrop)'!$B:$B,$A10,'Data(perCrop)'!$H:$H,$A$3,'Data(perCrop)'!$O:$O,'Indicators(perCrop)'!J$4)</f>
        <v>#DIV/0!</v>
      </c>
      <c r="Q10" s="7" t="e">
        <f>AVERAGEIFS('Data(perCrop)'!$E:$E,'Data(perCrop)'!$B:$B,$A10,'Data(perCrop)'!$H:$H,$A$3,'Data(perCrop)'!$O:$O,'Indicators(perCrop)'!K$4)</f>
        <v>#DIV/0!</v>
      </c>
      <c r="R10" s="7" t="e">
        <f>AVERAGEIFS('Data(perCrop)'!$E:$E,'Data(perCrop)'!$B:$B,$A10,'Data(perCrop)'!$H:$H,$A$3,'Data(perCrop)'!$O:$O,'Indicators(perCrop)'!L$4)</f>
        <v>#DIV/0!</v>
      </c>
      <c r="S10" s="7" t="e">
        <f>AVERAGEIFS('Data(perCrop)'!$E:$E,'Data(perCrop)'!$B:$B,$A10,'Data(perCrop)'!$H:$H,$A$3,'Data(perCrop)'!$O:$O,'Indicators(perCrop)'!M$4)</f>
        <v>#DIV/0!</v>
      </c>
      <c r="T10" s="7" t="e">
        <f>AVERAGEIFS('Data(perCrop)'!$E:$E,'Data(perCrop)'!$B:$B,$A10,'Data(perCrop)'!$H:$H,$A$3,'Data(perCrop)'!$O:$O,'Indicators(perCrop)'!N$4)</f>
        <v>#DIV/0!</v>
      </c>
      <c r="U10" s="7" t="e">
        <f t="shared" si="7"/>
        <v>#DIV/0!</v>
      </c>
      <c r="V10" s="8" t="str">
        <f t="shared" si="8"/>
        <v/>
      </c>
      <c r="W10" s="8" t="str">
        <f t="shared" si="9"/>
        <v/>
      </c>
      <c r="X10" s="8" t="str">
        <f t="shared" si="10"/>
        <v/>
      </c>
      <c r="Y10" s="8" t="str">
        <f t="shared" si="11"/>
        <v/>
      </c>
      <c r="Z10" s="8" t="str">
        <f t="shared" si="12"/>
        <v/>
      </c>
      <c r="AA10" s="8" t="e">
        <f t="shared" si="0"/>
        <v>#DIV/0!</v>
      </c>
      <c r="AB10" s="8" t="str">
        <f>IF(AND(ISNUMBER(J10),$B10&lt;&gt;14,$B10&lt;&gt;15),(AVERAGEIFS('Data(perCrop)'!$L:$L,'Data(perCrop)'!$B:$B,'Indicators(perCrop)'!$A10,'Data(perCrop)'!$O:$O,'Indicators(perCrop)'!AB$4,'Data(perCrop)'!$H:$H,'Indicators(perCrop)'!$A$3)-AVERAGEIFS('Data(perCrop)'!$K:$K,'Data(perCrop)'!$B:$B,'Indicators(perCrop)'!$A10,'Data(perCrop)'!$O:$O,'Indicators(perCrop)'!AB$4,'Data(perCrop)'!$H:$H,'Indicators(perCrop)'!$A$3))/AVERAGEIFS('Data(perCrop)'!$L:$L,'Data(perCrop)'!$B:$B,'Indicators(perCrop)'!$A10,'Data(perCrop)'!$O:$O,'Indicators(perCrop)'!AB$4,'Data(perCrop)'!$H:$H,'Indicators(perCrop)'!$A$3),"")</f>
        <v/>
      </c>
      <c r="AC10" s="8" t="str">
        <f>IF(AND(ISNUMBER(K10),$B10&lt;&gt;14,$B10&lt;&gt;15),(AVERAGEIFS('Data(perCrop)'!$L:$L,'Data(perCrop)'!$B:$B,'Indicators(perCrop)'!$A10,'Data(perCrop)'!$O:$O,'Indicators(perCrop)'!AC$4,'Data(perCrop)'!$H:$H,'Indicators(perCrop)'!$A$3)-AVERAGEIFS('Data(perCrop)'!$K:$K,'Data(perCrop)'!$B:$B,'Indicators(perCrop)'!$A10,'Data(perCrop)'!$O:$O,'Indicators(perCrop)'!AC$4,'Data(perCrop)'!$H:$H,'Indicators(perCrop)'!$A$3))/AVERAGEIFS('Data(perCrop)'!$L:$L,'Data(perCrop)'!$B:$B,'Indicators(perCrop)'!$A10,'Data(perCrop)'!$O:$O,'Indicators(perCrop)'!AC$4,'Data(perCrop)'!$H:$H,'Indicators(perCrop)'!$A$3),"")</f>
        <v/>
      </c>
      <c r="AD10" s="8" t="str">
        <f>IF(AND(ISNUMBER(L10),$B10&lt;&gt;14,$B10&lt;&gt;15),(AVERAGEIFS('Data(perCrop)'!$L:$L,'Data(perCrop)'!$B:$B,'Indicators(perCrop)'!$A10,'Data(perCrop)'!$O:$O,'Indicators(perCrop)'!AD$4,'Data(perCrop)'!$H:$H,'Indicators(perCrop)'!$A$3)-AVERAGEIFS('Data(perCrop)'!$K:$K,'Data(perCrop)'!$B:$B,'Indicators(perCrop)'!$A10,'Data(perCrop)'!$O:$O,'Indicators(perCrop)'!AD$4,'Data(perCrop)'!$H:$H,'Indicators(perCrop)'!$A$3))/AVERAGEIFS('Data(perCrop)'!$L:$L,'Data(perCrop)'!$B:$B,'Indicators(perCrop)'!$A10,'Data(perCrop)'!$O:$O,'Indicators(perCrop)'!AD$4,'Data(perCrop)'!$H:$H,'Indicators(perCrop)'!$A$3),"")</f>
        <v/>
      </c>
      <c r="AE10" s="8" t="str">
        <f>IF(AND(ISNUMBER(M10),$B10&lt;&gt;14,$B10&lt;&gt;15),(AVERAGEIFS('Data(perCrop)'!$L:$L,'Data(perCrop)'!$B:$B,'Indicators(perCrop)'!$A10,'Data(perCrop)'!$O:$O,'Indicators(perCrop)'!AE$4,'Data(perCrop)'!$H:$H,'Indicators(perCrop)'!$A$3)-AVERAGEIFS('Data(perCrop)'!$K:$K,'Data(perCrop)'!$B:$B,'Indicators(perCrop)'!$A10,'Data(perCrop)'!$O:$O,'Indicators(perCrop)'!AE$4,'Data(perCrop)'!$H:$H,'Indicators(perCrop)'!$A$3))/AVERAGEIFS('Data(perCrop)'!$L:$L,'Data(perCrop)'!$B:$B,'Indicators(perCrop)'!$A10,'Data(perCrop)'!$O:$O,'Indicators(perCrop)'!AE$4,'Data(perCrop)'!$H:$H,'Indicators(perCrop)'!$A$3),"")</f>
        <v/>
      </c>
      <c r="AF10" s="8" t="str">
        <f>IF(AND(ISNUMBER(N10),$B10&lt;&gt;14,$B10&lt;&gt;15),(AVERAGEIFS('Data(perCrop)'!$L:$L,'Data(perCrop)'!$B:$B,'Indicators(perCrop)'!$A10,'Data(perCrop)'!$O:$O,'Indicators(perCrop)'!AF$4,'Data(perCrop)'!$H:$H,'Indicators(perCrop)'!$A$3)-AVERAGEIFS('Data(perCrop)'!$K:$K,'Data(perCrop)'!$B:$B,'Indicators(perCrop)'!$A10,'Data(perCrop)'!$O:$O,'Indicators(perCrop)'!AF$4,'Data(perCrop)'!$H:$H,'Indicators(perCrop)'!$A$3))/AVERAGEIFS('Data(perCrop)'!$L:$L,'Data(perCrop)'!$B:$B,'Indicators(perCrop)'!$A10,'Data(perCrop)'!$O:$O,'Indicators(perCrop)'!AF$4,'Data(perCrop)'!$H:$H,'Indicators(perCrop)'!$A$3),"")</f>
        <v/>
      </c>
      <c r="AG10" s="8" t="e">
        <f t="shared" si="13"/>
        <v>#DIV/0!</v>
      </c>
      <c r="AH10" s="8" t="str">
        <f>IF(AND(ISNUMBER(J10),$B10&lt;&gt;14,$B10&lt;&gt;15),AVERAGEIFS('Data(perSeason,perCrop)'!$M:$M,'Data(perSeason,perCrop)'!$K:$K,'Indicators(perCrop)'!$A$3,'Data(perSeason,perCrop)'!$C:$C,'Indicators(perCrop)'!$A10,'Data(perSeason,perCrop)'!$S:$S,'Indicators(perCrop)'!AH$4,'Data(perSeason,perCrop)'!$R:$R,"IRRIGATED")-AVERAGEIFS('Data(perSeason,perCrop)'!$N:$N,'Data(perSeason,perCrop)'!$K:$K,'Indicators(perCrop)'!$A$3,'Data(perSeason,perCrop)'!$C:$C,'Indicators(perCrop)'!$A10,'Data(perSeason,perCrop)'!$S:$S,'Indicators(perCrop)'!AH$4,'Data(perSeason,perCrop)'!$R:$R,"IRRIGATED"),"")</f>
        <v/>
      </c>
      <c r="AI10" s="8" t="str">
        <f>IF(AND(ISNUMBER(K10),$B10&lt;&gt;14,$B10&lt;&gt;15),AVERAGEIFS('Data(perSeason,perCrop)'!$M:$M,'Data(perSeason,perCrop)'!$K:$K,'Indicators(perCrop)'!$A$3,'Data(perSeason,perCrop)'!$C:$C,'Indicators(perCrop)'!$A10,'Data(perSeason,perCrop)'!$S:$S,'Indicators(perCrop)'!AI$4,'Data(perSeason,perCrop)'!$R:$R,"IRRIGATED")-AVERAGEIFS('Data(perSeason,perCrop)'!$N:$N,'Data(perSeason,perCrop)'!$K:$K,'Indicators(perCrop)'!$A$3,'Data(perSeason,perCrop)'!$C:$C,'Indicators(perCrop)'!$A10,'Data(perSeason,perCrop)'!$S:$S,'Indicators(perCrop)'!AI$4,'Data(perSeason,perCrop)'!$R:$R,"IRRIGATED"),"")</f>
        <v/>
      </c>
      <c r="AJ10" s="8" t="str">
        <f>IF(AND(ISNUMBER(L10),$B10&lt;&gt;14,$B10&lt;&gt;15),AVERAGEIFS('Data(perSeason,perCrop)'!$M:$M,'Data(perSeason,perCrop)'!$K:$K,'Indicators(perCrop)'!$A$3,'Data(perSeason,perCrop)'!$C:$C,'Indicators(perCrop)'!$A10,'Data(perSeason,perCrop)'!$S:$S,'Indicators(perCrop)'!AJ$4,'Data(perSeason,perCrop)'!$R:$R,"IRRIGATED")-AVERAGEIFS('Data(perSeason,perCrop)'!$N:$N,'Data(perSeason,perCrop)'!$K:$K,'Indicators(perCrop)'!$A$3,'Data(perSeason,perCrop)'!$C:$C,'Indicators(perCrop)'!$A10,'Data(perSeason,perCrop)'!$S:$S,'Indicators(perCrop)'!AJ$4,'Data(perSeason,perCrop)'!$R:$R,"IRRIGATED"),"")</f>
        <v/>
      </c>
      <c r="AK10" s="8" t="str">
        <f>IF(AND(ISNUMBER(M10),$B10&lt;&gt;14,$B10&lt;&gt;15),AVERAGEIFS('Data(perSeason,perCrop)'!$M:$M,'Data(perSeason,perCrop)'!$K:$K,'Indicators(perCrop)'!$A$3,'Data(perSeason,perCrop)'!$C:$C,'Indicators(perCrop)'!$A10,'Data(perSeason,perCrop)'!$S:$S,'Indicators(perCrop)'!AK$4,'Data(perSeason,perCrop)'!$R:$R,"IRRIGATED")-AVERAGEIFS('Data(perSeason,perCrop)'!$N:$N,'Data(perSeason,perCrop)'!$K:$K,'Indicators(perCrop)'!$A$3,'Data(perSeason,perCrop)'!$C:$C,'Indicators(perCrop)'!$A10,'Data(perSeason,perCrop)'!$S:$S,'Indicators(perCrop)'!AK$4,'Data(perSeason,perCrop)'!$R:$R,"IRRIGATED"),"")</f>
        <v/>
      </c>
      <c r="AL10" s="8" t="str">
        <f>IF(AND(ISNUMBER(N10),$B10&lt;&gt;14,$B10&lt;&gt;15),AVERAGEIFS('Data(perSeason,perCrop)'!$M:$M,'Data(perSeason,perCrop)'!$K:$K,'Indicators(perCrop)'!$A$3,'Data(perSeason,perCrop)'!$C:$C,'Indicators(perCrop)'!$A10,'Data(perSeason,perCrop)'!$S:$S,'Indicators(perCrop)'!AL$4,'Data(perSeason,perCrop)'!$R:$R,"IRRIGATED")-AVERAGEIFS('Data(perSeason,perCrop)'!$N:$N,'Data(perSeason,perCrop)'!$K:$K,'Indicators(perCrop)'!$A$3,'Data(perSeason,perCrop)'!$C:$C,'Indicators(perCrop)'!$A10,'Data(perSeason,perCrop)'!$S:$S,'Indicators(perCrop)'!AL$4,'Data(perSeason,perCrop)'!$R:$R,"IRRIGATED"),"")</f>
        <v/>
      </c>
      <c r="AM10" s="8" t="e">
        <f t="shared" si="14"/>
        <v>#DIV/0!</v>
      </c>
      <c r="AN10" s="7" t="e">
        <f>AVERAGEIFS('Data(perCrop)'!$K:$K,'Data(perCrop)'!$B:$B,$A10,'Data(perCrop)'!$H:$H,$A$3,'Data(perCrop)'!$O:$O,'Indicators(perCrop)'!C$4)</f>
        <v>#DIV/0!</v>
      </c>
      <c r="AO10" s="7" t="e">
        <f>AVERAGEIFS('Data(perCrop)'!$K:$K,'Data(perCrop)'!$B:$B,$A10,'Data(perCrop)'!$H:$H,$A$3,'Data(perCrop)'!$O:$O,'Indicators(perCrop)'!D$4)</f>
        <v>#DIV/0!</v>
      </c>
      <c r="AP10" s="7" t="e">
        <f>AVERAGEIFS('Data(perCrop)'!$K:$K,'Data(perCrop)'!$B:$B,$A10,'Data(perCrop)'!$H:$H,$A$3,'Data(perCrop)'!$O:$O,'Indicators(perCrop)'!E$4)</f>
        <v>#DIV/0!</v>
      </c>
      <c r="AQ10" s="7" t="e">
        <f>AVERAGEIFS('Data(perCrop)'!$K:$K,'Data(perCrop)'!$B:$B,$A10,'Data(perCrop)'!$H:$H,$A$3,'Data(perCrop)'!$O:$O,'Indicators(perCrop)'!F$4)</f>
        <v>#DIV/0!</v>
      </c>
      <c r="AR10" s="7" t="e">
        <f>AVERAGEIFS('Data(perCrop)'!$K:$K,'Data(perCrop)'!$B:$B,$A10,'Data(perCrop)'!$H:$H,$A$3,'Data(perCrop)'!$O:$O,'Indicators(perCrop)'!G$4)</f>
        <v>#DIV/0!</v>
      </c>
      <c r="AS10" s="8" t="e">
        <f t="shared" si="15"/>
        <v>#DIV/0!</v>
      </c>
      <c r="AT10" s="52">
        <v>0.38</v>
      </c>
      <c r="AU10" s="52">
        <v>0.14000000000000001</v>
      </c>
      <c r="AV10" s="8" t="str">
        <f t="shared" si="16"/>
        <v/>
      </c>
      <c r="AW10" s="8" t="str">
        <f t="shared" si="17"/>
        <v/>
      </c>
      <c r="AX10" s="8" t="str">
        <f t="shared" si="18"/>
        <v/>
      </c>
      <c r="AY10" s="8" t="str">
        <f t="shared" si="19"/>
        <v/>
      </c>
      <c r="AZ10" s="8" t="str">
        <f t="shared" si="20"/>
        <v/>
      </c>
      <c r="BA10" s="8" t="e">
        <f t="shared" si="23"/>
        <v>#DIV/0!</v>
      </c>
      <c r="BB10" s="7">
        <f>SUMIFS('Data(perSeason,perCrop)'!$A:$A,'Data(perSeason,perCrop)'!$C:$C,'Indicators(perCrop)'!$A10,'Data(perSeason,perCrop)'!$R:$R,"IRRIGATED",'Data(perSeason,perCrop)'!$O:$O,'Indicators(perCrop)'!BB$4)/5</f>
        <v>0</v>
      </c>
      <c r="BC10" s="7">
        <f>SUMIFS('Data(perSeason,perCrop)'!$A:$A,'Data(perSeason,perCrop)'!$C:$C,'Indicators(perCrop)'!$A10,'Data(perSeason,perCrop)'!$R:$R,"IRRIGATED",'Data(perSeason,perCrop)'!$O:$O,'Indicators(perCrop)'!BC$4)/5</f>
        <v>0</v>
      </c>
      <c r="BD10" s="7">
        <f>SUMIFS('Data(perSeason,perCrop)'!$A:$A,'Data(perSeason,perCrop)'!$C:$C,'Indicators(perCrop)'!$A10,'Data(perSeason,perCrop)'!$R:$R,"IRRIGATED",'Data(perSeason,perCrop)'!$O:$O,'Indicators(perCrop)'!BD$4)/5</f>
        <v>0</v>
      </c>
      <c r="BE10" s="7" t="e">
        <f>AVERAGEIFS('Data(perSeason,perCrop)'!$G:$G,'Data(perSeason,perCrop)'!$C:$C,'Indicators(perCrop)'!$A10,'Data(perSeason,perCrop)'!$R:$R,"IRRIGATED",'Data(perSeason,perCrop)'!$O:$O,'Indicators(perCrop)'!BE$4)</f>
        <v>#DIV/0!</v>
      </c>
      <c r="BF10" s="7" t="e">
        <f>AVERAGEIFS('Data(perSeason,perCrop)'!$G:$G,'Data(perSeason,perCrop)'!$C:$C,'Indicators(perCrop)'!$A10,'Data(perSeason,perCrop)'!$R:$R,"IRRIGATED",'Data(perSeason,perCrop)'!$O:$O,'Indicators(perCrop)'!BF$4)</f>
        <v>#DIV/0!</v>
      </c>
      <c r="BG10" s="7" t="e">
        <f>AVERAGEIFS('Data(perSeason,perCrop)'!$G:$G,'Data(perSeason,perCrop)'!$C:$C,'Indicators(perCrop)'!$A10,'Data(perSeason,perCrop)'!$R:$R,"IRRIGATED",'Data(perSeason,perCrop)'!$O:$O,'Indicators(perCrop)'!BG$4)</f>
        <v>#DIV/0!</v>
      </c>
      <c r="BH10" s="7" t="str">
        <f t="shared" si="24"/>
        <v/>
      </c>
      <c r="BI10" s="7" t="str">
        <f t="shared" si="21"/>
        <v/>
      </c>
      <c r="BJ10" s="7" t="str">
        <f t="shared" si="22"/>
        <v/>
      </c>
      <c r="BK10" s="25" t="e">
        <f>AVERAGEIFS('Data(perCrop)'!F:F,'Data(perCrop)'!$B:$B,A10)</f>
        <v>#DIV/0!</v>
      </c>
      <c r="BL10" s="8" t="str">
        <f t="shared" si="2"/>
        <v/>
      </c>
      <c r="BM10" s="32" t="str">
        <f t="shared" si="3"/>
        <v/>
      </c>
    </row>
    <row r="11" spans="1:65" x14ac:dyDescent="0.25">
      <c r="A11" s="9" t="s">
        <v>120</v>
      </c>
      <c r="B11">
        <v>7</v>
      </c>
      <c r="C11" s="7" t="str">
        <f>IF(AND(ISNUMBER(AVERAGEIFS('Data(perCrop)'!$A:$A,'Data(perCrop)'!$B:$B,$A11,'Data(perCrop)'!$H:$H,$A$3,'Data(perCrop)'!$O:$O,'Indicators(perCrop)'!C$4)),$B11&lt;&gt;14,$B11&lt;&gt;15),AVERAGEIFS('Data(perCrop)'!$A:$A,'Data(perCrop)'!$B:$B,$A11,'Data(perCrop)'!$H:$H,$A$3,'Data(perCrop)'!$O:$O,'Indicators(perCrop)'!C$4),"")</f>
        <v/>
      </c>
      <c r="D11" s="7" t="str">
        <f>IF(AND(ISNUMBER(AVERAGEIFS('Data(perCrop)'!$A:$A,'Data(perCrop)'!$B:$B,$A11,'Data(perCrop)'!$H:$H,$A$3,'Data(perCrop)'!$O:$O,'Indicators(perCrop)'!D$4)),$B11&lt;&gt;14,$B11&lt;&gt;15),AVERAGEIFS('Data(perCrop)'!$A:$A,'Data(perCrop)'!$B:$B,$A11,'Data(perCrop)'!$H:$H,$A$3,'Data(perCrop)'!$O:$O,'Indicators(perCrop)'!D$4),"")</f>
        <v/>
      </c>
      <c r="E11" s="7" t="str">
        <f>IF(AND(ISNUMBER(AVERAGEIFS('Data(perCrop)'!$A:$A,'Data(perCrop)'!$B:$B,$A11,'Data(perCrop)'!$H:$H,$A$3,'Data(perCrop)'!$O:$O,'Indicators(perCrop)'!E$4)),$B11&lt;&gt;14,$B11&lt;&gt;15),AVERAGEIFS('Data(perCrop)'!$A:$A,'Data(perCrop)'!$B:$B,$A11,'Data(perCrop)'!$H:$H,$A$3,'Data(perCrop)'!$O:$O,'Indicators(perCrop)'!E$4),"")</f>
        <v/>
      </c>
      <c r="F11" s="7" t="str">
        <f>IF(AND(ISNUMBER(AVERAGEIFS('Data(perCrop)'!$A:$A,'Data(perCrop)'!$B:$B,$A11,'Data(perCrop)'!$H:$H,$A$3,'Data(perCrop)'!$O:$O,'Indicators(perCrop)'!F$4)),$B11&lt;&gt;14,$B11&lt;&gt;15),AVERAGEIFS('Data(perCrop)'!$A:$A,'Data(perCrop)'!$B:$B,$A11,'Data(perCrop)'!$H:$H,$A$3,'Data(perCrop)'!$O:$O,'Indicators(perCrop)'!F$4),"")</f>
        <v/>
      </c>
      <c r="G11" s="7" t="str">
        <f>IF(AND(ISNUMBER(AVERAGEIFS('Data(perCrop)'!$A:$A,'Data(perCrop)'!$B:$B,$A11,'Data(perCrop)'!$H:$H,$A$3,'Data(perCrop)'!$O:$O,'Indicators(perCrop)'!G$4)),$B11&lt;&gt;14,$B11&lt;&gt;15),AVERAGEIFS('Data(perCrop)'!$A:$A,'Data(perCrop)'!$B:$B,$A11,'Data(perCrop)'!$H:$H,$A$3,'Data(perCrop)'!$O:$O,'Indicators(perCrop)'!G$4),"")</f>
        <v/>
      </c>
      <c r="H11" s="7" t="str">
        <f t="shared" si="4"/>
        <v/>
      </c>
      <c r="I11" s="32" t="str">
        <f t="shared" si="5"/>
        <v/>
      </c>
      <c r="J11" s="7" t="e">
        <f>AVERAGEIFS('Data(perCrop)'!$D:$D,'Data(perCrop)'!$B:$B,$A11,'Data(perCrop)'!$H:$H,$A$3,'Data(perCrop)'!$O:$O,'Indicators(perCrop)'!C$4)</f>
        <v>#DIV/0!</v>
      </c>
      <c r="K11" s="7" t="e">
        <f>AVERAGEIFS('Data(perCrop)'!$D:$D,'Data(perCrop)'!$B:$B,$A11,'Data(perCrop)'!$H:$H,$A$3,'Data(perCrop)'!$O:$O,'Indicators(perCrop)'!D$4)</f>
        <v>#DIV/0!</v>
      </c>
      <c r="L11" s="7" t="e">
        <f>AVERAGEIFS('Data(perCrop)'!$D:$D,'Data(perCrop)'!$B:$B,$A11,'Data(perCrop)'!$H:$H,$A$3,'Data(perCrop)'!$O:$O,'Indicators(perCrop)'!E$4)</f>
        <v>#DIV/0!</v>
      </c>
      <c r="M11" s="7" t="e">
        <f>AVERAGEIFS('Data(perCrop)'!$D:$D,'Data(perCrop)'!$B:$B,$A11,'Data(perCrop)'!$H:$H,$A$3,'Data(perCrop)'!$O:$O,'Indicators(perCrop)'!F$4)</f>
        <v>#DIV/0!</v>
      </c>
      <c r="N11" s="7" t="e">
        <f>AVERAGEIFS('Data(perCrop)'!$D:$D,'Data(perCrop)'!$B:$B,$A11,'Data(perCrop)'!$H:$H,$A$3,'Data(perCrop)'!$O:$O,'Indicators(perCrop)'!G$4)</f>
        <v>#DIV/0!</v>
      </c>
      <c r="O11" s="7" t="e">
        <f t="shared" si="6"/>
        <v>#DIV/0!</v>
      </c>
      <c r="P11" s="7" t="e">
        <f>AVERAGEIFS('Data(perCrop)'!$E:$E,'Data(perCrop)'!$B:$B,$A11,'Data(perCrop)'!$H:$H,$A$3,'Data(perCrop)'!$O:$O,'Indicators(perCrop)'!J$4)</f>
        <v>#DIV/0!</v>
      </c>
      <c r="Q11" s="7" t="e">
        <f>AVERAGEIFS('Data(perCrop)'!$E:$E,'Data(perCrop)'!$B:$B,$A11,'Data(perCrop)'!$H:$H,$A$3,'Data(perCrop)'!$O:$O,'Indicators(perCrop)'!K$4)</f>
        <v>#DIV/0!</v>
      </c>
      <c r="R11" s="7" t="e">
        <f>AVERAGEIFS('Data(perCrop)'!$E:$E,'Data(perCrop)'!$B:$B,$A11,'Data(perCrop)'!$H:$H,$A$3,'Data(perCrop)'!$O:$O,'Indicators(perCrop)'!L$4)</f>
        <v>#DIV/0!</v>
      </c>
      <c r="S11" s="7" t="e">
        <f>AVERAGEIFS('Data(perCrop)'!$E:$E,'Data(perCrop)'!$B:$B,$A11,'Data(perCrop)'!$H:$H,$A$3,'Data(perCrop)'!$O:$O,'Indicators(perCrop)'!M$4)</f>
        <v>#DIV/0!</v>
      </c>
      <c r="T11" s="7" t="e">
        <f>AVERAGEIFS('Data(perCrop)'!$E:$E,'Data(perCrop)'!$B:$B,$A11,'Data(perCrop)'!$H:$H,$A$3,'Data(perCrop)'!$O:$O,'Indicators(perCrop)'!N$4)</f>
        <v>#DIV/0!</v>
      </c>
      <c r="U11" s="7" t="e">
        <f t="shared" si="7"/>
        <v>#DIV/0!</v>
      </c>
      <c r="V11" s="8" t="str">
        <f t="shared" si="8"/>
        <v/>
      </c>
      <c r="W11" s="8" t="str">
        <f t="shared" si="9"/>
        <v/>
      </c>
      <c r="X11" s="8" t="str">
        <f t="shared" si="10"/>
        <v/>
      </c>
      <c r="Y11" s="8" t="str">
        <f t="shared" si="11"/>
        <v/>
      </c>
      <c r="Z11" s="8" t="str">
        <f t="shared" si="12"/>
        <v/>
      </c>
      <c r="AA11" s="8" t="e">
        <f t="shared" si="0"/>
        <v>#DIV/0!</v>
      </c>
      <c r="AB11" s="8" t="str">
        <f>IF(AND(ISNUMBER(J11),$B11&lt;&gt;14,$B11&lt;&gt;15),(AVERAGEIFS('Data(perCrop)'!$L:$L,'Data(perCrop)'!$B:$B,'Indicators(perCrop)'!$A11,'Data(perCrop)'!$O:$O,'Indicators(perCrop)'!AB$4,'Data(perCrop)'!$H:$H,'Indicators(perCrop)'!$A$3)-AVERAGEIFS('Data(perCrop)'!$K:$K,'Data(perCrop)'!$B:$B,'Indicators(perCrop)'!$A11,'Data(perCrop)'!$O:$O,'Indicators(perCrop)'!AB$4,'Data(perCrop)'!$H:$H,'Indicators(perCrop)'!$A$3))/AVERAGEIFS('Data(perCrop)'!$L:$L,'Data(perCrop)'!$B:$B,'Indicators(perCrop)'!$A11,'Data(perCrop)'!$O:$O,'Indicators(perCrop)'!AB$4,'Data(perCrop)'!$H:$H,'Indicators(perCrop)'!$A$3),"")</f>
        <v/>
      </c>
      <c r="AC11" s="8" t="str">
        <f>IF(AND(ISNUMBER(K11),$B11&lt;&gt;14,$B11&lt;&gt;15),(AVERAGEIFS('Data(perCrop)'!$L:$L,'Data(perCrop)'!$B:$B,'Indicators(perCrop)'!$A11,'Data(perCrop)'!$O:$O,'Indicators(perCrop)'!AC$4,'Data(perCrop)'!$H:$H,'Indicators(perCrop)'!$A$3)-AVERAGEIFS('Data(perCrop)'!$K:$K,'Data(perCrop)'!$B:$B,'Indicators(perCrop)'!$A11,'Data(perCrop)'!$O:$O,'Indicators(perCrop)'!AC$4,'Data(perCrop)'!$H:$H,'Indicators(perCrop)'!$A$3))/AVERAGEIFS('Data(perCrop)'!$L:$L,'Data(perCrop)'!$B:$B,'Indicators(perCrop)'!$A11,'Data(perCrop)'!$O:$O,'Indicators(perCrop)'!AC$4,'Data(perCrop)'!$H:$H,'Indicators(perCrop)'!$A$3),"")</f>
        <v/>
      </c>
      <c r="AD11" s="8" t="str">
        <f>IF(AND(ISNUMBER(L11),$B11&lt;&gt;14,$B11&lt;&gt;15),(AVERAGEIFS('Data(perCrop)'!$L:$L,'Data(perCrop)'!$B:$B,'Indicators(perCrop)'!$A11,'Data(perCrop)'!$O:$O,'Indicators(perCrop)'!AD$4,'Data(perCrop)'!$H:$H,'Indicators(perCrop)'!$A$3)-AVERAGEIFS('Data(perCrop)'!$K:$K,'Data(perCrop)'!$B:$B,'Indicators(perCrop)'!$A11,'Data(perCrop)'!$O:$O,'Indicators(perCrop)'!AD$4,'Data(perCrop)'!$H:$H,'Indicators(perCrop)'!$A$3))/AVERAGEIFS('Data(perCrop)'!$L:$L,'Data(perCrop)'!$B:$B,'Indicators(perCrop)'!$A11,'Data(perCrop)'!$O:$O,'Indicators(perCrop)'!AD$4,'Data(perCrop)'!$H:$H,'Indicators(perCrop)'!$A$3),"")</f>
        <v/>
      </c>
      <c r="AE11" s="8" t="str">
        <f>IF(AND(ISNUMBER(M11),$B11&lt;&gt;14,$B11&lt;&gt;15),(AVERAGEIFS('Data(perCrop)'!$L:$L,'Data(perCrop)'!$B:$B,'Indicators(perCrop)'!$A11,'Data(perCrop)'!$O:$O,'Indicators(perCrop)'!AE$4,'Data(perCrop)'!$H:$H,'Indicators(perCrop)'!$A$3)-AVERAGEIFS('Data(perCrop)'!$K:$K,'Data(perCrop)'!$B:$B,'Indicators(perCrop)'!$A11,'Data(perCrop)'!$O:$O,'Indicators(perCrop)'!AE$4,'Data(perCrop)'!$H:$H,'Indicators(perCrop)'!$A$3))/AVERAGEIFS('Data(perCrop)'!$L:$L,'Data(perCrop)'!$B:$B,'Indicators(perCrop)'!$A11,'Data(perCrop)'!$O:$O,'Indicators(perCrop)'!AE$4,'Data(perCrop)'!$H:$H,'Indicators(perCrop)'!$A$3),"")</f>
        <v/>
      </c>
      <c r="AF11" s="8" t="str">
        <f>IF(AND(ISNUMBER(N11),$B11&lt;&gt;14,$B11&lt;&gt;15),(AVERAGEIFS('Data(perCrop)'!$L:$L,'Data(perCrop)'!$B:$B,'Indicators(perCrop)'!$A11,'Data(perCrop)'!$O:$O,'Indicators(perCrop)'!AF$4,'Data(perCrop)'!$H:$H,'Indicators(perCrop)'!$A$3)-AVERAGEIFS('Data(perCrop)'!$K:$K,'Data(perCrop)'!$B:$B,'Indicators(perCrop)'!$A11,'Data(perCrop)'!$O:$O,'Indicators(perCrop)'!AF$4,'Data(perCrop)'!$H:$H,'Indicators(perCrop)'!$A$3))/AVERAGEIFS('Data(perCrop)'!$L:$L,'Data(perCrop)'!$B:$B,'Indicators(perCrop)'!$A11,'Data(perCrop)'!$O:$O,'Indicators(perCrop)'!AF$4,'Data(perCrop)'!$H:$H,'Indicators(perCrop)'!$A$3),"")</f>
        <v/>
      </c>
      <c r="AG11" s="8" t="e">
        <f t="shared" si="13"/>
        <v>#DIV/0!</v>
      </c>
      <c r="AH11" s="8" t="str">
        <f>IF(AND(ISNUMBER(J11),$B11&lt;&gt;14,$B11&lt;&gt;15),AVERAGEIFS('Data(perSeason,perCrop)'!$M:$M,'Data(perSeason,perCrop)'!$K:$K,'Indicators(perCrop)'!$A$3,'Data(perSeason,perCrop)'!$C:$C,'Indicators(perCrop)'!$A11,'Data(perSeason,perCrop)'!$S:$S,'Indicators(perCrop)'!AH$4,'Data(perSeason,perCrop)'!$R:$R,"IRRIGATED")-AVERAGEIFS('Data(perSeason,perCrop)'!$N:$N,'Data(perSeason,perCrop)'!$K:$K,'Indicators(perCrop)'!$A$3,'Data(perSeason,perCrop)'!$C:$C,'Indicators(perCrop)'!$A11,'Data(perSeason,perCrop)'!$S:$S,'Indicators(perCrop)'!AH$4,'Data(perSeason,perCrop)'!$R:$R,"IRRIGATED"),"")</f>
        <v/>
      </c>
      <c r="AI11" s="8" t="str">
        <f>IF(AND(ISNUMBER(K11),$B11&lt;&gt;14,$B11&lt;&gt;15),AVERAGEIFS('Data(perSeason,perCrop)'!$M:$M,'Data(perSeason,perCrop)'!$K:$K,'Indicators(perCrop)'!$A$3,'Data(perSeason,perCrop)'!$C:$C,'Indicators(perCrop)'!$A11,'Data(perSeason,perCrop)'!$S:$S,'Indicators(perCrop)'!AI$4,'Data(perSeason,perCrop)'!$R:$R,"IRRIGATED")-AVERAGEIFS('Data(perSeason,perCrop)'!$N:$N,'Data(perSeason,perCrop)'!$K:$K,'Indicators(perCrop)'!$A$3,'Data(perSeason,perCrop)'!$C:$C,'Indicators(perCrop)'!$A11,'Data(perSeason,perCrop)'!$S:$S,'Indicators(perCrop)'!AI$4,'Data(perSeason,perCrop)'!$R:$R,"IRRIGATED"),"")</f>
        <v/>
      </c>
      <c r="AJ11" s="8" t="str">
        <f>IF(AND(ISNUMBER(L11),$B11&lt;&gt;14,$B11&lt;&gt;15),AVERAGEIFS('Data(perSeason,perCrop)'!$M:$M,'Data(perSeason,perCrop)'!$K:$K,'Indicators(perCrop)'!$A$3,'Data(perSeason,perCrop)'!$C:$C,'Indicators(perCrop)'!$A11,'Data(perSeason,perCrop)'!$S:$S,'Indicators(perCrop)'!AJ$4,'Data(perSeason,perCrop)'!$R:$R,"IRRIGATED")-AVERAGEIFS('Data(perSeason,perCrop)'!$N:$N,'Data(perSeason,perCrop)'!$K:$K,'Indicators(perCrop)'!$A$3,'Data(perSeason,perCrop)'!$C:$C,'Indicators(perCrop)'!$A11,'Data(perSeason,perCrop)'!$S:$S,'Indicators(perCrop)'!AJ$4,'Data(perSeason,perCrop)'!$R:$R,"IRRIGATED"),"")</f>
        <v/>
      </c>
      <c r="AK11" s="8" t="str">
        <f>IF(AND(ISNUMBER(M11),$B11&lt;&gt;14,$B11&lt;&gt;15),AVERAGEIFS('Data(perSeason,perCrop)'!$M:$M,'Data(perSeason,perCrop)'!$K:$K,'Indicators(perCrop)'!$A$3,'Data(perSeason,perCrop)'!$C:$C,'Indicators(perCrop)'!$A11,'Data(perSeason,perCrop)'!$S:$S,'Indicators(perCrop)'!AK$4,'Data(perSeason,perCrop)'!$R:$R,"IRRIGATED")-AVERAGEIFS('Data(perSeason,perCrop)'!$N:$N,'Data(perSeason,perCrop)'!$K:$K,'Indicators(perCrop)'!$A$3,'Data(perSeason,perCrop)'!$C:$C,'Indicators(perCrop)'!$A11,'Data(perSeason,perCrop)'!$S:$S,'Indicators(perCrop)'!AK$4,'Data(perSeason,perCrop)'!$R:$R,"IRRIGATED"),"")</f>
        <v/>
      </c>
      <c r="AL11" s="8" t="str">
        <f>IF(AND(ISNUMBER(N11),$B11&lt;&gt;14,$B11&lt;&gt;15),AVERAGEIFS('Data(perSeason,perCrop)'!$M:$M,'Data(perSeason,perCrop)'!$K:$K,'Indicators(perCrop)'!$A$3,'Data(perSeason,perCrop)'!$C:$C,'Indicators(perCrop)'!$A11,'Data(perSeason,perCrop)'!$S:$S,'Indicators(perCrop)'!AL$4,'Data(perSeason,perCrop)'!$R:$R,"IRRIGATED")-AVERAGEIFS('Data(perSeason,perCrop)'!$N:$N,'Data(perSeason,perCrop)'!$K:$K,'Indicators(perCrop)'!$A$3,'Data(perSeason,perCrop)'!$C:$C,'Indicators(perCrop)'!$A11,'Data(perSeason,perCrop)'!$S:$S,'Indicators(perCrop)'!AL$4,'Data(perSeason,perCrop)'!$R:$R,"IRRIGATED"),"")</f>
        <v/>
      </c>
      <c r="AM11" s="8" t="e">
        <f t="shared" si="14"/>
        <v>#DIV/0!</v>
      </c>
      <c r="AN11" s="7" t="e">
        <f>AVERAGEIFS('Data(perCrop)'!$K:$K,'Data(perCrop)'!$B:$B,$A11,'Data(perCrop)'!$H:$H,$A$3,'Data(perCrop)'!$O:$O,'Indicators(perCrop)'!C$4)</f>
        <v>#DIV/0!</v>
      </c>
      <c r="AO11" s="7" t="e">
        <f>AVERAGEIFS('Data(perCrop)'!$K:$K,'Data(perCrop)'!$B:$B,$A11,'Data(perCrop)'!$H:$H,$A$3,'Data(perCrop)'!$O:$O,'Indicators(perCrop)'!D$4)</f>
        <v>#DIV/0!</v>
      </c>
      <c r="AP11" s="7" t="e">
        <f>AVERAGEIFS('Data(perCrop)'!$K:$K,'Data(perCrop)'!$B:$B,$A11,'Data(perCrop)'!$H:$H,$A$3,'Data(perCrop)'!$O:$O,'Indicators(perCrop)'!E$4)</f>
        <v>#DIV/0!</v>
      </c>
      <c r="AQ11" s="7" t="e">
        <f>AVERAGEIFS('Data(perCrop)'!$K:$K,'Data(perCrop)'!$B:$B,$A11,'Data(perCrop)'!$H:$H,$A$3,'Data(perCrop)'!$O:$O,'Indicators(perCrop)'!F$4)</f>
        <v>#DIV/0!</v>
      </c>
      <c r="AR11" s="7" t="e">
        <f>AVERAGEIFS('Data(perCrop)'!$K:$K,'Data(perCrop)'!$B:$B,$A11,'Data(perCrop)'!$H:$H,$A$3,'Data(perCrop)'!$O:$O,'Indicators(perCrop)'!G$4)</f>
        <v>#DIV/0!</v>
      </c>
      <c r="AS11" s="8" t="e">
        <f t="shared" si="15"/>
        <v>#DIV/0!</v>
      </c>
      <c r="AT11" s="51">
        <v>1</v>
      </c>
      <c r="AU11" s="51">
        <v>0.08</v>
      </c>
      <c r="AV11" s="8" t="str">
        <f t="shared" si="16"/>
        <v/>
      </c>
      <c r="AW11" s="8" t="str">
        <f t="shared" si="17"/>
        <v/>
      </c>
      <c r="AX11" s="8" t="str">
        <f t="shared" si="18"/>
        <v/>
      </c>
      <c r="AY11" s="8" t="str">
        <f t="shared" si="19"/>
        <v/>
      </c>
      <c r="AZ11" s="8" t="str">
        <f t="shared" si="20"/>
        <v/>
      </c>
      <c r="BA11" s="8" t="e">
        <f t="shared" si="23"/>
        <v>#DIV/0!</v>
      </c>
      <c r="BB11" s="7">
        <f>SUMIFS('Data(perSeason,perCrop)'!$A:$A,'Data(perSeason,perCrop)'!$C:$C,'Indicators(perCrop)'!$A11,'Data(perSeason,perCrop)'!$R:$R,"IRRIGATED",'Data(perSeason,perCrop)'!$O:$O,'Indicators(perCrop)'!BB$4)/5</f>
        <v>0</v>
      </c>
      <c r="BC11" s="7">
        <f>SUMIFS('Data(perSeason,perCrop)'!$A:$A,'Data(perSeason,perCrop)'!$C:$C,'Indicators(perCrop)'!$A11,'Data(perSeason,perCrop)'!$R:$R,"IRRIGATED",'Data(perSeason,perCrop)'!$O:$O,'Indicators(perCrop)'!BC$4)/5</f>
        <v>0</v>
      </c>
      <c r="BD11" s="7">
        <f>SUMIFS('Data(perSeason,perCrop)'!$A:$A,'Data(perSeason,perCrop)'!$C:$C,'Indicators(perCrop)'!$A11,'Data(perSeason,perCrop)'!$R:$R,"IRRIGATED",'Data(perSeason,perCrop)'!$O:$O,'Indicators(perCrop)'!BD$4)/5</f>
        <v>0</v>
      </c>
      <c r="BE11" s="7" t="e">
        <f>AVERAGEIFS('Data(perSeason,perCrop)'!$G:$G,'Data(perSeason,perCrop)'!$C:$C,'Indicators(perCrop)'!$A11,'Data(perSeason,perCrop)'!$R:$R,"IRRIGATED",'Data(perSeason,perCrop)'!$O:$O,'Indicators(perCrop)'!BE$4)</f>
        <v>#DIV/0!</v>
      </c>
      <c r="BF11" s="7" t="e">
        <f>AVERAGEIFS('Data(perSeason,perCrop)'!$G:$G,'Data(perSeason,perCrop)'!$C:$C,'Indicators(perCrop)'!$A11,'Data(perSeason,perCrop)'!$R:$R,"IRRIGATED",'Data(perSeason,perCrop)'!$O:$O,'Indicators(perCrop)'!BF$4)</f>
        <v>#DIV/0!</v>
      </c>
      <c r="BG11" s="7" t="e">
        <f>AVERAGEIFS('Data(perSeason,perCrop)'!$G:$G,'Data(perSeason,perCrop)'!$C:$C,'Indicators(perCrop)'!$A11,'Data(perSeason,perCrop)'!$R:$R,"IRRIGATED",'Data(perSeason,perCrop)'!$O:$O,'Indicators(perCrop)'!BG$4)</f>
        <v>#DIV/0!</v>
      </c>
      <c r="BH11" s="7" t="str">
        <f t="shared" si="24"/>
        <v/>
      </c>
      <c r="BI11" s="7" t="str">
        <f t="shared" si="21"/>
        <v/>
      </c>
      <c r="BJ11" s="7" t="str">
        <f t="shared" si="22"/>
        <v/>
      </c>
      <c r="BK11" s="25" t="e">
        <f>AVERAGEIFS('Data(perCrop)'!F:F,'Data(perCrop)'!$B:$B,A11)</f>
        <v>#DIV/0!</v>
      </c>
      <c r="BL11" s="8" t="str">
        <f t="shared" si="2"/>
        <v/>
      </c>
      <c r="BM11" s="32" t="str">
        <f t="shared" si="3"/>
        <v/>
      </c>
    </row>
    <row r="12" spans="1:65" x14ac:dyDescent="0.25">
      <c r="A12" s="9" t="s">
        <v>54</v>
      </c>
      <c r="B12">
        <v>8</v>
      </c>
      <c r="C12" s="7" t="str">
        <f>IF(AND(ISNUMBER(AVERAGEIFS('Data(perCrop)'!$A:$A,'Data(perCrop)'!$B:$B,$A12,'Data(perCrop)'!$H:$H,$A$3,'Data(perCrop)'!$O:$O,'Indicators(perCrop)'!C$4)),$B12&lt;&gt;14,$B12&lt;&gt;15),AVERAGEIFS('Data(perCrop)'!$A:$A,'Data(perCrop)'!$B:$B,$A12,'Data(perCrop)'!$H:$H,$A$3,'Data(perCrop)'!$O:$O,'Indicators(perCrop)'!C$4),"")</f>
        <v/>
      </c>
      <c r="D12" s="7" t="str">
        <f>IF(AND(ISNUMBER(AVERAGEIFS('Data(perCrop)'!$A:$A,'Data(perCrop)'!$B:$B,$A12,'Data(perCrop)'!$H:$H,$A$3,'Data(perCrop)'!$O:$O,'Indicators(perCrop)'!D$4)),$B12&lt;&gt;14,$B12&lt;&gt;15),AVERAGEIFS('Data(perCrop)'!$A:$A,'Data(perCrop)'!$B:$B,$A12,'Data(perCrop)'!$H:$H,$A$3,'Data(perCrop)'!$O:$O,'Indicators(perCrop)'!D$4),"")</f>
        <v/>
      </c>
      <c r="E12" s="7" t="str">
        <f>IF(AND(ISNUMBER(AVERAGEIFS('Data(perCrop)'!$A:$A,'Data(perCrop)'!$B:$B,$A12,'Data(perCrop)'!$H:$H,$A$3,'Data(perCrop)'!$O:$O,'Indicators(perCrop)'!E$4)),$B12&lt;&gt;14,$B12&lt;&gt;15),AVERAGEIFS('Data(perCrop)'!$A:$A,'Data(perCrop)'!$B:$B,$A12,'Data(perCrop)'!$H:$H,$A$3,'Data(perCrop)'!$O:$O,'Indicators(perCrop)'!E$4),"")</f>
        <v/>
      </c>
      <c r="F12" s="7" t="str">
        <f>IF(AND(ISNUMBER(AVERAGEIFS('Data(perCrop)'!$A:$A,'Data(perCrop)'!$B:$B,$A12,'Data(perCrop)'!$H:$H,$A$3,'Data(perCrop)'!$O:$O,'Indicators(perCrop)'!F$4)),$B12&lt;&gt;14,$B12&lt;&gt;15),AVERAGEIFS('Data(perCrop)'!$A:$A,'Data(perCrop)'!$B:$B,$A12,'Data(perCrop)'!$H:$H,$A$3,'Data(perCrop)'!$O:$O,'Indicators(perCrop)'!F$4),"")</f>
        <v/>
      </c>
      <c r="G12" s="7" t="str">
        <f>IF(AND(ISNUMBER(AVERAGEIFS('Data(perCrop)'!$A:$A,'Data(perCrop)'!$B:$B,$A12,'Data(perCrop)'!$H:$H,$A$3,'Data(perCrop)'!$O:$O,'Indicators(perCrop)'!G$4)),$B12&lt;&gt;14,$B12&lt;&gt;15),AVERAGEIFS('Data(perCrop)'!$A:$A,'Data(perCrop)'!$B:$B,$A12,'Data(perCrop)'!$H:$H,$A$3,'Data(perCrop)'!$O:$O,'Indicators(perCrop)'!G$4),"")</f>
        <v/>
      </c>
      <c r="H12" s="7" t="str">
        <f t="shared" si="4"/>
        <v/>
      </c>
      <c r="I12" s="32" t="str">
        <f t="shared" si="5"/>
        <v/>
      </c>
      <c r="J12" s="7" t="e">
        <f>AVERAGEIFS('Data(perCrop)'!$D:$D,'Data(perCrop)'!$B:$B,$A12,'Data(perCrop)'!$H:$H,$A$3,'Data(perCrop)'!$O:$O,'Indicators(perCrop)'!C$4)</f>
        <v>#DIV/0!</v>
      </c>
      <c r="K12" s="7" t="e">
        <f>AVERAGEIFS('Data(perCrop)'!$D:$D,'Data(perCrop)'!$B:$B,$A12,'Data(perCrop)'!$H:$H,$A$3,'Data(perCrop)'!$O:$O,'Indicators(perCrop)'!D$4)</f>
        <v>#DIV/0!</v>
      </c>
      <c r="L12" s="7" t="e">
        <f>AVERAGEIFS('Data(perCrop)'!$D:$D,'Data(perCrop)'!$B:$B,$A12,'Data(perCrop)'!$H:$H,$A$3,'Data(perCrop)'!$O:$O,'Indicators(perCrop)'!E$4)</f>
        <v>#DIV/0!</v>
      </c>
      <c r="M12" s="7" t="e">
        <f>AVERAGEIFS('Data(perCrop)'!$D:$D,'Data(perCrop)'!$B:$B,$A12,'Data(perCrop)'!$H:$H,$A$3,'Data(perCrop)'!$O:$O,'Indicators(perCrop)'!F$4)</f>
        <v>#DIV/0!</v>
      </c>
      <c r="N12" s="7" t="e">
        <f>AVERAGEIFS('Data(perCrop)'!$D:$D,'Data(perCrop)'!$B:$B,$A12,'Data(perCrop)'!$H:$H,$A$3,'Data(perCrop)'!$O:$O,'Indicators(perCrop)'!G$4)</f>
        <v>#DIV/0!</v>
      </c>
      <c r="O12" s="7" t="e">
        <f t="shared" si="6"/>
        <v>#DIV/0!</v>
      </c>
      <c r="P12" s="7" t="e">
        <f>AVERAGEIFS('Data(perCrop)'!$E:$E,'Data(perCrop)'!$B:$B,$A12,'Data(perCrop)'!$H:$H,$A$3,'Data(perCrop)'!$O:$O,'Indicators(perCrop)'!J$4)</f>
        <v>#DIV/0!</v>
      </c>
      <c r="Q12" s="7" t="e">
        <f>AVERAGEIFS('Data(perCrop)'!$E:$E,'Data(perCrop)'!$B:$B,$A12,'Data(perCrop)'!$H:$H,$A$3,'Data(perCrop)'!$O:$O,'Indicators(perCrop)'!K$4)</f>
        <v>#DIV/0!</v>
      </c>
      <c r="R12" s="7" t="e">
        <f>AVERAGEIFS('Data(perCrop)'!$E:$E,'Data(perCrop)'!$B:$B,$A12,'Data(perCrop)'!$H:$H,$A$3,'Data(perCrop)'!$O:$O,'Indicators(perCrop)'!L$4)</f>
        <v>#DIV/0!</v>
      </c>
      <c r="S12" s="7" t="e">
        <f>AVERAGEIFS('Data(perCrop)'!$E:$E,'Data(perCrop)'!$B:$B,$A12,'Data(perCrop)'!$H:$H,$A$3,'Data(perCrop)'!$O:$O,'Indicators(perCrop)'!M$4)</f>
        <v>#DIV/0!</v>
      </c>
      <c r="T12" s="7" t="e">
        <f>AVERAGEIFS('Data(perCrop)'!$E:$E,'Data(perCrop)'!$B:$B,$A12,'Data(perCrop)'!$H:$H,$A$3,'Data(perCrop)'!$O:$O,'Indicators(perCrop)'!N$4)</f>
        <v>#DIV/0!</v>
      </c>
      <c r="U12" s="7" t="e">
        <f t="shared" si="7"/>
        <v>#DIV/0!</v>
      </c>
      <c r="V12" s="8" t="str">
        <f t="shared" si="8"/>
        <v/>
      </c>
      <c r="W12" s="8" t="str">
        <f t="shared" si="9"/>
        <v/>
      </c>
      <c r="X12" s="8" t="str">
        <f t="shared" si="10"/>
        <v/>
      </c>
      <c r="Y12" s="8" t="str">
        <f t="shared" si="11"/>
        <v/>
      </c>
      <c r="Z12" s="8" t="str">
        <f t="shared" si="12"/>
        <v/>
      </c>
      <c r="AA12" s="8" t="e">
        <f t="shared" ref="AA12:AA35" si="25">AVERAGE(V12:Z12)</f>
        <v>#DIV/0!</v>
      </c>
      <c r="AB12" s="8" t="str">
        <f>IF(AND(ISNUMBER(J12),$B12&lt;&gt;14,$B12&lt;&gt;15),(AVERAGEIFS('Data(perCrop)'!$L:$L,'Data(perCrop)'!$B:$B,'Indicators(perCrop)'!$A12,'Data(perCrop)'!$O:$O,'Indicators(perCrop)'!AB$4,'Data(perCrop)'!$H:$H,'Indicators(perCrop)'!$A$3)-AVERAGEIFS('Data(perCrop)'!$K:$K,'Data(perCrop)'!$B:$B,'Indicators(perCrop)'!$A12,'Data(perCrop)'!$O:$O,'Indicators(perCrop)'!AB$4,'Data(perCrop)'!$H:$H,'Indicators(perCrop)'!$A$3))/AVERAGEIFS('Data(perCrop)'!$L:$L,'Data(perCrop)'!$B:$B,'Indicators(perCrop)'!$A12,'Data(perCrop)'!$O:$O,'Indicators(perCrop)'!AB$4,'Data(perCrop)'!$H:$H,'Indicators(perCrop)'!$A$3),"")</f>
        <v/>
      </c>
      <c r="AC12" s="8" t="str">
        <f>IF(AND(ISNUMBER(K12),$B12&lt;&gt;14,$B12&lt;&gt;15),(AVERAGEIFS('Data(perCrop)'!$L:$L,'Data(perCrop)'!$B:$B,'Indicators(perCrop)'!$A12,'Data(perCrop)'!$O:$O,'Indicators(perCrop)'!AC$4,'Data(perCrop)'!$H:$H,'Indicators(perCrop)'!$A$3)-AVERAGEIFS('Data(perCrop)'!$K:$K,'Data(perCrop)'!$B:$B,'Indicators(perCrop)'!$A12,'Data(perCrop)'!$O:$O,'Indicators(perCrop)'!AC$4,'Data(perCrop)'!$H:$H,'Indicators(perCrop)'!$A$3))/AVERAGEIFS('Data(perCrop)'!$L:$L,'Data(perCrop)'!$B:$B,'Indicators(perCrop)'!$A12,'Data(perCrop)'!$O:$O,'Indicators(perCrop)'!AC$4,'Data(perCrop)'!$H:$H,'Indicators(perCrop)'!$A$3),"")</f>
        <v/>
      </c>
      <c r="AD12" s="8" t="str">
        <f>IF(AND(ISNUMBER(L12),$B12&lt;&gt;14,$B12&lt;&gt;15),(AVERAGEIFS('Data(perCrop)'!$L:$L,'Data(perCrop)'!$B:$B,'Indicators(perCrop)'!$A12,'Data(perCrop)'!$O:$O,'Indicators(perCrop)'!AD$4,'Data(perCrop)'!$H:$H,'Indicators(perCrop)'!$A$3)-AVERAGEIFS('Data(perCrop)'!$K:$K,'Data(perCrop)'!$B:$B,'Indicators(perCrop)'!$A12,'Data(perCrop)'!$O:$O,'Indicators(perCrop)'!AD$4,'Data(perCrop)'!$H:$H,'Indicators(perCrop)'!$A$3))/AVERAGEIFS('Data(perCrop)'!$L:$L,'Data(perCrop)'!$B:$B,'Indicators(perCrop)'!$A12,'Data(perCrop)'!$O:$O,'Indicators(perCrop)'!AD$4,'Data(perCrop)'!$H:$H,'Indicators(perCrop)'!$A$3),"")</f>
        <v/>
      </c>
      <c r="AE12" s="8" t="str">
        <f>IF(AND(ISNUMBER(M12),$B12&lt;&gt;14,$B12&lt;&gt;15),(AVERAGEIFS('Data(perCrop)'!$L:$L,'Data(perCrop)'!$B:$B,'Indicators(perCrop)'!$A12,'Data(perCrop)'!$O:$O,'Indicators(perCrop)'!AE$4,'Data(perCrop)'!$H:$H,'Indicators(perCrop)'!$A$3)-AVERAGEIFS('Data(perCrop)'!$K:$K,'Data(perCrop)'!$B:$B,'Indicators(perCrop)'!$A12,'Data(perCrop)'!$O:$O,'Indicators(perCrop)'!AE$4,'Data(perCrop)'!$H:$H,'Indicators(perCrop)'!$A$3))/AVERAGEIFS('Data(perCrop)'!$L:$L,'Data(perCrop)'!$B:$B,'Indicators(perCrop)'!$A12,'Data(perCrop)'!$O:$O,'Indicators(perCrop)'!AE$4,'Data(perCrop)'!$H:$H,'Indicators(perCrop)'!$A$3),"")</f>
        <v/>
      </c>
      <c r="AF12" s="8" t="str">
        <f>IF(AND(ISNUMBER(N12),$B12&lt;&gt;14,$B12&lt;&gt;15),(AVERAGEIFS('Data(perCrop)'!$L:$L,'Data(perCrop)'!$B:$B,'Indicators(perCrop)'!$A12,'Data(perCrop)'!$O:$O,'Indicators(perCrop)'!AF$4,'Data(perCrop)'!$H:$H,'Indicators(perCrop)'!$A$3)-AVERAGEIFS('Data(perCrop)'!$K:$K,'Data(perCrop)'!$B:$B,'Indicators(perCrop)'!$A12,'Data(perCrop)'!$O:$O,'Indicators(perCrop)'!AF$4,'Data(perCrop)'!$H:$H,'Indicators(perCrop)'!$A$3))/AVERAGEIFS('Data(perCrop)'!$L:$L,'Data(perCrop)'!$B:$B,'Indicators(perCrop)'!$A12,'Data(perCrop)'!$O:$O,'Indicators(perCrop)'!AF$4,'Data(perCrop)'!$H:$H,'Indicators(perCrop)'!$A$3),"")</f>
        <v/>
      </c>
      <c r="AG12" s="8" t="e">
        <f t="shared" si="13"/>
        <v>#DIV/0!</v>
      </c>
      <c r="AH12" s="8" t="str">
        <f>IF(AND(ISNUMBER(J12),$B12&lt;&gt;14,$B12&lt;&gt;15),AVERAGEIFS('Data(perSeason,perCrop)'!$M:$M,'Data(perSeason,perCrop)'!$K:$K,'Indicators(perCrop)'!$A$3,'Data(perSeason,perCrop)'!$C:$C,'Indicators(perCrop)'!$A12,'Data(perSeason,perCrop)'!$S:$S,'Indicators(perCrop)'!AH$4,'Data(perSeason,perCrop)'!$R:$R,"IRRIGATED")-AVERAGEIFS('Data(perSeason,perCrop)'!$N:$N,'Data(perSeason,perCrop)'!$K:$K,'Indicators(perCrop)'!$A$3,'Data(perSeason,perCrop)'!$C:$C,'Indicators(perCrop)'!$A12,'Data(perSeason,perCrop)'!$S:$S,'Indicators(perCrop)'!AH$4,'Data(perSeason,perCrop)'!$R:$R,"IRRIGATED"),"")</f>
        <v/>
      </c>
      <c r="AI12" s="8" t="str">
        <f>IF(AND(ISNUMBER(K12),$B12&lt;&gt;14,$B12&lt;&gt;15),AVERAGEIFS('Data(perSeason,perCrop)'!$M:$M,'Data(perSeason,perCrop)'!$K:$K,'Indicators(perCrop)'!$A$3,'Data(perSeason,perCrop)'!$C:$C,'Indicators(perCrop)'!$A12,'Data(perSeason,perCrop)'!$S:$S,'Indicators(perCrop)'!AI$4,'Data(perSeason,perCrop)'!$R:$R,"IRRIGATED")-AVERAGEIFS('Data(perSeason,perCrop)'!$N:$N,'Data(perSeason,perCrop)'!$K:$K,'Indicators(perCrop)'!$A$3,'Data(perSeason,perCrop)'!$C:$C,'Indicators(perCrop)'!$A12,'Data(perSeason,perCrop)'!$S:$S,'Indicators(perCrop)'!AI$4,'Data(perSeason,perCrop)'!$R:$R,"IRRIGATED"),"")</f>
        <v/>
      </c>
      <c r="AJ12" s="8" t="str">
        <f>IF(AND(ISNUMBER(L12),$B12&lt;&gt;14,$B12&lt;&gt;15),AVERAGEIFS('Data(perSeason,perCrop)'!$M:$M,'Data(perSeason,perCrop)'!$K:$K,'Indicators(perCrop)'!$A$3,'Data(perSeason,perCrop)'!$C:$C,'Indicators(perCrop)'!$A12,'Data(perSeason,perCrop)'!$S:$S,'Indicators(perCrop)'!AJ$4,'Data(perSeason,perCrop)'!$R:$R,"IRRIGATED")-AVERAGEIFS('Data(perSeason,perCrop)'!$N:$N,'Data(perSeason,perCrop)'!$K:$K,'Indicators(perCrop)'!$A$3,'Data(perSeason,perCrop)'!$C:$C,'Indicators(perCrop)'!$A12,'Data(perSeason,perCrop)'!$S:$S,'Indicators(perCrop)'!AJ$4,'Data(perSeason,perCrop)'!$R:$R,"IRRIGATED"),"")</f>
        <v/>
      </c>
      <c r="AK12" s="8" t="str">
        <f>IF(AND(ISNUMBER(M12),$B12&lt;&gt;14,$B12&lt;&gt;15),AVERAGEIFS('Data(perSeason,perCrop)'!$M:$M,'Data(perSeason,perCrop)'!$K:$K,'Indicators(perCrop)'!$A$3,'Data(perSeason,perCrop)'!$C:$C,'Indicators(perCrop)'!$A12,'Data(perSeason,perCrop)'!$S:$S,'Indicators(perCrop)'!AK$4,'Data(perSeason,perCrop)'!$R:$R,"IRRIGATED")-AVERAGEIFS('Data(perSeason,perCrop)'!$N:$N,'Data(perSeason,perCrop)'!$K:$K,'Indicators(perCrop)'!$A$3,'Data(perSeason,perCrop)'!$C:$C,'Indicators(perCrop)'!$A12,'Data(perSeason,perCrop)'!$S:$S,'Indicators(perCrop)'!AK$4,'Data(perSeason,perCrop)'!$R:$R,"IRRIGATED"),"")</f>
        <v/>
      </c>
      <c r="AL12" s="8" t="str">
        <f>IF(AND(ISNUMBER(N12),$B12&lt;&gt;14,$B12&lt;&gt;15),AVERAGEIFS('Data(perSeason,perCrop)'!$M:$M,'Data(perSeason,perCrop)'!$K:$K,'Indicators(perCrop)'!$A$3,'Data(perSeason,perCrop)'!$C:$C,'Indicators(perCrop)'!$A12,'Data(perSeason,perCrop)'!$S:$S,'Indicators(perCrop)'!AL$4,'Data(perSeason,perCrop)'!$R:$R,"IRRIGATED")-AVERAGEIFS('Data(perSeason,perCrop)'!$N:$N,'Data(perSeason,perCrop)'!$K:$K,'Indicators(perCrop)'!$A$3,'Data(perSeason,perCrop)'!$C:$C,'Indicators(perCrop)'!$A12,'Data(perSeason,perCrop)'!$S:$S,'Indicators(perCrop)'!AL$4,'Data(perSeason,perCrop)'!$R:$R,"IRRIGATED"),"")</f>
        <v/>
      </c>
      <c r="AM12" s="8" t="e">
        <f t="shared" si="14"/>
        <v>#DIV/0!</v>
      </c>
      <c r="AN12" s="7" t="e">
        <f>AVERAGEIFS('Data(perCrop)'!$K:$K,'Data(perCrop)'!$B:$B,$A12,'Data(perCrop)'!$H:$H,$A$3,'Data(perCrop)'!$O:$O,'Indicators(perCrop)'!C$4)</f>
        <v>#DIV/0!</v>
      </c>
      <c r="AO12" s="7" t="e">
        <f>AVERAGEIFS('Data(perCrop)'!$K:$K,'Data(perCrop)'!$B:$B,$A12,'Data(perCrop)'!$H:$H,$A$3,'Data(perCrop)'!$O:$O,'Indicators(perCrop)'!D$4)</f>
        <v>#DIV/0!</v>
      </c>
      <c r="AP12" s="7" t="e">
        <f>AVERAGEIFS('Data(perCrop)'!$K:$K,'Data(perCrop)'!$B:$B,$A12,'Data(perCrop)'!$H:$H,$A$3,'Data(perCrop)'!$O:$O,'Indicators(perCrop)'!E$4)</f>
        <v>#DIV/0!</v>
      </c>
      <c r="AQ12" s="7" t="e">
        <f>AVERAGEIFS('Data(perCrop)'!$K:$K,'Data(perCrop)'!$B:$B,$A12,'Data(perCrop)'!$H:$H,$A$3,'Data(perCrop)'!$O:$O,'Indicators(perCrop)'!F$4)</f>
        <v>#DIV/0!</v>
      </c>
      <c r="AR12" s="7" t="e">
        <f>AVERAGEIFS('Data(perCrop)'!$K:$K,'Data(perCrop)'!$B:$B,$A12,'Data(perCrop)'!$H:$H,$A$3,'Data(perCrop)'!$O:$O,'Indicators(perCrop)'!G$4)</f>
        <v>#DIV/0!</v>
      </c>
      <c r="AS12" s="8" t="e">
        <f t="shared" si="15"/>
        <v>#DIV/0!</v>
      </c>
      <c r="AT12" s="51">
        <v>0.25</v>
      </c>
      <c r="AU12" s="51">
        <v>0.14000000000000001</v>
      </c>
      <c r="AV12" s="8" t="str">
        <f t="shared" si="16"/>
        <v/>
      </c>
      <c r="AW12" s="8" t="str">
        <f t="shared" si="17"/>
        <v/>
      </c>
      <c r="AX12" s="8" t="str">
        <f t="shared" si="18"/>
        <v/>
      </c>
      <c r="AY12" s="8" t="str">
        <f t="shared" si="19"/>
        <v/>
      </c>
      <c r="AZ12" s="8" t="str">
        <f t="shared" si="20"/>
        <v/>
      </c>
      <c r="BA12" s="8" t="e">
        <f t="shared" si="23"/>
        <v>#DIV/0!</v>
      </c>
      <c r="BB12" s="7">
        <f>SUMIFS('Data(perSeason,perCrop)'!$A:$A,'Data(perSeason,perCrop)'!$C:$C,'Indicators(perCrop)'!$A12,'Data(perSeason,perCrop)'!$R:$R,"IRRIGATED",'Data(perSeason,perCrop)'!$O:$O,'Indicators(perCrop)'!BB$4)/5</f>
        <v>0</v>
      </c>
      <c r="BC12" s="7">
        <f>SUMIFS('Data(perSeason,perCrop)'!$A:$A,'Data(perSeason,perCrop)'!$C:$C,'Indicators(perCrop)'!$A12,'Data(perSeason,perCrop)'!$R:$R,"IRRIGATED",'Data(perSeason,perCrop)'!$O:$O,'Indicators(perCrop)'!BC$4)/5</f>
        <v>0</v>
      </c>
      <c r="BD12" s="7">
        <f>SUMIFS('Data(perSeason,perCrop)'!$A:$A,'Data(perSeason,perCrop)'!$C:$C,'Indicators(perCrop)'!$A12,'Data(perSeason,perCrop)'!$R:$R,"IRRIGATED",'Data(perSeason,perCrop)'!$O:$O,'Indicators(perCrop)'!BD$4)/5</f>
        <v>0</v>
      </c>
      <c r="BE12" s="7" t="e">
        <f>AVERAGEIFS('Data(perSeason,perCrop)'!$G:$G,'Data(perSeason,perCrop)'!$C:$C,'Indicators(perCrop)'!$A12,'Data(perSeason,perCrop)'!$R:$R,"IRRIGATED",'Data(perSeason,perCrop)'!$O:$O,'Indicators(perCrop)'!BE$4)</f>
        <v>#DIV/0!</v>
      </c>
      <c r="BF12" s="7" t="e">
        <f>AVERAGEIFS('Data(perSeason,perCrop)'!$G:$G,'Data(perSeason,perCrop)'!$C:$C,'Indicators(perCrop)'!$A12,'Data(perSeason,perCrop)'!$R:$R,"IRRIGATED",'Data(perSeason,perCrop)'!$O:$O,'Indicators(perCrop)'!BF$4)</f>
        <v>#DIV/0!</v>
      </c>
      <c r="BG12" s="7" t="e">
        <f>AVERAGEIFS('Data(perSeason,perCrop)'!$G:$G,'Data(perSeason,perCrop)'!$C:$C,'Indicators(perCrop)'!$A12,'Data(perSeason,perCrop)'!$R:$R,"IRRIGATED",'Data(perSeason,perCrop)'!$O:$O,'Indicators(perCrop)'!BG$4)</f>
        <v>#DIV/0!</v>
      </c>
      <c r="BH12" s="7" t="str">
        <f t="shared" si="24"/>
        <v/>
      </c>
      <c r="BI12" s="7" t="str">
        <f t="shared" si="21"/>
        <v/>
      </c>
      <c r="BJ12" s="7" t="str">
        <f t="shared" si="22"/>
        <v/>
      </c>
      <c r="BK12" s="25" t="e">
        <f>AVERAGEIFS('Data(perCrop)'!F:F,'Data(perCrop)'!$B:$B,A12)</f>
        <v>#DIV/0!</v>
      </c>
      <c r="BL12" s="8" t="str">
        <f t="shared" si="2"/>
        <v/>
      </c>
      <c r="BM12" s="32" t="str">
        <f t="shared" si="3"/>
        <v/>
      </c>
    </row>
    <row r="13" spans="1:65" x14ac:dyDescent="0.25">
      <c r="A13" s="9" t="s">
        <v>61</v>
      </c>
      <c r="B13">
        <v>9</v>
      </c>
      <c r="C13" s="7" t="str">
        <f>IF(AND(ISNUMBER(AVERAGEIFS('Data(perCrop)'!$A:$A,'Data(perCrop)'!$B:$B,$A13,'Data(perCrop)'!$H:$H,$A$3,'Data(perCrop)'!$O:$O,'Indicators(perCrop)'!C$4)),$B13&lt;&gt;14,$B13&lt;&gt;15),AVERAGEIFS('Data(perCrop)'!$A:$A,'Data(perCrop)'!$B:$B,$A13,'Data(perCrop)'!$H:$H,$A$3,'Data(perCrop)'!$O:$O,'Indicators(perCrop)'!C$4),"")</f>
        <v/>
      </c>
      <c r="D13" s="7" t="str">
        <f>IF(AND(ISNUMBER(AVERAGEIFS('Data(perCrop)'!$A:$A,'Data(perCrop)'!$B:$B,$A13,'Data(perCrop)'!$H:$H,$A$3,'Data(perCrop)'!$O:$O,'Indicators(perCrop)'!D$4)),$B13&lt;&gt;14,$B13&lt;&gt;15),AVERAGEIFS('Data(perCrop)'!$A:$A,'Data(perCrop)'!$B:$B,$A13,'Data(perCrop)'!$H:$H,$A$3,'Data(perCrop)'!$O:$O,'Indicators(perCrop)'!D$4),"")</f>
        <v/>
      </c>
      <c r="E13" s="7" t="str">
        <f>IF(AND(ISNUMBER(AVERAGEIFS('Data(perCrop)'!$A:$A,'Data(perCrop)'!$B:$B,$A13,'Data(perCrop)'!$H:$H,$A$3,'Data(perCrop)'!$O:$O,'Indicators(perCrop)'!E$4)),$B13&lt;&gt;14,$B13&lt;&gt;15),AVERAGEIFS('Data(perCrop)'!$A:$A,'Data(perCrop)'!$B:$B,$A13,'Data(perCrop)'!$H:$H,$A$3,'Data(perCrop)'!$O:$O,'Indicators(perCrop)'!E$4),"")</f>
        <v/>
      </c>
      <c r="F13" s="7" t="str">
        <f>IF(AND(ISNUMBER(AVERAGEIFS('Data(perCrop)'!$A:$A,'Data(perCrop)'!$B:$B,$A13,'Data(perCrop)'!$H:$H,$A$3,'Data(perCrop)'!$O:$O,'Indicators(perCrop)'!F$4)),$B13&lt;&gt;14,$B13&lt;&gt;15),AVERAGEIFS('Data(perCrop)'!$A:$A,'Data(perCrop)'!$B:$B,$A13,'Data(perCrop)'!$H:$H,$A$3,'Data(perCrop)'!$O:$O,'Indicators(perCrop)'!F$4),"")</f>
        <v/>
      </c>
      <c r="G13" s="7" t="str">
        <f>IF(AND(ISNUMBER(AVERAGEIFS('Data(perCrop)'!$A:$A,'Data(perCrop)'!$B:$B,$A13,'Data(perCrop)'!$H:$H,$A$3,'Data(perCrop)'!$O:$O,'Indicators(perCrop)'!G$4)),$B13&lt;&gt;14,$B13&lt;&gt;15),AVERAGEIFS('Data(perCrop)'!$A:$A,'Data(perCrop)'!$B:$B,$A13,'Data(perCrop)'!$H:$H,$A$3,'Data(perCrop)'!$O:$O,'Indicators(perCrop)'!G$4),"")</f>
        <v/>
      </c>
      <c r="H13" s="7" t="str">
        <f t="shared" si="4"/>
        <v/>
      </c>
      <c r="I13" s="32" t="str">
        <f t="shared" si="5"/>
        <v/>
      </c>
      <c r="J13" s="7" t="e">
        <f>AVERAGEIFS('Data(perCrop)'!$D:$D,'Data(perCrop)'!$B:$B,$A13,'Data(perCrop)'!$H:$H,$A$3,'Data(perCrop)'!$O:$O,'Indicators(perCrop)'!C$4)</f>
        <v>#DIV/0!</v>
      </c>
      <c r="K13" s="7" t="e">
        <f>AVERAGEIFS('Data(perCrop)'!$D:$D,'Data(perCrop)'!$B:$B,$A13,'Data(perCrop)'!$H:$H,$A$3,'Data(perCrop)'!$O:$O,'Indicators(perCrop)'!D$4)</f>
        <v>#DIV/0!</v>
      </c>
      <c r="L13" s="7" t="e">
        <f>AVERAGEIFS('Data(perCrop)'!$D:$D,'Data(perCrop)'!$B:$B,$A13,'Data(perCrop)'!$H:$H,$A$3,'Data(perCrop)'!$O:$O,'Indicators(perCrop)'!E$4)</f>
        <v>#DIV/0!</v>
      </c>
      <c r="M13" s="7" t="e">
        <f>AVERAGEIFS('Data(perCrop)'!$D:$D,'Data(perCrop)'!$B:$B,$A13,'Data(perCrop)'!$H:$H,$A$3,'Data(perCrop)'!$O:$O,'Indicators(perCrop)'!F$4)</f>
        <v>#DIV/0!</v>
      </c>
      <c r="N13" s="7" t="e">
        <f>AVERAGEIFS('Data(perCrop)'!$D:$D,'Data(perCrop)'!$B:$B,$A13,'Data(perCrop)'!$H:$H,$A$3,'Data(perCrop)'!$O:$O,'Indicators(perCrop)'!G$4)</f>
        <v>#DIV/0!</v>
      </c>
      <c r="O13" s="7" t="e">
        <f t="shared" si="6"/>
        <v>#DIV/0!</v>
      </c>
      <c r="P13" s="7" t="e">
        <f>AVERAGEIFS('Data(perCrop)'!$E:$E,'Data(perCrop)'!$B:$B,$A13,'Data(perCrop)'!$H:$H,$A$3,'Data(perCrop)'!$O:$O,'Indicators(perCrop)'!J$4)</f>
        <v>#DIV/0!</v>
      </c>
      <c r="Q13" s="7" t="e">
        <f>AVERAGEIFS('Data(perCrop)'!$E:$E,'Data(perCrop)'!$B:$B,$A13,'Data(perCrop)'!$H:$H,$A$3,'Data(perCrop)'!$O:$O,'Indicators(perCrop)'!K$4)</f>
        <v>#DIV/0!</v>
      </c>
      <c r="R13" s="7" t="e">
        <f>AVERAGEIFS('Data(perCrop)'!$E:$E,'Data(perCrop)'!$B:$B,$A13,'Data(perCrop)'!$H:$H,$A$3,'Data(perCrop)'!$O:$O,'Indicators(perCrop)'!L$4)</f>
        <v>#DIV/0!</v>
      </c>
      <c r="S13" s="7" t="e">
        <f>AVERAGEIFS('Data(perCrop)'!$E:$E,'Data(perCrop)'!$B:$B,$A13,'Data(perCrop)'!$H:$H,$A$3,'Data(perCrop)'!$O:$O,'Indicators(perCrop)'!M$4)</f>
        <v>#DIV/0!</v>
      </c>
      <c r="T13" s="7" t="e">
        <f>AVERAGEIFS('Data(perCrop)'!$E:$E,'Data(perCrop)'!$B:$B,$A13,'Data(perCrop)'!$H:$H,$A$3,'Data(perCrop)'!$O:$O,'Indicators(perCrop)'!N$4)</f>
        <v>#DIV/0!</v>
      </c>
      <c r="U13" s="7" t="e">
        <f t="shared" si="7"/>
        <v>#DIV/0!</v>
      </c>
      <c r="V13" s="8" t="str">
        <f t="shared" si="8"/>
        <v/>
      </c>
      <c r="W13" s="8" t="str">
        <f t="shared" si="9"/>
        <v/>
      </c>
      <c r="X13" s="8" t="str">
        <f t="shared" si="10"/>
        <v/>
      </c>
      <c r="Y13" s="8" t="str">
        <f t="shared" si="11"/>
        <v/>
      </c>
      <c r="Z13" s="8" t="str">
        <f t="shared" si="12"/>
        <v/>
      </c>
      <c r="AA13" s="8" t="e">
        <f t="shared" si="25"/>
        <v>#DIV/0!</v>
      </c>
      <c r="AB13" s="8" t="str">
        <f>IF(AND(ISNUMBER(J13),$B13&lt;&gt;14,$B13&lt;&gt;15),(AVERAGEIFS('Data(perCrop)'!$L:$L,'Data(perCrop)'!$B:$B,'Indicators(perCrop)'!$A13,'Data(perCrop)'!$O:$O,'Indicators(perCrop)'!AB$4,'Data(perCrop)'!$H:$H,'Indicators(perCrop)'!$A$3)-AVERAGEIFS('Data(perCrop)'!$K:$K,'Data(perCrop)'!$B:$B,'Indicators(perCrop)'!$A13,'Data(perCrop)'!$O:$O,'Indicators(perCrop)'!AB$4,'Data(perCrop)'!$H:$H,'Indicators(perCrop)'!$A$3))/AVERAGEIFS('Data(perCrop)'!$L:$L,'Data(perCrop)'!$B:$B,'Indicators(perCrop)'!$A13,'Data(perCrop)'!$O:$O,'Indicators(perCrop)'!AB$4,'Data(perCrop)'!$H:$H,'Indicators(perCrop)'!$A$3),"")</f>
        <v/>
      </c>
      <c r="AC13" s="8" t="str">
        <f>IF(AND(ISNUMBER(K13),$B13&lt;&gt;14,$B13&lt;&gt;15),(AVERAGEIFS('Data(perCrop)'!$L:$L,'Data(perCrop)'!$B:$B,'Indicators(perCrop)'!$A13,'Data(perCrop)'!$O:$O,'Indicators(perCrop)'!AC$4,'Data(perCrop)'!$H:$H,'Indicators(perCrop)'!$A$3)-AVERAGEIFS('Data(perCrop)'!$K:$K,'Data(perCrop)'!$B:$B,'Indicators(perCrop)'!$A13,'Data(perCrop)'!$O:$O,'Indicators(perCrop)'!AC$4,'Data(perCrop)'!$H:$H,'Indicators(perCrop)'!$A$3))/AVERAGEIFS('Data(perCrop)'!$L:$L,'Data(perCrop)'!$B:$B,'Indicators(perCrop)'!$A13,'Data(perCrop)'!$O:$O,'Indicators(perCrop)'!AC$4,'Data(perCrop)'!$H:$H,'Indicators(perCrop)'!$A$3),"")</f>
        <v/>
      </c>
      <c r="AD13" s="8" t="str">
        <f>IF(AND(ISNUMBER(L13),$B13&lt;&gt;14,$B13&lt;&gt;15),(AVERAGEIFS('Data(perCrop)'!$L:$L,'Data(perCrop)'!$B:$B,'Indicators(perCrop)'!$A13,'Data(perCrop)'!$O:$O,'Indicators(perCrop)'!AD$4,'Data(perCrop)'!$H:$H,'Indicators(perCrop)'!$A$3)-AVERAGEIFS('Data(perCrop)'!$K:$K,'Data(perCrop)'!$B:$B,'Indicators(perCrop)'!$A13,'Data(perCrop)'!$O:$O,'Indicators(perCrop)'!AD$4,'Data(perCrop)'!$H:$H,'Indicators(perCrop)'!$A$3))/AVERAGEIFS('Data(perCrop)'!$L:$L,'Data(perCrop)'!$B:$B,'Indicators(perCrop)'!$A13,'Data(perCrop)'!$O:$O,'Indicators(perCrop)'!AD$4,'Data(perCrop)'!$H:$H,'Indicators(perCrop)'!$A$3),"")</f>
        <v/>
      </c>
      <c r="AE13" s="8" t="str">
        <f>IF(AND(ISNUMBER(M13),$B13&lt;&gt;14,$B13&lt;&gt;15),(AVERAGEIFS('Data(perCrop)'!$L:$L,'Data(perCrop)'!$B:$B,'Indicators(perCrop)'!$A13,'Data(perCrop)'!$O:$O,'Indicators(perCrop)'!AE$4,'Data(perCrop)'!$H:$H,'Indicators(perCrop)'!$A$3)-AVERAGEIFS('Data(perCrop)'!$K:$K,'Data(perCrop)'!$B:$B,'Indicators(perCrop)'!$A13,'Data(perCrop)'!$O:$O,'Indicators(perCrop)'!AE$4,'Data(perCrop)'!$H:$H,'Indicators(perCrop)'!$A$3))/AVERAGEIFS('Data(perCrop)'!$L:$L,'Data(perCrop)'!$B:$B,'Indicators(perCrop)'!$A13,'Data(perCrop)'!$O:$O,'Indicators(perCrop)'!AE$4,'Data(perCrop)'!$H:$H,'Indicators(perCrop)'!$A$3),"")</f>
        <v/>
      </c>
      <c r="AF13" s="8" t="str">
        <f>IF(AND(ISNUMBER(N13),$B13&lt;&gt;14,$B13&lt;&gt;15),(AVERAGEIFS('Data(perCrop)'!$L:$L,'Data(perCrop)'!$B:$B,'Indicators(perCrop)'!$A13,'Data(perCrop)'!$O:$O,'Indicators(perCrop)'!AF$4,'Data(perCrop)'!$H:$H,'Indicators(perCrop)'!$A$3)-AVERAGEIFS('Data(perCrop)'!$K:$K,'Data(perCrop)'!$B:$B,'Indicators(perCrop)'!$A13,'Data(perCrop)'!$O:$O,'Indicators(perCrop)'!AF$4,'Data(perCrop)'!$H:$H,'Indicators(perCrop)'!$A$3))/AVERAGEIFS('Data(perCrop)'!$L:$L,'Data(perCrop)'!$B:$B,'Indicators(perCrop)'!$A13,'Data(perCrop)'!$O:$O,'Indicators(perCrop)'!AF$4,'Data(perCrop)'!$H:$H,'Indicators(perCrop)'!$A$3),"")</f>
        <v/>
      </c>
      <c r="AG13" s="8" t="e">
        <f t="shared" si="13"/>
        <v>#DIV/0!</v>
      </c>
      <c r="AH13" s="8" t="str">
        <f>IF(AND(ISNUMBER(J13),$B13&lt;&gt;14,$B13&lt;&gt;15),AVERAGEIFS('Data(perSeason,perCrop)'!$M:$M,'Data(perSeason,perCrop)'!$K:$K,'Indicators(perCrop)'!$A$3,'Data(perSeason,perCrop)'!$C:$C,'Indicators(perCrop)'!$A13,'Data(perSeason,perCrop)'!$S:$S,'Indicators(perCrop)'!AH$4,'Data(perSeason,perCrop)'!$R:$R,"IRRIGATED")-AVERAGEIFS('Data(perSeason,perCrop)'!$N:$N,'Data(perSeason,perCrop)'!$K:$K,'Indicators(perCrop)'!$A$3,'Data(perSeason,perCrop)'!$C:$C,'Indicators(perCrop)'!$A13,'Data(perSeason,perCrop)'!$S:$S,'Indicators(perCrop)'!AH$4,'Data(perSeason,perCrop)'!$R:$R,"IRRIGATED"),"")</f>
        <v/>
      </c>
      <c r="AI13" s="8" t="str">
        <f>IF(AND(ISNUMBER(K13),$B13&lt;&gt;14,$B13&lt;&gt;15),AVERAGEIFS('Data(perSeason,perCrop)'!$M:$M,'Data(perSeason,perCrop)'!$K:$K,'Indicators(perCrop)'!$A$3,'Data(perSeason,perCrop)'!$C:$C,'Indicators(perCrop)'!$A13,'Data(perSeason,perCrop)'!$S:$S,'Indicators(perCrop)'!AI$4,'Data(perSeason,perCrop)'!$R:$R,"IRRIGATED")-AVERAGEIFS('Data(perSeason,perCrop)'!$N:$N,'Data(perSeason,perCrop)'!$K:$K,'Indicators(perCrop)'!$A$3,'Data(perSeason,perCrop)'!$C:$C,'Indicators(perCrop)'!$A13,'Data(perSeason,perCrop)'!$S:$S,'Indicators(perCrop)'!AI$4,'Data(perSeason,perCrop)'!$R:$R,"IRRIGATED"),"")</f>
        <v/>
      </c>
      <c r="AJ13" s="8" t="str">
        <f>IF(AND(ISNUMBER(L13),$B13&lt;&gt;14,$B13&lt;&gt;15),AVERAGEIFS('Data(perSeason,perCrop)'!$M:$M,'Data(perSeason,perCrop)'!$K:$K,'Indicators(perCrop)'!$A$3,'Data(perSeason,perCrop)'!$C:$C,'Indicators(perCrop)'!$A13,'Data(perSeason,perCrop)'!$S:$S,'Indicators(perCrop)'!AJ$4,'Data(perSeason,perCrop)'!$R:$R,"IRRIGATED")-AVERAGEIFS('Data(perSeason,perCrop)'!$N:$N,'Data(perSeason,perCrop)'!$K:$K,'Indicators(perCrop)'!$A$3,'Data(perSeason,perCrop)'!$C:$C,'Indicators(perCrop)'!$A13,'Data(perSeason,perCrop)'!$S:$S,'Indicators(perCrop)'!AJ$4,'Data(perSeason,perCrop)'!$R:$R,"IRRIGATED"),"")</f>
        <v/>
      </c>
      <c r="AK13" s="8" t="str">
        <f>IF(AND(ISNUMBER(M13),$B13&lt;&gt;14,$B13&lt;&gt;15),AVERAGEIFS('Data(perSeason,perCrop)'!$M:$M,'Data(perSeason,perCrop)'!$K:$K,'Indicators(perCrop)'!$A$3,'Data(perSeason,perCrop)'!$C:$C,'Indicators(perCrop)'!$A13,'Data(perSeason,perCrop)'!$S:$S,'Indicators(perCrop)'!AK$4,'Data(perSeason,perCrop)'!$R:$R,"IRRIGATED")-AVERAGEIFS('Data(perSeason,perCrop)'!$N:$N,'Data(perSeason,perCrop)'!$K:$K,'Indicators(perCrop)'!$A$3,'Data(perSeason,perCrop)'!$C:$C,'Indicators(perCrop)'!$A13,'Data(perSeason,perCrop)'!$S:$S,'Indicators(perCrop)'!AK$4,'Data(perSeason,perCrop)'!$R:$R,"IRRIGATED"),"")</f>
        <v/>
      </c>
      <c r="AL13" s="8" t="str">
        <f>IF(AND(ISNUMBER(N13),$B13&lt;&gt;14,$B13&lt;&gt;15),AVERAGEIFS('Data(perSeason,perCrop)'!$M:$M,'Data(perSeason,perCrop)'!$K:$K,'Indicators(perCrop)'!$A$3,'Data(perSeason,perCrop)'!$C:$C,'Indicators(perCrop)'!$A13,'Data(perSeason,perCrop)'!$S:$S,'Indicators(perCrop)'!AL$4,'Data(perSeason,perCrop)'!$R:$R,"IRRIGATED")-AVERAGEIFS('Data(perSeason,perCrop)'!$N:$N,'Data(perSeason,perCrop)'!$K:$K,'Indicators(perCrop)'!$A$3,'Data(perSeason,perCrop)'!$C:$C,'Indicators(perCrop)'!$A13,'Data(perSeason,perCrop)'!$S:$S,'Indicators(perCrop)'!AL$4,'Data(perSeason,perCrop)'!$R:$R,"IRRIGATED"),"")</f>
        <v/>
      </c>
      <c r="AM13" s="8" t="e">
        <f t="shared" si="14"/>
        <v>#DIV/0!</v>
      </c>
      <c r="AN13" s="7" t="e">
        <f>AVERAGEIFS('Data(perCrop)'!$K:$K,'Data(perCrop)'!$B:$B,$A13,'Data(perCrop)'!$H:$H,$A$3,'Data(perCrop)'!$O:$O,'Indicators(perCrop)'!C$4)</f>
        <v>#DIV/0!</v>
      </c>
      <c r="AO13" s="7" t="e">
        <f>AVERAGEIFS('Data(perCrop)'!$K:$K,'Data(perCrop)'!$B:$B,$A13,'Data(perCrop)'!$H:$H,$A$3,'Data(perCrop)'!$O:$O,'Indicators(perCrop)'!D$4)</f>
        <v>#DIV/0!</v>
      </c>
      <c r="AP13" s="7" t="e">
        <f>AVERAGEIFS('Data(perCrop)'!$K:$K,'Data(perCrop)'!$B:$B,$A13,'Data(perCrop)'!$H:$H,$A$3,'Data(perCrop)'!$O:$O,'Indicators(perCrop)'!E$4)</f>
        <v>#DIV/0!</v>
      </c>
      <c r="AQ13" s="7" t="e">
        <f>AVERAGEIFS('Data(perCrop)'!$K:$K,'Data(perCrop)'!$B:$B,$A13,'Data(perCrop)'!$H:$H,$A$3,'Data(perCrop)'!$O:$O,'Indicators(perCrop)'!F$4)</f>
        <v>#DIV/0!</v>
      </c>
      <c r="AR13" s="7" t="e">
        <f>AVERAGEIFS('Data(perCrop)'!$K:$K,'Data(perCrop)'!$B:$B,$A13,'Data(perCrop)'!$H:$H,$A$3,'Data(perCrop)'!$O:$O,'Indicators(perCrop)'!G$4)</f>
        <v>#DIV/0!</v>
      </c>
      <c r="AS13" s="8" t="e">
        <f t="shared" si="15"/>
        <v>#DIV/0!</v>
      </c>
      <c r="AT13" s="51">
        <v>0.25</v>
      </c>
      <c r="AU13" s="51">
        <v>0.11</v>
      </c>
      <c r="AV13" s="8" t="str">
        <f t="shared" si="16"/>
        <v/>
      </c>
      <c r="AW13" s="8" t="str">
        <f t="shared" si="17"/>
        <v/>
      </c>
      <c r="AX13" s="8" t="str">
        <f t="shared" si="18"/>
        <v/>
      </c>
      <c r="AY13" s="8" t="str">
        <f t="shared" si="19"/>
        <v/>
      </c>
      <c r="AZ13" s="8" t="str">
        <f t="shared" si="20"/>
        <v/>
      </c>
      <c r="BA13" s="8" t="e">
        <f t="shared" si="23"/>
        <v>#DIV/0!</v>
      </c>
      <c r="BB13" s="7">
        <f>SUMIFS('Data(perSeason,perCrop)'!$A:$A,'Data(perSeason,perCrop)'!$C:$C,'Indicators(perCrop)'!$A13,'Data(perSeason,perCrop)'!$R:$R,"IRRIGATED",'Data(perSeason,perCrop)'!$O:$O,'Indicators(perCrop)'!BB$4)/5</f>
        <v>0</v>
      </c>
      <c r="BC13" s="7">
        <f>SUMIFS('Data(perSeason,perCrop)'!$A:$A,'Data(perSeason,perCrop)'!$C:$C,'Indicators(perCrop)'!$A13,'Data(perSeason,perCrop)'!$R:$R,"IRRIGATED",'Data(perSeason,perCrop)'!$O:$O,'Indicators(perCrop)'!BC$4)/5</f>
        <v>0</v>
      </c>
      <c r="BD13" s="7">
        <f>SUMIFS('Data(perSeason,perCrop)'!$A:$A,'Data(perSeason,perCrop)'!$C:$C,'Indicators(perCrop)'!$A13,'Data(perSeason,perCrop)'!$R:$R,"IRRIGATED",'Data(perSeason,perCrop)'!$O:$O,'Indicators(perCrop)'!BD$4)/5</f>
        <v>0</v>
      </c>
      <c r="BE13" s="7" t="e">
        <f>AVERAGEIFS('Data(perSeason,perCrop)'!$G:$G,'Data(perSeason,perCrop)'!$C:$C,'Indicators(perCrop)'!$A13,'Data(perSeason,perCrop)'!$R:$R,"IRRIGATED",'Data(perSeason,perCrop)'!$O:$O,'Indicators(perCrop)'!BE$4)</f>
        <v>#DIV/0!</v>
      </c>
      <c r="BF13" s="7" t="e">
        <f>AVERAGEIFS('Data(perSeason,perCrop)'!$G:$G,'Data(perSeason,perCrop)'!$C:$C,'Indicators(perCrop)'!$A13,'Data(perSeason,perCrop)'!$R:$R,"IRRIGATED",'Data(perSeason,perCrop)'!$O:$O,'Indicators(perCrop)'!BF$4)</f>
        <v>#DIV/0!</v>
      </c>
      <c r="BG13" s="7" t="e">
        <f>AVERAGEIFS('Data(perSeason,perCrop)'!$G:$G,'Data(perSeason,perCrop)'!$C:$C,'Indicators(perCrop)'!$A13,'Data(perSeason,perCrop)'!$R:$R,"IRRIGATED",'Data(perSeason,perCrop)'!$O:$O,'Indicators(perCrop)'!BG$4)</f>
        <v>#DIV/0!</v>
      </c>
      <c r="BH13" s="7" t="str">
        <f t="shared" si="24"/>
        <v/>
      </c>
      <c r="BI13" s="7" t="str">
        <f t="shared" si="21"/>
        <v/>
      </c>
      <c r="BJ13" s="7" t="str">
        <f t="shared" si="22"/>
        <v/>
      </c>
      <c r="BK13" s="25" t="e">
        <f>AVERAGEIFS('Data(perCrop)'!F:F,'Data(perCrop)'!$B:$B,A13)</f>
        <v>#DIV/0!</v>
      </c>
      <c r="BL13" s="8" t="str">
        <f t="shared" si="2"/>
        <v/>
      </c>
      <c r="BM13" s="32" t="str">
        <f t="shared" si="3"/>
        <v/>
      </c>
    </row>
    <row r="14" spans="1:65" x14ac:dyDescent="0.25">
      <c r="A14" s="9" t="s">
        <v>137</v>
      </c>
      <c r="B14">
        <v>10</v>
      </c>
      <c r="C14" s="7" t="str">
        <f>IF(AND(ISNUMBER(AVERAGEIFS('Data(perCrop)'!$A:$A,'Data(perCrop)'!$B:$B,$A14,'Data(perCrop)'!$H:$H,$A$3,'Data(perCrop)'!$O:$O,'Indicators(perCrop)'!C$4)),$B14&lt;&gt;14,$B14&lt;&gt;15),AVERAGEIFS('Data(perCrop)'!$A:$A,'Data(perCrop)'!$B:$B,$A14,'Data(perCrop)'!$H:$H,$A$3,'Data(perCrop)'!$O:$O,'Indicators(perCrop)'!C$4),"")</f>
        <v/>
      </c>
      <c r="D14" s="7" t="str">
        <f>IF(AND(ISNUMBER(AVERAGEIFS('Data(perCrop)'!$A:$A,'Data(perCrop)'!$B:$B,$A14,'Data(perCrop)'!$H:$H,$A$3,'Data(perCrop)'!$O:$O,'Indicators(perCrop)'!D$4)),$B14&lt;&gt;14,$B14&lt;&gt;15),AVERAGEIFS('Data(perCrop)'!$A:$A,'Data(perCrop)'!$B:$B,$A14,'Data(perCrop)'!$H:$H,$A$3,'Data(perCrop)'!$O:$O,'Indicators(perCrop)'!D$4),"")</f>
        <v/>
      </c>
      <c r="E14" s="7" t="str">
        <f>IF(AND(ISNUMBER(AVERAGEIFS('Data(perCrop)'!$A:$A,'Data(perCrop)'!$B:$B,$A14,'Data(perCrop)'!$H:$H,$A$3,'Data(perCrop)'!$O:$O,'Indicators(perCrop)'!E$4)),$B14&lt;&gt;14,$B14&lt;&gt;15),AVERAGEIFS('Data(perCrop)'!$A:$A,'Data(perCrop)'!$B:$B,$A14,'Data(perCrop)'!$H:$H,$A$3,'Data(perCrop)'!$O:$O,'Indicators(perCrop)'!E$4),"")</f>
        <v/>
      </c>
      <c r="F14" s="7" t="str">
        <f>IF(AND(ISNUMBER(AVERAGEIFS('Data(perCrop)'!$A:$A,'Data(perCrop)'!$B:$B,$A14,'Data(perCrop)'!$H:$H,$A$3,'Data(perCrop)'!$O:$O,'Indicators(perCrop)'!F$4)),$B14&lt;&gt;14,$B14&lt;&gt;15),AVERAGEIFS('Data(perCrop)'!$A:$A,'Data(perCrop)'!$B:$B,$A14,'Data(perCrop)'!$H:$H,$A$3,'Data(perCrop)'!$O:$O,'Indicators(perCrop)'!F$4),"")</f>
        <v/>
      </c>
      <c r="G14" s="7" t="str">
        <f>IF(AND(ISNUMBER(AVERAGEIFS('Data(perCrop)'!$A:$A,'Data(perCrop)'!$B:$B,$A14,'Data(perCrop)'!$H:$H,$A$3,'Data(perCrop)'!$O:$O,'Indicators(perCrop)'!G$4)),$B14&lt;&gt;14,$B14&lt;&gt;15),AVERAGEIFS('Data(perCrop)'!$A:$A,'Data(perCrop)'!$B:$B,$A14,'Data(perCrop)'!$H:$H,$A$3,'Data(perCrop)'!$O:$O,'Indicators(perCrop)'!G$4),"")</f>
        <v/>
      </c>
      <c r="H14" s="7" t="str">
        <f t="shared" si="4"/>
        <v/>
      </c>
      <c r="I14" s="32" t="str">
        <f t="shared" si="5"/>
        <v/>
      </c>
      <c r="J14" s="7" t="e">
        <f>AVERAGEIFS('Data(perCrop)'!$D:$D,'Data(perCrop)'!$B:$B,$A14,'Data(perCrop)'!$H:$H,$A$3,'Data(perCrop)'!$O:$O,'Indicators(perCrop)'!C$4)</f>
        <v>#DIV/0!</v>
      </c>
      <c r="K14" s="7" t="e">
        <f>AVERAGEIFS('Data(perCrop)'!$D:$D,'Data(perCrop)'!$B:$B,$A14,'Data(perCrop)'!$H:$H,$A$3,'Data(perCrop)'!$O:$O,'Indicators(perCrop)'!D$4)</f>
        <v>#DIV/0!</v>
      </c>
      <c r="L14" s="7" t="e">
        <f>AVERAGEIFS('Data(perCrop)'!$D:$D,'Data(perCrop)'!$B:$B,$A14,'Data(perCrop)'!$H:$H,$A$3,'Data(perCrop)'!$O:$O,'Indicators(perCrop)'!E$4)</f>
        <v>#DIV/0!</v>
      </c>
      <c r="M14" s="7" t="e">
        <f>AVERAGEIFS('Data(perCrop)'!$D:$D,'Data(perCrop)'!$B:$B,$A14,'Data(perCrop)'!$H:$H,$A$3,'Data(perCrop)'!$O:$O,'Indicators(perCrop)'!F$4)</f>
        <v>#DIV/0!</v>
      </c>
      <c r="N14" s="7" t="e">
        <f>AVERAGEIFS('Data(perCrop)'!$D:$D,'Data(perCrop)'!$B:$B,$A14,'Data(perCrop)'!$H:$H,$A$3,'Data(perCrop)'!$O:$O,'Indicators(perCrop)'!G$4)</f>
        <v>#DIV/0!</v>
      </c>
      <c r="O14" s="7" t="e">
        <f t="shared" si="6"/>
        <v>#DIV/0!</v>
      </c>
      <c r="P14" s="7" t="e">
        <f>AVERAGEIFS('Data(perCrop)'!$E:$E,'Data(perCrop)'!$B:$B,$A14,'Data(perCrop)'!$H:$H,$A$3,'Data(perCrop)'!$O:$O,'Indicators(perCrop)'!J$4)</f>
        <v>#DIV/0!</v>
      </c>
      <c r="Q14" s="7" t="e">
        <f>AVERAGEIFS('Data(perCrop)'!$E:$E,'Data(perCrop)'!$B:$B,$A14,'Data(perCrop)'!$H:$H,$A$3,'Data(perCrop)'!$O:$O,'Indicators(perCrop)'!K$4)</f>
        <v>#DIV/0!</v>
      </c>
      <c r="R14" s="7" t="e">
        <f>AVERAGEIFS('Data(perCrop)'!$E:$E,'Data(perCrop)'!$B:$B,$A14,'Data(perCrop)'!$H:$H,$A$3,'Data(perCrop)'!$O:$O,'Indicators(perCrop)'!L$4)</f>
        <v>#DIV/0!</v>
      </c>
      <c r="S14" s="7" t="e">
        <f>AVERAGEIFS('Data(perCrop)'!$E:$E,'Data(perCrop)'!$B:$B,$A14,'Data(perCrop)'!$H:$H,$A$3,'Data(perCrop)'!$O:$O,'Indicators(perCrop)'!M$4)</f>
        <v>#DIV/0!</v>
      </c>
      <c r="T14" s="7" t="e">
        <f>AVERAGEIFS('Data(perCrop)'!$E:$E,'Data(perCrop)'!$B:$B,$A14,'Data(perCrop)'!$H:$H,$A$3,'Data(perCrop)'!$O:$O,'Indicators(perCrop)'!N$4)</f>
        <v>#DIV/0!</v>
      </c>
      <c r="U14" s="7" t="e">
        <f t="shared" si="7"/>
        <v>#DIV/0!</v>
      </c>
      <c r="V14" s="8" t="str">
        <f t="shared" si="8"/>
        <v/>
      </c>
      <c r="W14" s="8" t="str">
        <f t="shared" si="9"/>
        <v/>
      </c>
      <c r="X14" s="8" t="str">
        <f t="shared" si="10"/>
        <v/>
      </c>
      <c r="Y14" s="8" t="str">
        <f t="shared" si="11"/>
        <v/>
      </c>
      <c r="Z14" s="8" t="str">
        <f t="shared" si="12"/>
        <v/>
      </c>
      <c r="AA14" s="8" t="e">
        <f t="shared" si="25"/>
        <v>#DIV/0!</v>
      </c>
      <c r="AB14" s="8" t="str">
        <f>IF(AND(ISNUMBER(J14),$B14&lt;&gt;14,$B14&lt;&gt;15),(AVERAGEIFS('Data(perCrop)'!$L:$L,'Data(perCrop)'!$B:$B,'Indicators(perCrop)'!$A14,'Data(perCrop)'!$O:$O,'Indicators(perCrop)'!AB$4,'Data(perCrop)'!$H:$H,'Indicators(perCrop)'!$A$3)-AVERAGEIFS('Data(perCrop)'!$K:$K,'Data(perCrop)'!$B:$B,'Indicators(perCrop)'!$A14,'Data(perCrop)'!$O:$O,'Indicators(perCrop)'!AB$4,'Data(perCrop)'!$H:$H,'Indicators(perCrop)'!$A$3))/AVERAGEIFS('Data(perCrop)'!$L:$L,'Data(perCrop)'!$B:$B,'Indicators(perCrop)'!$A14,'Data(perCrop)'!$O:$O,'Indicators(perCrop)'!AB$4,'Data(perCrop)'!$H:$H,'Indicators(perCrop)'!$A$3),"")</f>
        <v/>
      </c>
      <c r="AC14" s="8" t="str">
        <f>IF(AND(ISNUMBER(K14),$B14&lt;&gt;14,$B14&lt;&gt;15),(AVERAGEIFS('Data(perCrop)'!$L:$L,'Data(perCrop)'!$B:$B,'Indicators(perCrop)'!$A14,'Data(perCrop)'!$O:$O,'Indicators(perCrop)'!AC$4,'Data(perCrop)'!$H:$H,'Indicators(perCrop)'!$A$3)-AVERAGEIFS('Data(perCrop)'!$K:$K,'Data(perCrop)'!$B:$B,'Indicators(perCrop)'!$A14,'Data(perCrop)'!$O:$O,'Indicators(perCrop)'!AC$4,'Data(perCrop)'!$H:$H,'Indicators(perCrop)'!$A$3))/AVERAGEIFS('Data(perCrop)'!$L:$L,'Data(perCrop)'!$B:$B,'Indicators(perCrop)'!$A14,'Data(perCrop)'!$O:$O,'Indicators(perCrop)'!AC$4,'Data(perCrop)'!$H:$H,'Indicators(perCrop)'!$A$3),"")</f>
        <v/>
      </c>
      <c r="AD14" s="8" t="str">
        <f>IF(AND(ISNUMBER(L14),$B14&lt;&gt;14,$B14&lt;&gt;15),(AVERAGEIFS('Data(perCrop)'!$L:$L,'Data(perCrop)'!$B:$B,'Indicators(perCrop)'!$A14,'Data(perCrop)'!$O:$O,'Indicators(perCrop)'!AD$4,'Data(perCrop)'!$H:$H,'Indicators(perCrop)'!$A$3)-AVERAGEIFS('Data(perCrop)'!$K:$K,'Data(perCrop)'!$B:$B,'Indicators(perCrop)'!$A14,'Data(perCrop)'!$O:$O,'Indicators(perCrop)'!AD$4,'Data(perCrop)'!$H:$H,'Indicators(perCrop)'!$A$3))/AVERAGEIFS('Data(perCrop)'!$L:$L,'Data(perCrop)'!$B:$B,'Indicators(perCrop)'!$A14,'Data(perCrop)'!$O:$O,'Indicators(perCrop)'!AD$4,'Data(perCrop)'!$H:$H,'Indicators(perCrop)'!$A$3),"")</f>
        <v/>
      </c>
      <c r="AE14" s="8" t="str">
        <f>IF(AND(ISNUMBER(M14),$B14&lt;&gt;14,$B14&lt;&gt;15),(AVERAGEIFS('Data(perCrop)'!$L:$L,'Data(perCrop)'!$B:$B,'Indicators(perCrop)'!$A14,'Data(perCrop)'!$O:$O,'Indicators(perCrop)'!AE$4,'Data(perCrop)'!$H:$H,'Indicators(perCrop)'!$A$3)-AVERAGEIFS('Data(perCrop)'!$K:$K,'Data(perCrop)'!$B:$B,'Indicators(perCrop)'!$A14,'Data(perCrop)'!$O:$O,'Indicators(perCrop)'!AE$4,'Data(perCrop)'!$H:$H,'Indicators(perCrop)'!$A$3))/AVERAGEIFS('Data(perCrop)'!$L:$L,'Data(perCrop)'!$B:$B,'Indicators(perCrop)'!$A14,'Data(perCrop)'!$O:$O,'Indicators(perCrop)'!AE$4,'Data(perCrop)'!$H:$H,'Indicators(perCrop)'!$A$3),"")</f>
        <v/>
      </c>
      <c r="AF14" s="8" t="str">
        <f>IF(AND(ISNUMBER(N14),$B14&lt;&gt;14,$B14&lt;&gt;15),(AVERAGEIFS('Data(perCrop)'!$L:$L,'Data(perCrop)'!$B:$B,'Indicators(perCrop)'!$A14,'Data(perCrop)'!$O:$O,'Indicators(perCrop)'!AF$4,'Data(perCrop)'!$H:$H,'Indicators(perCrop)'!$A$3)-AVERAGEIFS('Data(perCrop)'!$K:$K,'Data(perCrop)'!$B:$B,'Indicators(perCrop)'!$A14,'Data(perCrop)'!$O:$O,'Indicators(perCrop)'!AF$4,'Data(perCrop)'!$H:$H,'Indicators(perCrop)'!$A$3))/AVERAGEIFS('Data(perCrop)'!$L:$L,'Data(perCrop)'!$B:$B,'Indicators(perCrop)'!$A14,'Data(perCrop)'!$O:$O,'Indicators(perCrop)'!AF$4,'Data(perCrop)'!$H:$H,'Indicators(perCrop)'!$A$3),"")</f>
        <v/>
      </c>
      <c r="AG14" s="8" t="e">
        <f t="shared" si="13"/>
        <v>#DIV/0!</v>
      </c>
      <c r="AH14" s="8" t="str">
        <f>IF(AND(ISNUMBER(J14),$B14&lt;&gt;14,$B14&lt;&gt;15),AVERAGEIFS('Data(perSeason,perCrop)'!$M:$M,'Data(perSeason,perCrop)'!$K:$K,'Indicators(perCrop)'!$A$3,'Data(perSeason,perCrop)'!$C:$C,'Indicators(perCrop)'!$A14,'Data(perSeason,perCrop)'!$S:$S,'Indicators(perCrop)'!AH$4,'Data(perSeason,perCrop)'!$R:$R,"IRRIGATED")-AVERAGEIFS('Data(perSeason,perCrop)'!$N:$N,'Data(perSeason,perCrop)'!$K:$K,'Indicators(perCrop)'!$A$3,'Data(perSeason,perCrop)'!$C:$C,'Indicators(perCrop)'!$A14,'Data(perSeason,perCrop)'!$S:$S,'Indicators(perCrop)'!AH$4,'Data(perSeason,perCrop)'!$R:$R,"IRRIGATED"),"")</f>
        <v/>
      </c>
      <c r="AI14" s="8" t="str">
        <f>IF(AND(ISNUMBER(K14),$B14&lt;&gt;14,$B14&lt;&gt;15),AVERAGEIFS('Data(perSeason,perCrop)'!$M:$M,'Data(perSeason,perCrop)'!$K:$K,'Indicators(perCrop)'!$A$3,'Data(perSeason,perCrop)'!$C:$C,'Indicators(perCrop)'!$A14,'Data(perSeason,perCrop)'!$S:$S,'Indicators(perCrop)'!AI$4,'Data(perSeason,perCrop)'!$R:$R,"IRRIGATED")-AVERAGEIFS('Data(perSeason,perCrop)'!$N:$N,'Data(perSeason,perCrop)'!$K:$K,'Indicators(perCrop)'!$A$3,'Data(perSeason,perCrop)'!$C:$C,'Indicators(perCrop)'!$A14,'Data(perSeason,perCrop)'!$S:$S,'Indicators(perCrop)'!AI$4,'Data(perSeason,perCrop)'!$R:$R,"IRRIGATED"),"")</f>
        <v/>
      </c>
      <c r="AJ14" s="8" t="str">
        <f>IF(AND(ISNUMBER(L14),$B14&lt;&gt;14,$B14&lt;&gt;15),AVERAGEIFS('Data(perSeason,perCrop)'!$M:$M,'Data(perSeason,perCrop)'!$K:$K,'Indicators(perCrop)'!$A$3,'Data(perSeason,perCrop)'!$C:$C,'Indicators(perCrop)'!$A14,'Data(perSeason,perCrop)'!$S:$S,'Indicators(perCrop)'!AJ$4,'Data(perSeason,perCrop)'!$R:$R,"IRRIGATED")-AVERAGEIFS('Data(perSeason,perCrop)'!$N:$N,'Data(perSeason,perCrop)'!$K:$K,'Indicators(perCrop)'!$A$3,'Data(perSeason,perCrop)'!$C:$C,'Indicators(perCrop)'!$A14,'Data(perSeason,perCrop)'!$S:$S,'Indicators(perCrop)'!AJ$4,'Data(perSeason,perCrop)'!$R:$R,"IRRIGATED"),"")</f>
        <v/>
      </c>
      <c r="AK14" s="8" t="str">
        <f>IF(AND(ISNUMBER(M14),$B14&lt;&gt;14,$B14&lt;&gt;15),AVERAGEIFS('Data(perSeason,perCrop)'!$M:$M,'Data(perSeason,perCrop)'!$K:$K,'Indicators(perCrop)'!$A$3,'Data(perSeason,perCrop)'!$C:$C,'Indicators(perCrop)'!$A14,'Data(perSeason,perCrop)'!$S:$S,'Indicators(perCrop)'!AK$4,'Data(perSeason,perCrop)'!$R:$R,"IRRIGATED")-AVERAGEIFS('Data(perSeason,perCrop)'!$N:$N,'Data(perSeason,perCrop)'!$K:$K,'Indicators(perCrop)'!$A$3,'Data(perSeason,perCrop)'!$C:$C,'Indicators(perCrop)'!$A14,'Data(perSeason,perCrop)'!$S:$S,'Indicators(perCrop)'!AK$4,'Data(perSeason,perCrop)'!$R:$R,"IRRIGATED"),"")</f>
        <v/>
      </c>
      <c r="AL14" s="8" t="str">
        <f>IF(AND(ISNUMBER(N14),$B14&lt;&gt;14,$B14&lt;&gt;15),AVERAGEIFS('Data(perSeason,perCrop)'!$M:$M,'Data(perSeason,perCrop)'!$K:$K,'Indicators(perCrop)'!$A$3,'Data(perSeason,perCrop)'!$C:$C,'Indicators(perCrop)'!$A14,'Data(perSeason,perCrop)'!$S:$S,'Indicators(perCrop)'!AL$4,'Data(perSeason,perCrop)'!$R:$R,"IRRIGATED")-AVERAGEIFS('Data(perSeason,perCrop)'!$N:$N,'Data(perSeason,perCrop)'!$K:$K,'Indicators(perCrop)'!$A$3,'Data(perSeason,perCrop)'!$C:$C,'Indicators(perCrop)'!$A14,'Data(perSeason,perCrop)'!$S:$S,'Indicators(perCrop)'!AL$4,'Data(perSeason,perCrop)'!$R:$R,"IRRIGATED"),"")</f>
        <v/>
      </c>
      <c r="AM14" s="8" t="e">
        <f t="shared" si="14"/>
        <v>#DIV/0!</v>
      </c>
      <c r="AN14" s="7" t="e">
        <f>AVERAGEIFS('Data(perCrop)'!$K:$K,'Data(perCrop)'!$B:$B,$A14,'Data(perCrop)'!$H:$H,$A$3,'Data(perCrop)'!$O:$O,'Indicators(perCrop)'!C$4)</f>
        <v>#DIV/0!</v>
      </c>
      <c r="AO14" s="7" t="e">
        <f>AVERAGEIFS('Data(perCrop)'!$K:$K,'Data(perCrop)'!$B:$B,$A14,'Data(perCrop)'!$H:$H,$A$3,'Data(perCrop)'!$O:$O,'Indicators(perCrop)'!D$4)</f>
        <v>#DIV/0!</v>
      </c>
      <c r="AP14" s="7" t="e">
        <f>AVERAGEIFS('Data(perCrop)'!$K:$K,'Data(perCrop)'!$B:$B,$A14,'Data(perCrop)'!$H:$H,$A$3,'Data(perCrop)'!$O:$O,'Indicators(perCrop)'!E$4)</f>
        <v>#DIV/0!</v>
      </c>
      <c r="AQ14" s="7" t="e">
        <f>AVERAGEIFS('Data(perCrop)'!$K:$K,'Data(perCrop)'!$B:$B,$A14,'Data(perCrop)'!$H:$H,$A$3,'Data(perCrop)'!$O:$O,'Indicators(perCrop)'!F$4)</f>
        <v>#DIV/0!</v>
      </c>
      <c r="AR14" s="7" t="e">
        <f>AVERAGEIFS('Data(perCrop)'!$K:$K,'Data(perCrop)'!$B:$B,$A14,'Data(perCrop)'!$H:$H,$A$3,'Data(perCrop)'!$O:$O,'Indicators(perCrop)'!G$4)</f>
        <v>#DIV/0!</v>
      </c>
      <c r="AS14" s="8" t="e">
        <f t="shared" si="15"/>
        <v>#DIV/0!</v>
      </c>
      <c r="AT14" s="50"/>
      <c r="AU14" s="50"/>
      <c r="AV14" s="50"/>
      <c r="AW14" s="50"/>
      <c r="AX14" s="50"/>
      <c r="AY14" s="50"/>
      <c r="AZ14" s="50"/>
      <c r="BA14" s="8" t="e">
        <f t="shared" si="23"/>
        <v>#DIV/0!</v>
      </c>
      <c r="BB14" s="7">
        <f>SUMIFS('Data(perSeason,perCrop)'!$A:$A,'Data(perSeason,perCrop)'!$C:$C,'Indicators(perCrop)'!$A14,'Data(perSeason,perCrop)'!$R:$R,"IRRIGATED",'Data(perSeason,perCrop)'!$O:$O,'Indicators(perCrop)'!BB$4)/5</f>
        <v>0</v>
      </c>
      <c r="BC14" s="7">
        <f>SUMIFS('Data(perSeason,perCrop)'!$A:$A,'Data(perSeason,perCrop)'!$C:$C,'Indicators(perCrop)'!$A14,'Data(perSeason,perCrop)'!$R:$R,"IRRIGATED",'Data(perSeason,perCrop)'!$O:$O,'Indicators(perCrop)'!BC$4)/5</f>
        <v>0</v>
      </c>
      <c r="BD14" s="7">
        <f>SUMIFS('Data(perSeason,perCrop)'!$A:$A,'Data(perSeason,perCrop)'!$C:$C,'Indicators(perCrop)'!$A14,'Data(perSeason,perCrop)'!$R:$R,"IRRIGATED",'Data(perSeason,perCrop)'!$O:$O,'Indicators(perCrop)'!BD$4)/5</f>
        <v>0</v>
      </c>
      <c r="BE14" s="7" t="e">
        <f>AVERAGEIFS('Data(perSeason,perCrop)'!$G:$G,'Data(perSeason,perCrop)'!$C:$C,'Indicators(perCrop)'!$A14,'Data(perSeason,perCrop)'!$R:$R,"IRRIGATED",'Data(perSeason,perCrop)'!$O:$O,'Indicators(perCrop)'!BE$4)</f>
        <v>#DIV/0!</v>
      </c>
      <c r="BF14" s="7" t="e">
        <f>AVERAGEIFS('Data(perSeason,perCrop)'!$G:$G,'Data(perSeason,perCrop)'!$C:$C,'Indicators(perCrop)'!$A14,'Data(perSeason,perCrop)'!$R:$R,"IRRIGATED",'Data(perSeason,perCrop)'!$O:$O,'Indicators(perCrop)'!BF$4)</f>
        <v>#DIV/0!</v>
      </c>
      <c r="BG14" s="7" t="e">
        <f>AVERAGEIFS('Data(perSeason,perCrop)'!$G:$G,'Data(perSeason,perCrop)'!$C:$C,'Indicators(perCrop)'!$A14,'Data(perSeason,perCrop)'!$R:$R,"IRRIGATED",'Data(perSeason,perCrop)'!$O:$O,'Indicators(perCrop)'!BG$4)</f>
        <v>#DIV/0!</v>
      </c>
      <c r="BH14" s="7" t="str">
        <f t="shared" si="24"/>
        <v/>
      </c>
      <c r="BI14" s="7" t="str">
        <f t="shared" si="21"/>
        <v/>
      </c>
      <c r="BJ14" s="7" t="str">
        <f t="shared" si="22"/>
        <v/>
      </c>
      <c r="BK14" s="25" t="e">
        <f>AVERAGEIFS('Data(perCrop)'!F:F,'Data(perCrop)'!$B:$B,A14)</f>
        <v>#DIV/0!</v>
      </c>
      <c r="BL14" s="8" t="str">
        <f t="shared" si="2"/>
        <v/>
      </c>
      <c r="BM14" s="32" t="str">
        <f t="shared" si="3"/>
        <v/>
      </c>
    </row>
    <row r="15" spans="1:65" x14ac:dyDescent="0.25">
      <c r="A15" s="9" t="s">
        <v>56</v>
      </c>
      <c r="B15">
        <v>11</v>
      </c>
      <c r="C15" s="7" t="str">
        <f>IF(AND(ISNUMBER(AVERAGEIFS('Data(perCrop)'!$A:$A,'Data(perCrop)'!$B:$B,$A15,'Data(perCrop)'!$H:$H,$A$3,'Data(perCrop)'!$O:$O,'Indicators(perCrop)'!C$4)),$B15&lt;&gt;14,$B15&lt;&gt;15),AVERAGEIFS('Data(perCrop)'!$A:$A,'Data(perCrop)'!$B:$B,$A15,'Data(perCrop)'!$H:$H,$A$3,'Data(perCrop)'!$O:$O,'Indicators(perCrop)'!C$4),"")</f>
        <v/>
      </c>
      <c r="D15" s="7" t="str">
        <f>IF(AND(ISNUMBER(AVERAGEIFS('Data(perCrop)'!$A:$A,'Data(perCrop)'!$B:$B,$A15,'Data(perCrop)'!$H:$H,$A$3,'Data(perCrop)'!$O:$O,'Indicators(perCrop)'!D$4)),$B15&lt;&gt;14,$B15&lt;&gt;15),AVERAGEIFS('Data(perCrop)'!$A:$A,'Data(perCrop)'!$B:$B,$A15,'Data(perCrop)'!$H:$H,$A$3,'Data(perCrop)'!$O:$O,'Indicators(perCrop)'!D$4),"")</f>
        <v/>
      </c>
      <c r="E15" s="7" t="str">
        <f>IF(AND(ISNUMBER(AVERAGEIFS('Data(perCrop)'!$A:$A,'Data(perCrop)'!$B:$B,$A15,'Data(perCrop)'!$H:$H,$A$3,'Data(perCrop)'!$O:$O,'Indicators(perCrop)'!E$4)),$B15&lt;&gt;14,$B15&lt;&gt;15),AVERAGEIFS('Data(perCrop)'!$A:$A,'Data(perCrop)'!$B:$B,$A15,'Data(perCrop)'!$H:$H,$A$3,'Data(perCrop)'!$O:$O,'Indicators(perCrop)'!E$4),"")</f>
        <v/>
      </c>
      <c r="F15" s="7" t="str">
        <f>IF(AND(ISNUMBER(AVERAGEIFS('Data(perCrop)'!$A:$A,'Data(perCrop)'!$B:$B,$A15,'Data(perCrop)'!$H:$H,$A$3,'Data(perCrop)'!$O:$O,'Indicators(perCrop)'!F$4)),$B15&lt;&gt;14,$B15&lt;&gt;15),AVERAGEIFS('Data(perCrop)'!$A:$A,'Data(perCrop)'!$B:$B,$A15,'Data(perCrop)'!$H:$H,$A$3,'Data(perCrop)'!$O:$O,'Indicators(perCrop)'!F$4),"")</f>
        <v/>
      </c>
      <c r="G15" s="7" t="str">
        <f>IF(AND(ISNUMBER(AVERAGEIFS('Data(perCrop)'!$A:$A,'Data(perCrop)'!$B:$B,$A15,'Data(perCrop)'!$H:$H,$A$3,'Data(perCrop)'!$O:$O,'Indicators(perCrop)'!G$4)),$B15&lt;&gt;14,$B15&lt;&gt;15),AVERAGEIFS('Data(perCrop)'!$A:$A,'Data(perCrop)'!$B:$B,$A15,'Data(perCrop)'!$H:$H,$A$3,'Data(perCrop)'!$O:$O,'Indicators(perCrop)'!G$4),"")</f>
        <v/>
      </c>
      <c r="H15" s="7" t="str">
        <f t="shared" si="4"/>
        <v/>
      </c>
      <c r="I15" s="32" t="str">
        <f t="shared" si="5"/>
        <v/>
      </c>
      <c r="J15" s="7" t="e">
        <f>AVERAGEIFS('Data(perCrop)'!$D:$D,'Data(perCrop)'!$B:$B,$A15,'Data(perCrop)'!$H:$H,$A$3,'Data(perCrop)'!$O:$O,'Indicators(perCrop)'!C$4)</f>
        <v>#DIV/0!</v>
      </c>
      <c r="K15" s="7" t="e">
        <f>AVERAGEIFS('Data(perCrop)'!$D:$D,'Data(perCrop)'!$B:$B,$A15,'Data(perCrop)'!$H:$H,$A$3,'Data(perCrop)'!$O:$O,'Indicators(perCrop)'!D$4)</f>
        <v>#DIV/0!</v>
      </c>
      <c r="L15" s="7" t="e">
        <f>AVERAGEIFS('Data(perCrop)'!$D:$D,'Data(perCrop)'!$B:$B,$A15,'Data(perCrop)'!$H:$H,$A$3,'Data(perCrop)'!$O:$O,'Indicators(perCrop)'!E$4)</f>
        <v>#DIV/0!</v>
      </c>
      <c r="M15" s="7" t="e">
        <f>AVERAGEIFS('Data(perCrop)'!$D:$D,'Data(perCrop)'!$B:$B,$A15,'Data(perCrop)'!$H:$H,$A$3,'Data(perCrop)'!$O:$O,'Indicators(perCrop)'!F$4)</f>
        <v>#DIV/0!</v>
      </c>
      <c r="N15" s="7" t="e">
        <f>AVERAGEIFS('Data(perCrop)'!$D:$D,'Data(perCrop)'!$B:$B,$A15,'Data(perCrop)'!$H:$H,$A$3,'Data(perCrop)'!$O:$O,'Indicators(perCrop)'!G$4)</f>
        <v>#DIV/0!</v>
      </c>
      <c r="O15" s="7" t="e">
        <f t="shared" si="6"/>
        <v>#DIV/0!</v>
      </c>
      <c r="P15" s="7" t="e">
        <f>AVERAGEIFS('Data(perCrop)'!$E:$E,'Data(perCrop)'!$B:$B,$A15,'Data(perCrop)'!$H:$H,$A$3,'Data(perCrop)'!$O:$O,'Indicators(perCrop)'!J$4)</f>
        <v>#DIV/0!</v>
      </c>
      <c r="Q15" s="7" t="e">
        <f>AVERAGEIFS('Data(perCrop)'!$E:$E,'Data(perCrop)'!$B:$B,$A15,'Data(perCrop)'!$H:$H,$A$3,'Data(perCrop)'!$O:$O,'Indicators(perCrop)'!K$4)</f>
        <v>#DIV/0!</v>
      </c>
      <c r="R15" s="7" t="e">
        <f>AVERAGEIFS('Data(perCrop)'!$E:$E,'Data(perCrop)'!$B:$B,$A15,'Data(perCrop)'!$H:$H,$A$3,'Data(perCrop)'!$O:$O,'Indicators(perCrop)'!L$4)</f>
        <v>#DIV/0!</v>
      </c>
      <c r="S15" s="7" t="e">
        <f>AVERAGEIFS('Data(perCrop)'!$E:$E,'Data(perCrop)'!$B:$B,$A15,'Data(perCrop)'!$H:$H,$A$3,'Data(perCrop)'!$O:$O,'Indicators(perCrop)'!M$4)</f>
        <v>#DIV/0!</v>
      </c>
      <c r="T15" s="7" t="e">
        <f>AVERAGEIFS('Data(perCrop)'!$E:$E,'Data(perCrop)'!$B:$B,$A15,'Data(perCrop)'!$H:$H,$A$3,'Data(perCrop)'!$O:$O,'Indicators(perCrop)'!N$4)</f>
        <v>#DIV/0!</v>
      </c>
      <c r="U15" s="7" t="e">
        <f t="shared" si="7"/>
        <v>#DIV/0!</v>
      </c>
      <c r="V15" s="8" t="str">
        <f t="shared" si="8"/>
        <v/>
      </c>
      <c r="W15" s="8" t="str">
        <f t="shared" si="9"/>
        <v/>
      </c>
      <c r="X15" s="8" t="str">
        <f t="shared" si="10"/>
        <v/>
      </c>
      <c r="Y15" s="8" t="str">
        <f t="shared" si="11"/>
        <v/>
      </c>
      <c r="Z15" s="8" t="str">
        <f t="shared" si="12"/>
        <v/>
      </c>
      <c r="AA15" s="8" t="e">
        <f t="shared" si="25"/>
        <v>#DIV/0!</v>
      </c>
      <c r="AB15" s="8" t="str">
        <f>IF(AND(ISNUMBER(J15),$B15&lt;&gt;14,$B15&lt;&gt;15),(AVERAGEIFS('Data(perCrop)'!$L:$L,'Data(perCrop)'!$B:$B,'Indicators(perCrop)'!$A15,'Data(perCrop)'!$O:$O,'Indicators(perCrop)'!AB$4,'Data(perCrop)'!$H:$H,'Indicators(perCrop)'!$A$3)-AVERAGEIFS('Data(perCrop)'!$K:$K,'Data(perCrop)'!$B:$B,'Indicators(perCrop)'!$A15,'Data(perCrop)'!$O:$O,'Indicators(perCrop)'!AB$4,'Data(perCrop)'!$H:$H,'Indicators(perCrop)'!$A$3))/AVERAGEIFS('Data(perCrop)'!$L:$L,'Data(perCrop)'!$B:$B,'Indicators(perCrop)'!$A15,'Data(perCrop)'!$O:$O,'Indicators(perCrop)'!AB$4,'Data(perCrop)'!$H:$H,'Indicators(perCrop)'!$A$3),"")</f>
        <v/>
      </c>
      <c r="AC15" s="8" t="str">
        <f>IF(AND(ISNUMBER(K15),$B15&lt;&gt;14,$B15&lt;&gt;15),(AVERAGEIFS('Data(perCrop)'!$L:$L,'Data(perCrop)'!$B:$B,'Indicators(perCrop)'!$A15,'Data(perCrop)'!$O:$O,'Indicators(perCrop)'!AC$4,'Data(perCrop)'!$H:$H,'Indicators(perCrop)'!$A$3)-AVERAGEIFS('Data(perCrop)'!$K:$K,'Data(perCrop)'!$B:$B,'Indicators(perCrop)'!$A15,'Data(perCrop)'!$O:$O,'Indicators(perCrop)'!AC$4,'Data(perCrop)'!$H:$H,'Indicators(perCrop)'!$A$3))/AVERAGEIFS('Data(perCrop)'!$L:$L,'Data(perCrop)'!$B:$B,'Indicators(perCrop)'!$A15,'Data(perCrop)'!$O:$O,'Indicators(perCrop)'!AC$4,'Data(perCrop)'!$H:$H,'Indicators(perCrop)'!$A$3),"")</f>
        <v/>
      </c>
      <c r="AD15" s="8" t="str">
        <f>IF(AND(ISNUMBER(L15),$B15&lt;&gt;14,$B15&lt;&gt;15),(AVERAGEIFS('Data(perCrop)'!$L:$L,'Data(perCrop)'!$B:$B,'Indicators(perCrop)'!$A15,'Data(perCrop)'!$O:$O,'Indicators(perCrop)'!AD$4,'Data(perCrop)'!$H:$H,'Indicators(perCrop)'!$A$3)-AVERAGEIFS('Data(perCrop)'!$K:$K,'Data(perCrop)'!$B:$B,'Indicators(perCrop)'!$A15,'Data(perCrop)'!$O:$O,'Indicators(perCrop)'!AD$4,'Data(perCrop)'!$H:$H,'Indicators(perCrop)'!$A$3))/AVERAGEIFS('Data(perCrop)'!$L:$L,'Data(perCrop)'!$B:$B,'Indicators(perCrop)'!$A15,'Data(perCrop)'!$O:$O,'Indicators(perCrop)'!AD$4,'Data(perCrop)'!$H:$H,'Indicators(perCrop)'!$A$3),"")</f>
        <v/>
      </c>
      <c r="AE15" s="8" t="str">
        <f>IF(AND(ISNUMBER(M15),$B15&lt;&gt;14,$B15&lt;&gt;15),(AVERAGEIFS('Data(perCrop)'!$L:$L,'Data(perCrop)'!$B:$B,'Indicators(perCrop)'!$A15,'Data(perCrop)'!$O:$O,'Indicators(perCrop)'!AE$4,'Data(perCrop)'!$H:$H,'Indicators(perCrop)'!$A$3)-AVERAGEIFS('Data(perCrop)'!$K:$K,'Data(perCrop)'!$B:$B,'Indicators(perCrop)'!$A15,'Data(perCrop)'!$O:$O,'Indicators(perCrop)'!AE$4,'Data(perCrop)'!$H:$H,'Indicators(perCrop)'!$A$3))/AVERAGEIFS('Data(perCrop)'!$L:$L,'Data(perCrop)'!$B:$B,'Indicators(perCrop)'!$A15,'Data(perCrop)'!$O:$O,'Indicators(perCrop)'!AE$4,'Data(perCrop)'!$H:$H,'Indicators(perCrop)'!$A$3),"")</f>
        <v/>
      </c>
      <c r="AF15" s="8" t="str">
        <f>IF(AND(ISNUMBER(N15),$B15&lt;&gt;14,$B15&lt;&gt;15),(AVERAGEIFS('Data(perCrop)'!$L:$L,'Data(perCrop)'!$B:$B,'Indicators(perCrop)'!$A15,'Data(perCrop)'!$O:$O,'Indicators(perCrop)'!AF$4,'Data(perCrop)'!$H:$H,'Indicators(perCrop)'!$A$3)-AVERAGEIFS('Data(perCrop)'!$K:$K,'Data(perCrop)'!$B:$B,'Indicators(perCrop)'!$A15,'Data(perCrop)'!$O:$O,'Indicators(perCrop)'!AF$4,'Data(perCrop)'!$H:$H,'Indicators(perCrop)'!$A$3))/AVERAGEIFS('Data(perCrop)'!$L:$L,'Data(perCrop)'!$B:$B,'Indicators(perCrop)'!$A15,'Data(perCrop)'!$O:$O,'Indicators(perCrop)'!AF$4,'Data(perCrop)'!$H:$H,'Indicators(perCrop)'!$A$3),"")</f>
        <v/>
      </c>
      <c r="AG15" s="8" t="e">
        <f t="shared" si="13"/>
        <v>#DIV/0!</v>
      </c>
      <c r="AH15" s="8" t="str">
        <f>IF(AND(ISNUMBER(J15),$B15&lt;&gt;14,$B15&lt;&gt;15),AVERAGEIFS('Data(perSeason,perCrop)'!$M:$M,'Data(perSeason,perCrop)'!$K:$K,'Indicators(perCrop)'!$A$3,'Data(perSeason,perCrop)'!$C:$C,'Indicators(perCrop)'!$A15,'Data(perSeason,perCrop)'!$S:$S,'Indicators(perCrop)'!AH$4,'Data(perSeason,perCrop)'!$R:$R,"IRRIGATED")-AVERAGEIFS('Data(perSeason,perCrop)'!$N:$N,'Data(perSeason,perCrop)'!$K:$K,'Indicators(perCrop)'!$A$3,'Data(perSeason,perCrop)'!$C:$C,'Indicators(perCrop)'!$A15,'Data(perSeason,perCrop)'!$S:$S,'Indicators(perCrop)'!AH$4,'Data(perSeason,perCrop)'!$R:$R,"IRRIGATED"),"")</f>
        <v/>
      </c>
      <c r="AI15" s="8" t="str">
        <f>IF(AND(ISNUMBER(K15),$B15&lt;&gt;14,$B15&lt;&gt;15),AVERAGEIFS('Data(perSeason,perCrop)'!$M:$M,'Data(perSeason,perCrop)'!$K:$K,'Indicators(perCrop)'!$A$3,'Data(perSeason,perCrop)'!$C:$C,'Indicators(perCrop)'!$A15,'Data(perSeason,perCrop)'!$S:$S,'Indicators(perCrop)'!AI$4,'Data(perSeason,perCrop)'!$R:$R,"IRRIGATED")-AVERAGEIFS('Data(perSeason,perCrop)'!$N:$N,'Data(perSeason,perCrop)'!$K:$K,'Indicators(perCrop)'!$A$3,'Data(perSeason,perCrop)'!$C:$C,'Indicators(perCrop)'!$A15,'Data(perSeason,perCrop)'!$S:$S,'Indicators(perCrop)'!AI$4,'Data(perSeason,perCrop)'!$R:$R,"IRRIGATED"),"")</f>
        <v/>
      </c>
      <c r="AJ15" s="8" t="str">
        <f>IF(AND(ISNUMBER(L15),$B15&lt;&gt;14,$B15&lt;&gt;15),AVERAGEIFS('Data(perSeason,perCrop)'!$M:$M,'Data(perSeason,perCrop)'!$K:$K,'Indicators(perCrop)'!$A$3,'Data(perSeason,perCrop)'!$C:$C,'Indicators(perCrop)'!$A15,'Data(perSeason,perCrop)'!$S:$S,'Indicators(perCrop)'!AJ$4,'Data(perSeason,perCrop)'!$R:$R,"IRRIGATED")-AVERAGEIFS('Data(perSeason,perCrop)'!$N:$N,'Data(perSeason,perCrop)'!$K:$K,'Indicators(perCrop)'!$A$3,'Data(perSeason,perCrop)'!$C:$C,'Indicators(perCrop)'!$A15,'Data(perSeason,perCrop)'!$S:$S,'Indicators(perCrop)'!AJ$4,'Data(perSeason,perCrop)'!$R:$R,"IRRIGATED"),"")</f>
        <v/>
      </c>
      <c r="AK15" s="8" t="str">
        <f>IF(AND(ISNUMBER(M15),$B15&lt;&gt;14,$B15&lt;&gt;15),AVERAGEIFS('Data(perSeason,perCrop)'!$M:$M,'Data(perSeason,perCrop)'!$K:$K,'Indicators(perCrop)'!$A$3,'Data(perSeason,perCrop)'!$C:$C,'Indicators(perCrop)'!$A15,'Data(perSeason,perCrop)'!$S:$S,'Indicators(perCrop)'!AK$4,'Data(perSeason,perCrop)'!$R:$R,"IRRIGATED")-AVERAGEIFS('Data(perSeason,perCrop)'!$N:$N,'Data(perSeason,perCrop)'!$K:$K,'Indicators(perCrop)'!$A$3,'Data(perSeason,perCrop)'!$C:$C,'Indicators(perCrop)'!$A15,'Data(perSeason,perCrop)'!$S:$S,'Indicators(perCrop)'!AK$4,'Data(perSeason,perCrop)'!$R:$R,"IRRIGATED"),"")</f>
        <v/>
      </c>
      <c r="AL15" s="8" t="str">
        <f>IF(AND(ISNUMBER(N15),$B15&lt;&gt;14,$B15&lt;&gt;15),AVERAGEIFS('Data(perSeason,perCrop)'!$M:$M,'Data(perSeason,perCrop)'!$K:$K,'Indicators(perCrop)'!$A$3,'Data(perSeason,perCrop)'!$C:$C,'Indicators(perCrop)'!$A15,'Data(perSeason,perCrop)'!$S:$S,'Indicators(perCrop)'!AL$4,'Data(perSeason,perCrop)'!$R:$R,"IRRIGATED")-AVERAGEIFS('Data(perSeason,perCrop)'!$N:$N,'Data(perSeason,perCrop)'!$K:$K,'Indicators(perCrop)'!$A$3,'Data(perSeason,perCrop)'!$C:$C,'Indicators(perCrop)'!$A15,'Data(perSeason,perCrop)'!$S:$S,'Indicators(perCrop)'!AL$4,'Data(perSeason,perCrop)'!$R:$R,"IRRIGATED"),"")</f>
        <v/>
      </c>
      <c r="AM15" s="8" t="e">
        <f t="shared" si="14"/>
        <v>#DIV/0!</v>
      </c>
      <c r="AN15" s="7" t="e">
        <f>AVERAGEIFS('Data(perCrop)'!$K:$K,'Data(perCrop)'!$B:$B,$A15,'Data(perCrop)'!$H:$H,$A$3,'Data(perCrop)'!$O:$O,'Indicators(perCrop)'!C$4)</f>
        <v>#DIV/0!</v>
      </c>
      <c r="AO15" s="7" t="e">
        <f>AVERAGEIFS('Data(perCrop)'!$K:$K,'Data(perCrop)'!$B:$B,$A15,'Data(perCrop)'!$H:$H,$A$3,'Data(perCrop)'!$O:$O,'Indicators(perCrop)'!D$4)</f>
        <v>#DIV/0!</v>
      </c>
      <c r="AP15" s="7" t="e">
        <f>AVERAGEIFS('Data(perCrop)'!$K:$K,'Data(perCrop)'!$B:$B,$A15,'Data(perCrop)'!$H:$H,$A$3,'Data(perCrop)'!$O:$O,'Indicators(perCrop)'!E$4)</f>
        <v>#DIV/0!</v>
      </c>
      <c r="AQ15" s="7" t="e">
        <f>AVERAGEIFS('Data(perCrop)'!$K:$K,'Data(perCrop)'!$B:$B,$A15,'Data(perCrop)'!$H:$H,$A$3,'Data(perCrop)'!$O:$O,'Indicators(perCrop)'!F$4)</f>
        <v>#DIV/0!</v>
      </c>
      <c r="AR15" s="7" t="e">
        <f>AVERAGEIFS('Data(perCrop)'!$K:$K,'Data(perCrop)'!$B:$B,$A15,'Data(perCrop)'!$H:$H,$A$3,'Data(perCrop)'!$O:$O,'Indicators(perCrop)'!G$4)</f>
        <v>#DIV/0!</v>
      </c>
      <c r="AS15" s="8" t="e">
        <f t="shared" si="15"/>
        <v>#DIV/0!</v>
      </c>
      <c r="AT15" s="52">
        <v>0.33</v>
      </c>
      <c r="AU15" s="52">
        <v>0.1</v>
      </c>
      <c r="AV15" s="8" t="str">
        <f t="shared" si="16"/>
        <v/>
      </c>
      <c r="AW15" s="8" t="str">
        <f t="shared" si="17"/>
        <v/>
      </c>
      <c r="AX15" s="8" t="str">
        <f t="shared" si="18"/>
        <v/>
      </c>
      <c r="AY15" s="8" t="str">
        <f t="shared" si="19"/>
        <v/>
      </c>
      <c r="AZ15" s="8" t="str">
        <f t="shared" si="20"/>
        <v/>
      </c>
      <c r="BA15" s="8" t="e">
        <f t="shared" si="23"/>
        <v>#DIV/0!</v>
      </c>
      <c r="BB15" s="7">
        <f>SUMIFS('Data(perSeason,perCrop)'!$A:$A,'Data(perSeason,perCrop)'!$C:$C,'Indicators(perCrop)'!$A15,'Data(perSeason,perCrop)'!$R:$R,"IRRIGATED",'Data(perSeason,perCrop)'!$O:$O,'Indicators(perCrop)'!BB$4)/5</f>
        <v>0</v>
      </c>
      <c r="BC15" s="7">
        <f>SUMIFS('Data(perSeason,perCrop)'!$A:$A,'Data(perSeason,perCrop)'!$C:$C,'Indicators(perCrop)'!$A15,'Data(perSeason,perCrop)'!$R:$R,"IRRIGATED",'Data(perSeason,perCrop)'!$O:$O,'Indicators(perCrop)'!BC$4)/5</f>
        <v>0</v>
      </c>
      <c r="BD15" s="7">
        <f>SUMIFS('Data(perSeason,perCrop)'!$A:$A,'Data(perSeason,perCrop)'!$C:$C,'Indicators(perCrop)'!$A15,'Data(perSeason,perCrop)'!$R:$R,"IRRIGATED",'Data(perSeason,perCrop)'!$O:$O,'Indicators(perCrop)'!BD$4)/5</f>
        <v>0</v>
      </c>
      <c r="BE15" s="7" t="e">
        <f>AVERAGEIFS('Data(perSeason,perCrop)'!$G:$G,'Data(perSeason,perCrop)'!$C:$C,'Indicators(perCrop)'!$A15,'Data(perSeason,perCrop)'!$R:$R,"IRRIGATED",'Data(perSeason,perCrop)'!$O:$O,'Indicators(perCrop)'!BE$4)</f>
        <v>#DIV/0!</v>
      </c>
      <c r="BF15" s="7" t="e">
        <f>AVERAGEIFS('Data(perSeason,perCrop)'!$G:$G,'Data(perSeason,perCrop)'!$C:$C,'Indicators(perCrop)'!$A15,'Data(perSeason,perCrop)'!$R:$R,"IRRIGATED",'Data(perSeason,perCrop)'!$O:$O,'Indicators(perCrop)'!BF$4)</f>
        <v>#DIV/0!</v>
      </c>
      <c r="BG15" s="7" t="e">
        <f>AVERAGEIFS('Data(perSeason,perCrop)'!$G:$G,'Data(perSeason,perCrop)'!$C:$C,'Indicators(perCrop)'!$A15,'Data(perSeason,perCrop)'!$R:$R,"IRRIGATED",'Data(perSeason,perCrop)'!$O:$O,'Indicators(perCrop)'!BG$4)</f>
        <v>#DIV/0!</v>
      </c>
      <c r="BH15" s="7" t="str">
        <f t="shared" si="24"/>
        <v/>
      </c>
      <c r="BI15" s="7" t="str">
        <f t="shared" si="21"/>
        <v/>
      </c>
      <c r="BJ15" s="7" t="str">
        <f t="shared" si="22"/>
        <v/>
      </c>
      <c r="BK15" s="25" t="e">
        <f>AVERAGEIFS('Data(perCrop)'!F:F,'Data(perCrop)'!$B:$B,A15)</f>
        <v>#DIV/0!</v>
      </c>
      <c r="BL15" s="8" t="str">
        <f t="shared" si="2"/>
        <v/>
      </c>
      <c r="BM15" s="32" t="str">
        <f t="shared" si="3"/>
        <v/>
      </c>
    </row>
    <row r="16" spans="1:65" x14ac:dyDescent="0.25">
      <c r="A16" s="9" t="s">
        <v>138</v>
      </c>
      <c r="B16">
        <v>12</v>
      </c>
      <c r="C16" s="7" t="str">
        <f>IF(AND(ISNUMBER(AVERAGEIFS('Data(perCrop)'!$A:$A,'Data(perCrop)'!$B:$B,$A16,'Data(perCrop)'!$H:$H,$A$3,'Data(perCrop)'!$O:$O,'Indicators(perCrop)'!C$4)),$B16&lt;&gt;14,$B16&lt;&gt;15),AVERAGEIFS('Data(perCrop)'!$A:$A,'Data(perCrop)'!$B:$B,$A16,'Data(perCrop)'!$H:$H,$A$3,'Data(perCrop)'!$O:$O,'Indicators(perCrop)'!C$4),"")</f>
        <v/>
      </c>
      <c r="D16" s="7" t="str">
        <f>IF(AND(ISNUMBER(AVERAGEIFS('Data(perCrop)'!$A:$A,'Data(perCrop)'!$B:$B,$A16,'Data(perCrop)'!$H:$H,$A$3,'Data(perCrop)'!$O:$O,'Indicators(perCrop)'!D$4)),$B16&lt;&gt;14,$B16&lt;&gt;15),AVERAGEIFS('Data(perCrop)'!$A:$A,'Data(perCrop)'!$B:$B,$A16,'Data(perCrop)'!$H:$H,$A$3,'Data(perCrop)'!$O:$O,'Indicators(perCrop)'!D$4),"")</f>
        <v/>
      </c>
      <c r="E16" s="7" t="str">
        <f>IF(AND(ISNUMBER(AVERAGEIFS('Data(perCrop)'!$A:$A,'Data(perCrop)'!$B:$B,$A16,'Data(perCrop)'!$H:$H,$A$3,'Data(perCrop)'!$O:$O,'Indicators(perCrop)'!E$4)),$B16&lt;&gt;14,$B16&lt;&gt;15),AVERAGEIFS('Data(perCrop)'!$A:$A,'Data(perCrop)'!$B:$B,$A16,'Data(perCrop)'!$H:$H,$A$3,'Data(perCrop)'!$O:$O,'Indicators(perCrop)'!E$4),"")</f>
        <v/>
      </c>
      <c r="F16" s="7" t="str">
        <f>IF(AND(ISNUMBER(AVERAGEIFS('Data(perCrop)'!$A:$A,'Data(perCrop)'!$B:$B,$A16,'Data(perCrop)'!$H:$H,$A$3,'Data(perCrop)'!$O:$O,'Indicators(perCrop)'!F$4)),$B16&lt;&gt;14,$B16&lt;&gt;15),AVERAGEIFS('Data(perCrop)'!$A:$A,'Data(perCrop)'!$B:$B,$A16,'Data(perCrop)'!$H:$H,$A$3,'Data(perCrop)'!$O:$O,'Indicators(perCrop)'!F$4),"")</f>
        <v/>
      </c>
      <c r="G16" s="7" t="str">
        <f>IF(AND(ISNUMBER(AVERAGEIFS('Data(perCrop)'!$A:$A,'Data(perCrop)'!$B:$B,$A16,'Data(perCrop)'!$H:$H,$A$3,'Data(perCrop)'!$O:$O,'Indicators(perCrop)'!G$4)),$B16&lt;&gt;14,$B16&lt;&gt;15),AVERAGEIFS('Data(perCrop)'!$A:$A,'Data(perCrop)'!$B:$B,$A16,'Data(perCrop)'!$H:$H,$A$3,'Data(perCrop)'!$O:$O,'Indicators(perCrop)'!G$4),"")</f>
        <v/>
      </c>
      <c r="H16" s="7" t="str">
        <f t="shared" si="4"/>
        <v/>
      </c>
      <c r="I16" s="32" t="str">
        <f t="shared" si="5"/>
        <v/>
      </c>
      <c r="J16" s="7" t="e">
        <f>AVERAGEIFS('Data(perCrop)'!$D:$D,'Data(perCrop)'!$B:$B,$A16,'Data(perCrop)'!$H:$H,$A$3,'Data(perCrop)'!$O:$O,'Indicators(perCrop)'!C$4)</f>
        <v>#DIV/0!</v>
      </c>
      <c r="K16" s="7" t="e">
        <f>AVERAGEIFS('Data(perCrop)'!$D:$D,'Data(perCrop)'!$B:$B,$A16,'Data(perCrop)'!$H:$H,$A$3,'Data(perCrop)'!$O:$O,'Indicators(perCrop)'!D$4)</f>
        <v>#DIV/0!</v>
      </c>
      <c r="L16" s="7" t="e">
        <f>AVERAGEIFS('Data(perCrop)'!$D:$D,'Data(perCrop)'!$B:$B,$A16,'Data(perCrop)'!$H:$H,$A$3,'Data(perCrop)'!$O:$O,'Indicators(perCrop)'!E$4)</f>
        <v>#DIV/0!</v>
      </c>
      <c r="M16" s="7" t="e">
        <f>AVERAGEIFS('Data(perCrop)'!$D:$D,'Data(perCrop)'!$B:$B,$A16,'Data(perCrop)'!$H:$H,$A$3,'Data(perCrop)'!$O:$O,'Indicators(perCrop)'!F$4)</f>
        <v>#DIV/0!</v>
      </c>
      <c r="N16" s="7" t="e">
        <f>AVERAGEIFS('Data(perCrop)'!$D:$D,'Data(perCrop)'!$B:$B,$A16,'Data(perCrop)'!$H:$H,$A$3,'Data(perCrop)'!$O:$O,'Indicators(perCrop)'!G$4)</f>
        <v>#DIV/0!</v>
      </c>
      <c r="O16" s="7" t="e">
        <f t="shared" si="6"/>
        <v>#DIV/0!</v>
      </c>
      <c r="P16" s="7" t="e">
        <f>AVERAGEIFS('Data(perCrop)'!$E:$E,'Data(perCrop)'!$B:$B,$A16,'Data(perCrop)'!$H:$H,$A$3,'Data(perCrop)'!$O:$O,'Indicators(perCrop)'!J$4)</f>
        <v>#DIV/0!</v>
      </c>
      <c r="Q16" s="7" t="e">
        <f>AVERAGEIFS('Data(perCrop)'!$E:$E,'Data(perCrop)'!$B:$B,$A16,'Data(perCrop)'!$H:$H,$A$3,'Data(perCrop)'!$O:$O,'Indicators(perCrop)'!K$4)</f>
        <v>#DIV/0!</v>
      </c>
      <c r="R16" s="7" t="e">
        <f>AVERAGEIFS('Data(perCrop)'!$E:$E,'Data(perCrop)'!$B:$B,$A16,'Data(perCrop)'!$H:$H,$A$3,'Data(perCrop)'!$O:$O,'Indicators(perCrop)'!L$4)</f>
        <v>#DIV/0!</v>
      </c>
      <c r="S16" s="7" t="e">
        <f>AVERAGEIFS('Data(perCrop)'!$E:$E,'Data(perCrop)'!$B:$B,$A16,'Data(perCrop)'!$H:$H,$A$3,'Data(perCrop)'!$O:$O,'Indicators(perCrop)'!M$4)</f>
        <v>#DIV/0!</v>
      </c>
      <c r="T16" s="7" t="e">
        <f>AVERAGEIFS('Data(perCrop)'!$E:$E,'Data(perCrop)'!$B:$B,$A16,'Data(perCrop)'!$H:$H,$A$3,'Data(perCrop)'!$O:$O,'Indicators(perCrop)'!N$4)</f>
        <v>#DIV/0!</v>
      </c>
      <c r="U16" s="7" t="e">
        <f t="shared" si="7"/>
        <v>#DIV/0!</v>
      </c>
      <c r="V16" s="8" t="str">
        <f t="shared" si="8"/>
        <v/>
      </c>
      <c r="W16" s="8" t="str">
        <f t="shared" si="9"/>
        <v/>
      </c>
      <c r="X16" s="8" t="str">
        <f t="shared" si="10"/>
        <v/>
      </c>
      <c r="Y16" s="8" t="str">
        <f t="shared" si="11"/>
        <v/>
      </c>
      <c r="Z16" s="8" t="str">
        <f t="shared" si="12"/>
        <v/>
      </c>
      <c r="AA16" s="8" t="e">
        <f t="shared" si="25"/>
        <v>#DIV/0!</v>
      </c>
      <c r="AB16" s="8" t="str">
        <f>IF(AND(ISNUMBER(J16),$B16&lt;&gt;14,$B16&lt;&gt;15),(AVERAGEIFS('Data(perCrop)'!$L:$L,'Data(perCrop)'!$B:$B,'Indicators(perCrop)'!$A16,'Data(perCrop)'!$O:$O,'Indicators(perCrop)'!AB$4,'Data(perCrop)'!$H:$H,'Indicators(perCrop)'!$A$3)-AVERAGEIFS('Data(perCrop)'!$K:$K,'Data(perCrop)'!$B:$B,'Indicators(perCrop)'!$A16,'Data(perCrop)'!$O:$O,'Indicators(perCrop)'!AB$4,'Data(perCrop)'!$H:$H,'Indicators(perCrop)'!$A$3))/AVERAGEIFS('Data(perCrop)'!$L:$L,'Data(perCrop)'!$B:$B,'Indicators(perCrop)'!$A16,'Data(perCrop)'!$O:$O,'Indicators(perCrop)'!AB$4,'Data(perCrop)'!$H:$H,'Indicators(perCrop)'!$A$3),"")</f>
        <v/>
      </c>
      <c r="AC16" s="8" t="str">
        <f>IF(AND(ISNUMBER(K16),$B16&lt;&gt;14,$B16&lt;&gt;15),(AVERAGEIFS('Data(perCrop)'!$L:$L,'Data(perCrop)'!$B:$B,'Indicators(perCrop)'!$A16,'Data(perCrop)'!$O:$O,'Indicators(perCrop)'!AC$4,'Data(perCrop)'!$H:$H,'Indicators(perCrop)'!$A$3)-AVERAGEIFS('Data(perCrop)'!$K:$K,'Data(perCrop)'!$B:$B,'Indicators(perCrop)'!$A16,'Data(perCrop)'!$O:$O,'Indicators(perCrop)'!AC$4,'Data(perCrop)'!$H:$H,'Indicators(perCrop)'!$A$3))/AVERAGEIFS('Data(perCrop)'!$L:$L,'Data(perCrop)'!$B:$B,'Indicators(perCrop)'!$A16,'Data(perCrop)'!$O:$O,'Indicators(perCrop)'!AC$4,'Data(perCrop)'!$H:$H,'Indicators(perCrop)'!$A$3),"")</f>
        <v/>
      </c>
      <c r="AD16" s="8" t="str">
        <f>IF(AND(ISNUMBER(L16),$B16&lt;&gt;14,$B16&lt;&gt;15),(AVERAGEIFS('Data(perCrop)'!$L:$L,'Data(perCrop)'!$B:$B,'Indicators(perCrop)'!$A16,'Data(perCrop)'!$O:$O,'Indicators(perCrop)'!AD$4,'Data(perCrop)'!$H:$H,'Indicators(perCrop)'!$A$3)-AVERAGEIFS('Data(perCrop)'!$K:$K,'Data(perCrop)'!$B:$B,'Indicators(perCrop)'!$A16,'Data(perCrop)'!$O:$O,'Indicators(perCrop)'!AD$4,'Data(perCrop)'!$H:$H,'Indicators(perCrop)'!$A$3))/AVERAGEIFS('Data(perCrop)'!$L:$L,'Data(perCrop)'!$B:$B,'Indicators(perCrop)'!$A16,'Data(perCrop)'!$O:$O,'Indicators(perCrop)'!AD$4,'Data(perCrop)'!$H:$H,'Indicators(perCrop)'!$A$3),"")</f>
        <v/>
      </c>
      <c r="AE16" s="8" t="str">
        <f>IF(AND(ISNUMBER(M16),$B16&lt;&gt;14,$B16&lt;&gt;15),(AVERAGEIFS('Data(perCrop)'!$L:$L,'Data(perCrop)'!$B:$B,'Indicators(perCrop)'!$A16,'Data(perCrop)'!$O:$O,'Indicators(perCrop)'!AE$4,'Data(perCrop)'!$H:$H,'Indicators(perCrop)'!$A$3)-AVERAGEIFS('Data(perCrop)'!$K:$K,'Data(perCrop)'!$B:$B,'Indicators(perCrop)'!$A16,'Data(perCrop)'!$O:$O,'Indicators(perCrop)'!AE$4,'Data(perCrop)'!$H:$H,'Indicators(perCrop)'!$A$3))/AVERAGEIFS('Data(perCrop)'!$L:$L,'Data(perCrop)'!$B:$B,'Indicators(perCrop)'!$A16,'Data(perCrop)'!$O:$O,'Indicators(perCrop)'!AE$4,'Data(perCrop)'!$H:$H,'Indicators(perCrop)'!$A$3),"")</f>
        <v/>
      </c>
      <c r="AF16" s="8" t="str">
        <f>IF(AND(ISNUMBER(N16),$B16&lt;&gt;14,$B16&lt;&gt;15),(AVERAGEIFS('Data(perCrop)'!$L:$L,'Data(perCrop)'!$B:$B,'Indicators(perCrop)'!$A16,'Data(perCrop)'!$O:$O,'Indicators(perCrop)'!AF$4,'Data(perCrop)'!$H:$H,'Indicators(perCrop)'!$A$3)-AVERAGEIFS('Data(perCrop)'!$K:$K,'Data(perCrop)'!$B:$B,'Indicators(perCrop)'!$A16,'Data(perCrop)'!$O:$O,'Indicators(perCrop)'!AF$4,'Data(perCrop)'!$H:$H,'Indicators(perCrop)'!$A$3))/AVERAGEIFS('Data(perCrop)'!$L:$L,'Data(perCrop)'!$B:$B,'Indicators(perCrop)'!$A16,'Data(perCrop)'!$O:$O,'Indicators(perCrop)'!AF$4,'Data(perCrop)'!$H:$H,'Indicators(perCrop)'!$A$3),"")</f>
        <v/>
      </c>
      <c r="AG16" s="8" t="e">
        <f t="shared" si="13"/>
        <v>#DIV/0!</v>
      </c>
      <c r="AH16" s="8" t="str">
        <f>IF(AND(ISNUMBER(J16),$B16&lt;&gt;14,$B16&lt;&gt;15),AVERAGEIFS('Data(perSeason,perCrop)'!$M:$M,'Data(perSeason,perCrop)'!$K:$K,'Indicators(perCrop)'!$A$3,'Data(perSeason,perCrop)'!$C:$C,'Indicators(perCrop)'!$A16,'Data(perSeason,perCrop)'!$S:$S,'Indicators(perCrop)'!AH$4,'Data(perSeason,perCrop)'!$R:$R,"IRRIGATED")-AVERAGEIFS('Data(perSeason,perCrop)'!$N:$N,'Data(perSeason,perCrop)'!$K:$K,'Indicators(perCrop)'!$A$3,'Data(perSeason,perCrop)'!$C:$C,'Indicators(perCrop)'!$A16,'Data(perSeason,perCrop)'!$S:$S,'Indicators(perCrop)'!AH$4,'Data(perSeason,perCrop)'!$R:$R,"IRRIGATED"),"")</f>
        <v/>
      </c>
      <c r="AI16" s="8" t="str">
        <f>IF(AND(ISNUMBER(K16),$B16&lt;&gt;14,$B16&lt;&gt;15),AVERAGEIFS('Data(perSeason,perCrop)'!$M:$M,'Data(perSeason,perCrop)'!$K:$K,'Indicators(perCrop)'!$A$3,'Data(perSeason,perCrop)'!$C:$C,'Indicators(perCrop)'!$A16,'Data(perSeason,perCrop)'!$S:$S,'Indicators(perCrop)'!AI$4,'Data(perSeason,perCrop)'!$R:$R,"IRRIGATED")-AVERAGEIFS('Data(perSeason,perCrop)'!$N:$N,'Data(perSeason,perCrop)'!$K:$K,'Indicators(perCrop)'!$A$3,'Data(perSeason,perCrop)'!$C:$C,'Indicators(perCrop)'!$A16,'Data(perSeason,perCrop)'!$S:$S,'Indicators(perCrop)'!AI$4,'Data(perSeason,perCrop)'!$R:$R,"IRRIGATED"),"")</f>
        <v/>
      </c>
      <c r="AJ16" s="8" t="str">
        <f>IF(AND(ISNUMBER(L16),$B16&lt;&gt;14,$B16&lt;&gt;15),AVERAGEIFS('Data(perSeason,perCrop)'!$M:$M,'Data(perSeason,perCrop)'!$K:$K,'Indicators(perCrop)'!$A$3,'Data(perSeason,perCrop)'!$C:$C,'Indicators(perCrop)'!$A16,'Data(perSeason,perCrop)'!$S:$S,'Indicators(perCrop)'!AJ$4,'Data(perSeason,perCrop)'!$R:$R,"IRRIGATED")-AVERAGEIFS('Data(perSeason,perCrop)'!$N:$N,'Data(perSeason,perCrop)'!$K:$K,'Indicators(perCrop)'!$A$3,'Data(perSeason,perCrop)'!$C:$C,'Indicators(perCrop)'!$A16,'Data(perSeason,perCrop)'!$S:$S,'Indicators(perCrop)'!AJ$4,'Data(perSeason,perCrop)'!$R:$R,"IRRIGATED"),"")</f>
        <v/>
      </c>
      <c r="AK16" s="8" t="str">
        <f>IF(AND(ISNUMBER(M16),$B16&lt;&gt;14,$B16&lt;&gt;15),AVERAGEIFS('Data(perSeason,perCrop)'!$M:$M,'Data(perSeason,perCrop)'!$K:$K,'Indicators(perCrop)'!$A$3,'Data(perSeason,perCrop)'!$C:$C,'Indicators(perCrop)'!$A16,'Data(perSeason,perCrop)'!$S:$S,'Indicators(perCrop)'!AK$4,'Data(perSeason,perCrop)'!$R:$R,"IRRIGATED")-AVERAGEIFS('Data(perSeason,perCrop)'!$N:$N,'Data(perSeason,perCrop)'!$K:$K,'Indicators(perCrop)'!$A$3,'Data(perSeason,perCrop)'!$C:$C,'Indicators(perCrop)'!$A16,'Data(perSeason,perCrop)'!$S:$S,'Indicators(perCrop)'!AK$4,'Data(perSeason,perCrop)'!$R:$R,"IRRIGATED"),"")</f>
        <v/>
      </c>
      <c r="AL16" s="8" t="str">
        <f>IF(AND(ISNUMBER(N16),$B16&lt;&gt;14,$B16&lt;&gt;15),AVERAGEIFS('Data(perSeason,perCrop)'!$M:$M,'Data(perSeason,perCrop)'!$K:$K,'Indicators(perCrop)'!$A$3,'Data(perSeason,perCrop)'!$C:$C,'Indicators(perCrop)'!$A16,'Data(perSeason,perCrop)'!$S:$S,'Indicators(perCrop)'!AL$4,'Data(perSeason,perCrop)'!$R:$R,"IRRIGATED")-AVERAGEIFS('Data(perSeason,perCrop)'!$N:$N,'Data(perSeason,perCrop)'!$K:$K,'Indicators(perCrop)'!$A$3,'Data(perSeason,perCrop)'!$C:$C,'Indicators(perCrop)'!$A16,'Data(perSeason,perCrop)'!$S:$S,'Indicators(perCrop)'!AL$4,'Data(perSeason,perCrop)'!$R:$R,"IRRIGATED"),"")</f>
        <v/>
      </c>
      <c r="AM16" s="8" t="e">
        <f t="shared" si="14"/>
        <v>#DIV/0!</v>
      </c>
      <c r="AN16" s="7" t="e">
        <f>AVERAGEIFS('Data(perCrop)'!$K:$K,'Data(perCrop)'!$B:$B,$A16,'Data(perCrop)'!$H:$H,$A$3,'Data(perCrop)'!$O:$O,'Indicators(perCrop)'!C$4)</f>
        <v>#DIV/0!</v>
      </c>
      <c r="AO16" s="7" t="e">
        <f>AVERAGEIFS('Data(perCrop)'!$K:$K,'Data(perCrop)'!$B:$B,$A16,'Data(perCrop)'!$H:$H,$A$3,'Data(perCrop)'!$O:$O,'Indicators(perCrop)'!D$4)</f>
        <v>#DIV/0!</v>
      </c>
      <c r="AP16" s="7" t="e">
        <f>AVERAGEIFS('Data(perCrop)'!$K:$K,'Data(perCrop)'!$B:$B,$A16,'Data(perCrop)'!$H:$H,$A$3,'Data(perCrop)'!$O:$O,'Indicators(perCrop)'!E$4)</f>
        <v>#DIV/0!</v>
      </c>
      <c r="AQ16" s="7" t="e">
        <f>AVERAGEIFS('Data(perCrop)'!$K:$K,'Data(perCrop)'!$B:$B,$A16,'Data(perCrop)'!$H:$H,$A$3,'Data(perCrop)'!$O:$O,'Indicators(perCrop)'!F$4)</f>
        <v>#DIV/0!</v>
      </c>
      <c r="AR16" s="7" t="e">
        <f>AVERAGEIFS('Data(perCrop)'!$K:$K,'Data(perCrop)'!$B:$B,$A16,'Data(perCrop)'!$H:$H,$A$3,'Data(perCrop)'!$O:$O,'Indicators(perCrop)'!G$4)</f>
        <v>#DIV/0!</v>
      </c>
      <c r="AS16" s="8" t="e">
        <f t="shared" si="15"/>
        <v>#DIV/0!</v>
      </c>
      <c r="AT16" s="52">
        <v>0.8</v>
      </c>
      <c r="AU16" s="52">
        <v>0.8</v>
      </c>
      <c r="AV16" s="8" t="str">
        <f t="shared" si="16"/>
        <v/>
      </c>
      <c r="AW16" s="8" t="str">
        <f t="shared" si="17"/>
        <v/>
      </c>
      <c r="AX16" s="8" t="str">
        <f t="shared" si="18"/>
        <v/>
      </c>
      <c r="AY16" s="8" t="str">
        <f t="shared" si="19"/>
        <v/>
      </c>
      <c r="AZ16" s="8" t="str">
        <f t="shared" si="20"/>
        <v/>
      </c>
      <c r="BA16" s="8" t="e">
        <f t="shared" si="23"/>
        <v>#DIV/0!</v>
      </c>
      <c r="BB16" s="7">
        <f>SUMIFS('Data(perSeason,perCrop)'!$A:$A,'Data(perSeason,perCrop)'!$C:$C,'Indicators(perCrop)'!$A16,'Data(perSeason,perCrop)'!$R:$R,"IRRIGATED",'Data(perSeason,perCrop)'!$O:$O,'Indicators(perCrop)'!BB$4)/5</f>
        <v>0</v>
      </c>
      <c r="BC16" s="7">
        <f>SUMIFS('Data(perSeason,perCrop)'!$A:$A,'Data(perSeason,perCrop)'!$C:$C,'Indicators(perCrop)'!$A16,'Data(perSeason,perCrop)'!$R:$R,"IRRIGATED",'Data(perSeason,perCrop)'!$O:$O,'Indicators(perCrop)'!BC$4)/5</f>
        <v>0</v>
      </c>
      <c r="BD16" s="7">
        <f>SUMIFS('Data(perSeason,perCrop)'!$A:$A,'Data(perSeason,perCrop)'!$C:$C,'Indicators(perCrop)'!$A16,'Data(perSeason,perCrop)'!$R:$R,"IRRIGATED",'Data(perSeason,perCrop)'!$O:$O,'Indicators(perCrop)'!BD$4)/5</f>
        <v>0</v>
      </c>
      <c r="BE16" s="7" t="e">
        <f>AVERAGEIFS('Data(perSeason,perCrop)'!$G:$G,'Data(perSeason,perCrop)'!$C:$C,'Indicators(perCrop)'!$A16,'Data(perSeason,perCrop)'!$R:$R,"IRRIGATED",'Data(perSeason,perCrop)'!$O:$O,'Indicators(perCrop)'!BE$4)</f>
        <v>#DIV/0!</v>
      </c>
      <c r="BF16" s="7" t="e">
        <f>AVERAGEIFS('Data(perSeason,perCrop)'!$G:$G,'Data(perSeason,perCrop)'!$C:$C,'Indicators(perCrop)'!$A16,'Data(perSeason,perCrop)'!$R:$R,"IRRIGATED",'Data(perSeason,perCrop)'!$O:$O,'Indicators(perCrop)'!BF$4)</f>
        <v>#DIV/0!</v>
      </c>
      <c r="BG16" s="7" t="e">
        <f>AVERAGEIFS('Data(perSeason,perCrop)'!$G:$G,'Data(perSeason,perCrop)'!$C:$C,'Indicators(perCrop)'!$A16,'Data(perSeason,perCrop)'!$R:$R,"IRRIGATED",'Data(perSeason,perCrop)'!$O:$O,'Indicators(perCrop)'!BG$4)</f>
        <v>#DIV/0!</v>
      </c>
      <c r="BH16" s="7" t="str">
        <f t="shared" si="24"/>
        <v/>
      </c>
      <c r="BI16" s="7" t="str">
        <f t="shared" si="21"/>
        <v/>
      </c>
      <c r="BJ16" s="7" t="str">
        <f t="shared" si="22"/>
        <v/>
      </c>
      <c r="BK16" s="25" t="e">
        <f>AVERAGEIFS('Data(perCrop)'!F:F,'Data(perCrop)'!$B:$B,A16)</f>
        <v>#DIV/0!</v>
      </c>
      <c r="BL16" s="8" t="str">
        <f t="shared" si="2"/>
        <v/>
      </c>
      <c r="BM16" s="32" t="str">
        <f t="shared" si="3"/>
        <v/>
      </c>
    </row>
    <row r="17" spans="1:65" x14ac:dyDescent="0.25">
      <c r="A17" s="9" t="s">
        <v>50</v>
      </c>
      <c r="B17">
        <v>13</v>
      </c>
      <c r="C17" s="7" t="str">
        <f>IF(AND(ISNUMBER(AVERAGEIFS('Data(perCrop)'!$A:$A,'Data(perCrop)'!$B:$B,$A17,'Data(perCrop)'!$H:$H,$A$3,'Data(perCrop)'!$O:$O,'Indicators(perCrop)'!C$4)),$B17&lt;&gt;14,$B17&lt;&gt;15),AVERAGEIFS('Data(perCrop)'!$A:$A,'Data(perCrop)'!$B:$B,$A17,'Data(perCrop)'!$H:$H,$A$3,'Data(perCrop)'!$O:$O,'Indicators(perCrop)'!C$4),"")</f>
        <v/>
      </c>
      <c r="D17" s="7" t="str">
        <f>IF(AND(ISNUMBER(AVERAGEIFS('Data(perCrop)'!$A:$A,'Data(perCrop)'!$B:$B,$A17,'Data(perCrop)'!$H:$H,$A$3,'Data(perCrop)'!$O:$O,'Indicators(perCrop)'!D$4)),$B17&lt;&gt;14,$B17&lt;&gt;15),AVERAGEIFS('Data(perCrop)'!$A:$A,'Data(perCrop)'!$B:$B,$A17,'Data(perCrop)'!$H:$H,$A$3,'Data(perCrop)'!$O:$O,'Indicators(perCrop)'!D$4),"")</f>
        <v/>
      </c>
      <c r="E17" s="7" t="str">
        <f>IF(AND(ISNUMBER(AVERAGEIFS('Data(perCrop)'!$A:$A,'Data(perCrop)'!$B:$B,$A17,'Data(perCrop)'!$H:$H,$A$3,'Data(perCrop)'!$O:$O,'Indicators(perCrop)'!E$4)),$B17&lt;&gt;14,$B17&lt;&gt;15),AVERAGEIFS('Data(perCrop)'!$A:$A,'Data(perCrop)'!$B:$B,$A17,'Data(perCrop)'!$H:$H,$A$3,'Data(perCrop)'!$O:$O,'Indicators(perCrop)'!E$4),"")</f>
        <v/>
      </c>
      <c r="F17" s="7" t="str">
        <f>IF(AND(ISNUMBER(AVERAGEIFS('Data(perCrop)'!$A:$A,'Data(perCrop)'!$B:$B,$A17,'Data(perCrop)'!$H:$H,$A$3,'Data(perCrop)'!$O:$O,'Indicators(perCrop)'!F$4)),$B17&lt;&gt;14,$B17&lt;&gt;15),AVERAGEIFS('Data(perCrop)'!$A:$A,'Data(perCrop)'!$B:$B,$A17,'Data(perCrop)'!$H:$H,$A$3,'Data(perCrop)'!$O:$O,'Indicators(perCrop)'!F$4),"")</f>
        <v/>
      </c>
      <c r="G17" s="7" t="str">
        <f>IF(AND(ISNUMBER(AVERAGEIFS('Data(perCrop)'!$A:$A,'Data(perCrop)'!$B:$B,$A17,'Data(perCrop)'!$H:$H,$A$3,'Data(perCrop)'!$O:$O,'Indicators(perCrop)'!G$4)),$B17&lt;&gt;14,$B17&lt;&gt;15),AVERAGEIFS('Data(perCrop)'!$A:$A,'Data(perCrop)'!$B:$B,$A17,'Data(perCrop)'!$H:$H,$A$3,'Data(perCrop)'!$O:$O,'Indicators(perCrop)'!G$4),"")</f>
        <v/>
      </c>
      <c r="H17" s="7" t="str">
        <f t="shared" si="4"/>
        <v/>
      </c>
      <c r="I17" s="32" t="str">
        <f t="shared" si="5"/>
        <v/>
      </c>
      <c r="J17" s="7" t="e">
        <f>AVERAGEIFS('Data(perCrop)'!$D:$D,'Data(perCrop)'!$B:$B,$A17,'Data(perCrop)'!$H:$H,$A$3,'Data(perCrop)'!$O:$O,'Indicators(perCrop)'!C$4)</f>
        <v>#DIV/0!</v>
      </c>
      <c r="K17" s="7" t="e">
        <f>AVERAGEIFS('Data(perCrop)'!$D:$D,'Data(perCrop)'!$B:$B,$A17,'Data(perCrop)'!$H:$H,$A$3,'Data(perCrop)'!$O:$O,'Indicators(perCrop)'!D$4)</f>
        <v>#DIV/0!</v>
      </c>
      <c r="L17" s="7" t="e">
        <f>AVERAGEIFS('Data(perCrop)'!$D:$D,'Data(perCrop)'!$B:$B,$A17,'Data(perCrop)'!$H:$H,$A$3,'Data(perCrop)'!$O:$O,'Indicators(perCrop)'!E$4)</f>
        <v>#DIV/0!</v>
      </c>
      <c r="M17" s="7" t="e">
        <f>AVERAGEIFS('Data(perCrop)'!$D:$D,'Data(perCrop)'!$B:$B,$A17,'Data(perCrop)'!$H:$H,$A$3,'Data(perCrop)'!$O:$O,'Indicators(perCrop)'!F$4)</f>
        <v>#DIV/0!</v>
      </c>
      <c r="N17" s="7" t="e">
        <f>AVERAGEIFS('Data(perCrop)'!$D:$D,'Data(perCrop)'!$B:$B,$A17,'Data(perCrop)'!$H:$H,$A$3,'Data(perCrop)'!$O:$O,'Indicators(perCrop)'!G$4)</f>
        <v>#DIV/0!</v>
      </c>
      <c r="O17" s="7" t="e">
        <f t="shared" si="6"/>
        <v>#DIV/0!</v>
      </c>
      <c r="P17" s="7" t="e">
        <f>AVERAGEIFS('Data(perCrop)'!$E:$E,'Data(perCrop)'!$B:$B,$A17,'Data(perCrop)'!$H:$H,$A$3,'Data(perCrop)'!$O:$O,'Indicators(perCrop)'!J$4)</f>
        <v>#DIV/0!</v>
      </c>
      <c r="Q17" s="7" t="e">
        <f>AVERAGEIFS('Data(perCrop)'!$E:$E,'Data(perCrop)'!$B:$B,$A17,'Data(perCrop)'!$H:$H,$A$3,'Data(perCrop)'!$O:$O,'Indicators(perCrop)'!K$4)</f>
        <v>#DIV/0!</v>
      </c>
      <c r="R17" s="7" t="e">
        <f>AVERAGEIFS('Data(perCrop)'!$E:$E,'Data(perCrop)'!$B:$B,$A17,'Data(perCrop)'!$H:$H,$A$3,'Data(perCrop)'!$O:$O,'Indicators(perCrop)'!L$4)</f>
        <v>#DIV/0!</v>
      </c>
      <c r="S17" s="7" t="e">
        <f>AVERAGEIFS('Data(perCrop)'!$E:$E,'Data(perCrop)'!$B:$B,$A17,'Data(perCrop)'!$H:$H,$A$3,'Data(perCrop)'!$O:$O,'Indicators(perCrop)'!M$4)</f>
        <v>#DIV/0!</v>
      </c>
      <c r="T17" s="7" t="e">
        <f>AVERAGEIFS('Data(perCrop)'!$E:$E,'Data(perCrop)'!$B:$B,$A17,'Data(perCrop)'!$H:$H,$A$3,'Data(perCrop)'!$O:$O,'Indicators(perCrop)'!N$4)</f>
        <v>#DIV/0!</v>
      </c>
      <c r="U17" s="7" t="e">
        <f t="shared" si="7"/>
        <v>#DIV/0!</v>
      </c>
      <c r="V17" s="8" t="str">
        <f t="shared" si="8"/>
        <v/>
      </c>
      <c r="W17" s="8" t="str">
        <f t="shared" si="9"/>
        <v/>
      </c>
      <c r="X17" s="8" t="str">
        <f t="shared" si="10"/>
        <v/>
      </c>
      <c r="Y17" s="8" t="str">
        <f t="shared" si="11"/>
        <v/>
      </c>
      <c r="Z17" s="8" t="str">
        <f t="shared" si="12"/>
        <v/>
      </c>
      <c r="AA17" s="8" t="e">
        <f t="shared" si="25"/>
        <v>#DIV/0!</v>
      </c>
      <c r="AB17" s="8" t="str">
        <f>IF(AND(ISNUMBER(J17),$B17&lt;&gt;14,$B17&lt;&gt;15),(AVERAGEIFS('Data(perCrop)'!$L:$L,'Data(perCrop)'!$B:$B,'Indicators(perCrop)'!$A17,'Data(perCrop)'!$O:$O,'Indicators(perCrop)'!AB$4,'Data(perCrop)'!$H:$H,'Indicators(perCrop)'!$A$3)-AVERAGEIFS('Data(perCrop)'!$K:$K,'Data(perCrop)'!$B:$B,'Indicators(perCrop)'!$A17,'Data(perCrop)'!$O:$O,'Indicators(perCrop)'!AB$4,'Data(perCrop)'!$H:$H,'Indicators(perCrop)'!$A$3))/AVERAGEIFS('Data(perCrop)'!$L:$L,'Data(perCrop)'!$B:$B,'Indicators(perCrop)'!$A17,'Data(perCrop)'!$O:$O,'Indicators(perCrop)'!AB$4,'Data(perCrop)'!$H:$H,'Indicators(perCrop)'!$A$3),"")</f>
        <v/>
      </c>
      <c r="AC17" s="8" t="str">
        <f>IF(AND(ISNUMBER(K17),$B17&lt;&gt;14,$B17&lt;&gt;15),(AVERAGEIFS('Data(perCrop)'!$L:$L,'Data(perCrop)'!$B:$B,'Indicators(perCrop)'!$A17,'Data(perCrop)'!$O:$O,'Indicators(perCrop)'!AC$4,'Data(perCrop)'!$H:$H,'Indicators(perCrop)'!$A$3)-AVERAGEIFS('Data(perCrop)'!$K:$K,'Data(perCrop)'!$B:$B,'Indicators(perCrop)'!$A17,'Data(perCrop)'!$O:$O,'Indicators(perCrop)'!AC$4,'Data(perCrop)'!$H:$H,'Indicators(perCrop)'!$A$3))/AVERAGEIFS('Data(perCrop)'!$L:$L,'Data(perCrop)'!$B:$B,'Indicators(perCrop)'!$A17,'Data(perCrop)'!$O:$O,'Indicators(perCrop)'!AC$4,'Data(perCrop)'!$H:$H,'Indicators(perCrop)'!$A$3),"")</f>
        <v/>
      </c>
      <c r="AD17" s="8" t="str">
        <f>IF(AND(ISNUMBER(L17),$B17&lt;&gt;14,$B17&lt;&gt;15),(AVERAGEIFS('Data(perCrop)'!$L:$L,'Data(perCrop)'!$B:$B,'Indicators(perCrop)'!$A17,'Data(perCrop)'!$O:$O,'Indicators(perCrop)'!AD$4,'Data(perCrop)'!$H:$H,'Indicators(perCrop)'!$A$3)-AVERAGEIFS('Data(perCrop)'!$K:$K,'Data(perCrop)'!$B:$B,'Indicators(perCrop)'!$A17,'Data(perCrop)'!$O:$O,'Indicators(perCrop)'!AD$4,'Data(perCrop)'!$H:$H,'Indicators(perCrop)'!$A$3))/AVERAGEIFS('Data(perCrop)'!$L:$L,'Data(perCrop)'!$B:$B,'Indicators(perCrop)'!$A17,'Data(perCrop)'!$O:$O,'Indicators(perCrop)'!AD$4,'Data(perCrop)'!$H:$H,'Indicators(perCrop)'!$A$3),"")</f>
        <v/>
      </c>
      <c r="AE17" s="8" t="str">
        <f>IF(AND(ISNUMBER(M17),$B17&lt;&gt;14,$B17&lt;&gt;15),(AVERAGEIFS('Data(perCrop)'!$L:$L,'Data(perCrop)'!$B:$B,'Indicators(perCrop)'!$A17,'Data(perCrop)'!$O:$O,'Indicators(perCrop)'!AE$4,'Data(perCrop)'!$H:$H,'Indicators(perCrop)'!$A$3)-AVERAGEIFS('Data(perCrop)'!$K:$K,'Data(perCrop)'!$B:$B,'Indicators(perCrop)'!$A17,'Data(perCrop)'!$O:$O,'Indicators(perCrop)'!AE$4,'Data(perCrop)'!$H:$H,'Indicators(perCrop)'!$A$3))/AVERAGEIFS('Data(perCrop)'!$L:$L,'Data(perCrop)'!$B:$B,'Indicators(perCrop)'!$A17,'Data(perCrop)'!$O:$O,'Indicators(perCrop)'!AE$4,'Data(perCrop)'!$H:$H,'Indicators(perCrop)'!$A$3),"")</f>
        <v/>
      </c>
      <c r="AF17" s="8" t="str">
        <f>IF(AND(ISNUMBER(N17),$B17&lt;&gt;14,$B17&lt;&gt;15),(AVERAGEIFS('Data(perCrop)'!$L:$L,'Data(perCrop)'!$B:$B,'Indicators(perCrop)'!$A17,'Data(perCrop)'!$O:$O,'Indicators(perCrop)'!AF$4,'Data(perCrop)'!$H:$H,'Indicators(perCrop)'!$A$3)-AVERAGEIFS('Data(perCrop)'!$K:$K,'Data(perCrop)'!$B:$B,'Indicators(perCrop)'!$A17,'Data(perCrop)'!$O:$O,'Indicators(perCrop)'!AF$4,'Data(perCrop)'!$H:$H,'Indicators(perCrop)'!$A$3))/AVERAGEIFS('Data(perCrop)'!$L:$L,'Data(perCrop)'!$B:$B,'Indicators(perCrop)'!$A17,'Data(perCrop)'!$O:$O,'Indicators(perCrop)'!AF$4,'Data(perCrop)'!$H:$H,'Indicators(perCrop)'!$A$3),"")</f>
        <v/>
      </c>
      <c r="AG17" s="8" t="e">
        <f t="shared" si="13"/>
        <v>#DIV/0!</v>
      </c>
      <c r="AH17" s="8" t="str">
        <f>IF(AND(ISNUMBER(J17),$B17&lt;&gt;14,$B17&lt;&gt;15),AVERAGEIFS('Data(perSeason,perCrop)'!$M:$M,'Data(perSeason,perCrop)'!$K:$K,'Indicators(perCrop)'!$A$3,'Data(perSeason,perCrop)'!$C:$C,'Indicators(perCrop)'!$A17,'Data(perSeason,perCrop)'!$S:$S,'Indicators(perCrop)'!AH$4,'Data(perSeason,perCrop)'!$R:$R,"IRRIGATED")-AVERAGEIFS('Data(perSeason,perCrop)'!$N:$N,'Data(perSeason,perCrop)'!$K:$K,'Indicators(perCrop)'!$A$3,'Data(perSeason,perCrop)'!$C:$C,'Indicators(perCrop)'!$A17,'Data(perSeason,perCrop)'!$S:$S,'Indicators(perCrop)'!AH$4,'Data(perSeason,perCrop)'!$R:$R,"IRRIGATED"),"")</f>
        <v/>
      </c>
      <c r="AI17" s="8" t="str">
        <f>IF(AND(ISNUMBER(K17),$B17&lt;&gt;14,$B17&lt;&gt;15),AVERAGEIFS('Data(perSeason,perCrop)'!$M:$M,'Data(perSeason,perCrop)'!$K:$K,'Indicators(perCrop)'!$A$3,'Data(perSeason,perCrop)'!$C:$C,'Indicators(perCrop)'!$A17,'Data(perSeason,perCrop)'!$S:$S,'Indicators(perCrop)'!AI$4,'Data(perSeason,perCrop)'!$R:$R,"IRRIGATED")-AVERAGEIFS('Data(perSeason,perCrop)'!$N:$N,'Data(perSeason,perCrop)'!$K:$K,'Indicators(perCrop)'!$A$3,'Data(perSeason,perCrop)'!$C:$C,'Indicators(perCrop)'!$A17,'Data(perSeason,perCrop)'!$S:$S,'Indicators(perCrop)'!AI$4,'Data(perSeason,perCrop)'!$R:$R,"IRRIGATED"),"")</f>
        <v/>
      </c>
      <c r="AJ17" s="8" t="str">
        <f>IF(AND(ISNUMBER(L17),$B17&lt;&gt;14,$B17&lt;&gt;15),AVERAGEIFS('Data(perSeason,perCrop)'!$M:$M,'Data(perSeason,perCrop)'!$K:$K,'Indicators(perCrop)'!$A$3,'Data(perSeason,perCrop)'!$C:$C,'Indicators(perCrop)'!$A17,'Data(perSeason,perCrop)'!$S:$S,'Indicators(perCrop)'!AJ$4,'Data(perSeason,perCrop)'!$R:$R,"IRRIGATED")-AVERAGEIFS('Data(perSeason,perCrop)'!$N:$N,'Data(perSeason,perCrop)'!$K:$K,'Indicators(perCrop)'!$A$3,'Data(perSeason,perCrop)'!$C:$C,'Indicators(perCrop)'!$A17,'Data(perSeason,perCrop)'!$S:$S,'Indicators(perCrop)'!AJ$4,'Data(perSeason,perCrop)'!$R:$R,"IRRIGATED"),"")</f>
        <v/>
      </c>
      <c r="AK17" s="8" t="str">
        <f>IF(AND(ISNUMBER(M17),$B17&lt;&gt;14,$B17&lt;&gt;15),AVERAGEIFS('Data(perSeason,perCrop)'!$M:$M,'Data(perSeason,perCrop)'!$K:$K,'Indicators(perCrop)'!$A$3,'Data(perSeason,perCrop)'!$C:$C,'Indicators(perCrop)'!$A17,'Data(perSeason,perCrop)'!$S:$S,'Indicators(perCrop)'!AK$4,'Data(perSeason,perCrop)'!$R:$R,"IRRIGATED")-AVERAGEIFS('Data(perSeason,perCrop)'!$N:$N,'Data(perSeason,perCrop)'!$K:$K,'Indicators(perCrop)'!$A$3,'Data(perSeason,perCrop)'!$C:$C,'Indicators(perCrop)'!$A17,'Data(perSeason,perCrop)'!$S:$S,'Indicators(perCrop)'!AK$4,'Data(perSeason,perCrop)'!$R:$R,"IRRIGATED"),"")</f>
        <v/>
      </c>
      <c r="AL17" s="8" t="str">
        <f>IF(AND(ISNUMBER(N17),$B17&lt;&gt;14,$B17&lt;&gt;15),AVERAGEIFS('Data(perSeason,perCrop)'!$M:$M,'Data(perSeason,perCrop)'!$K:$K,'Indicators(perCrop)'!$A$3,'Data(perSeason,perCrop)'!$C:$C,'Indicators(perCrop)'!$A17,'Data(perSeason,perCrop)'!$S:$S,'Indicators(perCrop)'!AL$4,'Data(perSeason,perCrop)'!$R:$R,"IRRIGATED")-AVERAGEIFS('Data(perSeason,perCrop)'!$N:$N,'Data(perSeason,perCrop)'!$K:$K,'Indicators(perCrop)'!$A$3,'Data(perSeason,perCrop)'!$C:$C,'Indicators(perCrop)'!$A17,'Data(perSeason,perCrop)'!$S:$S,'Indicators(perCrop)'!AL$4,'Data(perSeason,perCrop)'!$R:$R,"IRRIGATED"),"")</f>
        <v/>
      </c>
      <c r="AM17" s="8" t="e">
        <f t="shared" si="14"/>
        <v>#DIV/0!</v>
      </c>
      <c r="AN17" s="7" t="e">
        <f>AVERAGEIFS('Data(perCrop)'!$K:$K,'Data(perCrop)'!$B:$B,$A17,'Data(perCrop)'!$H:$H,$A$3,'Data(perCrop)'!$O:$O,'Indicators(perCrop)'!C$4)</f>
        <v>#DIV/0!</v>
      </c>
      <c r="AO17" s="7" t="e">
        <f>AVERAGEIFS('Data(perCrop)'!$K:$K,'Data(perCrop)'!$B:$B,$A17,'Data(perCrop)'!$H:$H,$A$3,'Data(perCrop)'!$O:$O,'Indicators(perCrop)'!D$4)</f>
        <v>#DIV/0!</v>
      </c>
      <c r="AP17" s="7" t="e">
        <f>AVERAGEIFS('Data(perCrop)'!$K:$K,'Data(perCrop)'!$B:$B,$A17,'Data(perCrop)'!$H:$H,$A$3,'Data(perCrop)'!$O:$O,'Indicators(perCrop)'!E$4)</f>
        <v>#DIV/0!</v>
      </c>
      <c r="AQ17" s="7" t="e">
        <f>AVERAGEIFS('Data(perCrop)'!$K:$K,'Data(perCrop)'!$B:$B,$A17,'Data(perCrop)'!$H:$H,$A$3,'Data(perCrop)'!$O:$O,'Indicators(perCrop)'!F$4)</f>
        <v>#DIV/0!</v>
      </c>
      <c r="AR17" s="7" t="e">
        <f>AVERAGEIFS('Data(perCrop)'!$K:$K,'Data(perCrop)'!$B:$B,$A17,'Data(perCrop)'!$H:$H,$A$3,'Data(perCrop)'!$O:$O,'Indicators(perCrop)'!G$4)</f>
        <v>#DIV/0!</v>
      </c>
      <c r="AS17" s="8" t="e">
        <f t="shared" si="15"/>
        <v>#DIV/0!</v>
      </c>
      <c r="AT17" s="51">
        <v>1</v>
      </c>
      <c r="AU17" s="51">
        <v>0.65</v>
      </c>
      <c r="AV17" s="8" t="str">
        <f t="shared" si="16"/>
        <v/>
      </c>
      <c r="AW17" s="8" t="str">
        <f t="shared" si="17"/>
        <v/>
      </c>
      <c r="AX17" s="8" t="str">
        <f t="shared" si="18"/>
        <v/>
      </c>
      <c r="AY17" s="8" t="str">
        <f t="shared" si="19"/>
        <v/>
      </c>
      <c r="AZ17" s="8" t="str">
        <f t="shared" si="20"/>
        <v/>
      </c>
      <c r="BA17" s="8" t="e">
        <f t="shared" si="23"/>
        <v>#DIV/0!</v>
      </c>
      <c r="BB17" s="7">
        <f>SUMIFS('Data(perSeason,perCrop)'!$A:$A,'Data(perSeason,perCrop)'!$C:$C,'Indicators(perCrop)'!$A17,'Data(perSeason,perCrop)'!$R:$R,"IRRIGATED",'Data(perSeason,perCrop)'!$O:$O,'Indicators(perCrop)'!BB$4)/5</f>
        <v>0</v>
      </c>
      <c r="BC17" s="7">
        <f>SUMIFS('Data(perSeason,perCrop)'!$A:$A,'Data(perSeason,perCrop)'!$C:$C,'Indicators(perCrop)'!$A17,'Data(perSeason,perCrop)'!$R:$R,"IRRIGATED",'Data(perSeason,perCrop)'!$O:$O,'Indicators(perCrop)'!BC$4)/5</f>
        <v>0</v>
      </c>
      <c r="BD17" s="7">
        <f>SUMIFS('Data(perSeason,perCrop)'!$A:$A,'Data(perSeason,perCrop)'!$C:$C,'Indicators(perCrop)'!$A17,'Data(perSeason,perCrop)'!$R:$R,"IRRIGATED",'Data(perSeason,perCrop)'!$O:$O,'Indicators(perCrop)'!BD$4)/5</f>
        <v>0</v>
      </c>
      <c r="BE17" s="7" t="e">
        <f>AVERAGEIFS('Data(perSeason,perCrop)'!$G:$G,'Data(perSeason,perCrop)'!$C:$C,'Indicators(perCrop)'!$A17,'Data(perSeason,perCrop)'!$R:$R,"IRRIGATED",'Data(perSeason,perCrop)'!$O:$O,'Indicators(perCrop)'!BE$4)</f>
        <v>#DIV/0!</v>
      </c>
      <c r="BF17" s="7" t="e">
        <f>AVERAGEIFS('Data(perSeason,perCrop)'!$G:$G,'Data(perSeason,perCrop)'!$C:$C,'Indicators(perCrop)'!$A17,'Data(perSeason,perCrop)'!$R:$R,"IRRIGATED",'Data(perSeason,perCrop)'!$O:$O,'Indicators(perCrop)'!BF$4)</f>
        <v>#DIV/0!</v>
      </c>
      <c r="BG17" s="7" t="e">
        <f>AVERAGEIFS('Data(perSeason,perCrop)'!$G:$G,'Data(perSeason,perCrop)'!$C:$C,'Indicators(perCrop)'!$A17,'Data(perSeason,perCrop)'!$R:$R,"IRRIGATED",'Data(perSeason,perCrop)'!$O:$O,'Indicators(perCrop)'!BG$4)</f>
        <v>#DIV/0!</v>
      </c>
      <c r="BH17" s="7" t="str">
        <f t="shared" si="24"/>
        <v/>
      </c>
      <c r="BI17" s="7" t="str">
        <f t="shared" si="21"/>
        <v/>
      </c>
      <c r="BJ17" s="7" t="str">
        <f t="shared" si="22"/>
        <v/>
      </c>
      <c r="BK17" s="25" t="e">
        <f>AVERAGEIFS('Data(perCrop)'!F:F,'Data(perCrop)'!$B:$B,A17)</f>
        <v>#DIV/0!</v>
      </c>
      <c r="BL17" s="8" t="str">
        <f t="shared" si="2"/>
        <v/>
      </c>
      <c r="BM17" s="32" t="str">
        <f t="shared" si="3"/>
        <v/>
      </c>
    </row>
    <row r="18" spans="1:65" x14ac:dyDescent="0.25">
      <c r="A18" s="9" t="s">
        <v>55</v>
      </c>
      <c r="B18">
        <v>14</v>
      </c>
      <c r="C18" s="7" t="str">
        <f>IF(AND(ISNUMBER(AVERAGEIFS('Data(perCrop)'!$A:$A,'Data(perCrop)'!$B:$B,$A18,'Data(perCrop)'!$H:$H,$A$3,'Data(perCrop)'!$O:$O,'Indicators(perCrop)'!C$4)),$B18&lt;&gt;14,$B18&lt;&gt;15),AVERAGEIFS('Data(perCrop)'!$A:$A,'Data(perCrop)'!$B:$B,$A18,'Data(perCrop)'!$H:$H,$A$3,'Data(perCrop)'!$O:$O,'Indicators(perCrop)'!C$4),"")</f>
        <v/>
      </c>
      <c r="D18" s="7" t="str">
        <f>IF(AND(ISNUMBER(AVERAGEIFS('Data(perCrop)'!$A:$A,'Data(perCrop)'!$B:$B,$A18,'Data(perCrop)'!$H:$H,$A$3,'Data(perCrop)'!$O:$O,'Indicators(perCrop)'!D$4)),$B18&lt;&gt;14,$B18&lt;&gt;15),AVERAGEIFS('Data(perCrop)'!$A:$A,'Data(perCrop)'!$B:$B,$A18,'Data(perCrop)'!$H:$H,$A$3,'Data(perCrop)'!$O:$O,'Indicators(perCrop)'!D$4),"")</f>
        <v/>
      </c>
      <c r="E18" s="7" t="str">
        <f>IF(AND(ISNUMBER(AVERAGEIFS('Data(perCrop)'!$A:$A,'Data(perCrop)'!$B:$B,$A18,'Data(perCrop)'!$H:$H,$A$3,'Data(perCrop)'!$O:$O,'Indicators(perCrop)'!E$4)),$B18&lt;&gt;14,$B18&lt;&gt;15),AVERAGEIFS('Data(perCrop)'!$A:$A,'Data(perCrop)'!$B:$B,$A18,'Data(perCrop)'!$H:$H,$A$3,'Data(perCrop)'!$O:$O,'Indicators(perCrop)'!E$4),"")</f>
        <v/>
      </c>
      <c r="F18" s="7" t="str">
        <f>IF(AND(ISNUMBER(AVERAGEIFS('Data(perCrop)'!$A:$A,'Data(perCrop)'!$B:$B,$A18,'Data(perCrop)'!$H:$H,$A$3,'Data(perCrop)'!$O:$O,'Indicators(perCrop)'!F$4)),$B18&lt;&gt;14,$B18&lt;&gt;15),AVERAGEIFS('Data(perCrop)'!$A:$A,'Data(perCrop)'!$B:$B,$A18,'Data(perCrop)'!$H:$H,$A$3,'Data(perCrop)'!$O:$O,'Indicators(perCrop)'!F$4),"")</f>
        <v/>
      </c>
      <c r="G18" s="7" t="str">
        <f>IF(AND(ISNUMBER(AVERAGEIFS('Data(perCrop)'!$A:$A,'Data(perCrop)'!$B:$B,$A18,'Data(perCrop)'!$H:$H,$A$3,'Data(perCrop)'!$O:$O,'Indicators(perCrop)'!G$4)),$B18&lt;&gt;14,$B18&lt;&gt;15),AVERAGEIFS('Data(perCrop)'!$A:$A,'Data(perCrop)'!$B:$B,$A18,'Data(perCrop)'!$H:$H,$A$3,'Data(perCrop)'!$O:$O,'Indicators(perCrop)'!G$4),"")</f>
        <v/>
      </c>
      <c r="H18" s="7">
        <f>'Data(FAO-AQUASTAT)'!B18</f>
        <v>1894.5166691436302</v>
      </c>
      <c r="I18" s="32">
        <f t="shared" si="5"/>
        <v>0.18290789825585893</v>
      </c>
      <c r="J18" s="7">
        <f>AVERAGEIFS('Data(perCrop)'!$D:$D,'Data(perCrop)'!$B:$B,$A18,'Data(perCrop)'!$H:$H,$A$3,'Data(perCrop)'!$O:$O,'Indicators(perCrop)'!C$4)</f>
        <v>482</v>
      </c>
      <c r="K18" s="7">
        <f>AVERAGEIFS('Data(perCrop)'!$D:$D,'Data(perCrop)'!$B:$B,$A18,'Data(perCrop)'!$H:$H,$A$3,'Data(perCrop)'!$O:$O,'Indicators(perCrop)'!D$4)</f>
        <v>477</v>
      </c>
      <c r="L18" s="7">
        <f>AVERAGEIFS('Data(perCrop)'!$D:$D,'Data(perCrop)'!$B:$B,$A18,'Data(perCrop)'!$H:$H,$A$3,'Data(perCrop)'!$O:$O,'Indicators(perCrop)'!E$4)</f>
        <v>425</v>
      </c>
      <c r="M18" s="7">
        <f>AVERAGEIFS('Data(perCrop)'!$D:$D,'Data(perCrop)'!$B:$B,$A18,'Data(perCrop)'!$H:$H,$A$3,'Data(perCrop)'!$O:$O,'Indicators(perCrop)'!F$4)</f>
        <v>471</v>
      </c>
      <c r="N18" s="7">
        <f>AVERAGEIFS('Data(perCrop)'!$D:$D,'Data(perCrop)'!$B:$B,$A18,'Data(perCrop)'!$H:$H,$A$3,'Data(perCrop)'!$O:$O,'Indicators(perCrop)'!G$4)</f>
        <v>451</v>
      </c>
      <c r="O18" s="7">
        <f t="shared" si="6"/>
        <v>461.2</v>
      </c>
      <c r="P18" s="7">
        <f>AVERAGEIFS('Data(perCrop)'!$E:$E,'Data(perCrop)'!$B:$B,$A18,'Data(perCrop)'!$H:$H,$A$3,'Data(perCrop)'!$O:$O,'Indicators(perCrop)'!J$4)</f>
        <v>571</v>
      </c>
      <c r="Q18" s="7">
        <f>AVERAGEIFS('Data(perCrop)'!$E:$E,'Data(perCrop)'!$B:$B,$A18,'Data(perCrop)'!$H:$H,$A$3,'Data(perCrop)'!$O:$O,'Indicators(perCrop)'!K$4)</f>
        <v>537</v>
      </c>
      <c r="R18" s="7">
        <f>AVERAGEIFS('Data(perCrop)'!$E:$E,'Data(perCrop)'!$B:$B,$A18,'Data(perCrop)'!$H:$H,$A$3,'Data(perCrop)'!$O:$O,'Indicators(perCrop)'!L$4)</f>
        <v>523</v>
      </c>
      <c r="S18" s="7">
        <f>AVERAGEIFS('Data(perCrop)'!$E:$E,'Data(perCrop)'!$B:$B,$A18,'Data(perCrop)'!$H:$H,$A$3,'Data(perCrop)'!$O:$O,'Indicators(perCrop)'!M$4)</f>
        <v>571</v>
      </c>
      <c r="T18" s="7">
        <f>AVERAGEIFS('Data(perCrop)'!$E:$E,'Data(perCrop)'!$B:$B,$A18,'Data(perCrop)'!$H:$H,$A$3,'Data(perCrop)'!$O:$O,'Indicators(perCrop)'!N$4)</f>
        <v>557</v>
      </c>
      <c r="U18" s="7">
        <f t="shared" si="7"/>
        <v>551.79999999999995</v>
      </c>
      <c r="V18" s="8" t="str">
        <f t="shared" si="8"/>
        <v/>
      </c>
      <c r="W18" s="8" t="str">
        <f t="shared" si="9"/>
        <v/>
      </c>
      <c r="X18" s="8" t="str">
        <f t="shared" si="10"/>
        <v/>
      </c>
      <c r="Y18" s="8" t="str">
        <f t="shared" si="11"/>
        <v/>
      </c>
      <c r="Z18" s="8" t="str">
        <f t="shared" si="12"/>
        <v/>
      </c>
      <c r="AA18" s="8" t="e">
        <f>AVERAGE(V18:Z18)</f>
        <v>#DIV/0!</v>
      </c>
      <c r="AB18" s="8" t="str">
        <f>IF(AND(ISNUMBER(J18),$B18&lt;&gt;14,$B18&lt;&gt;15),(AVERAGEIFS('Data(perCrop)'!$L:$L,'Data(perCrop)'!$B:$B,'Indicators(perCrop)'!$A18,'Data(perCrop)'!$O:$O,'Indicators(perCrop)'!AB$4,'Data(perCrop)'!$H:$H,'Indicators(perCrop)'!$A$3)-AVERAGEIFS('Data(perCrop)'!$K:$K,'Data(perCrop)'!$B:$B,'Indicators(perCrop)'!$A18,'Data(perCrop)'!$O:$O,'Indicators(perCrop)'!AB$4,'Data(perCrop)'!$H:$H,'Indicators(perCrop)'!$A$3))/AVERAGEIFS('Data(perCrop)'!$L:$L,'Data(perCrop)'!$B:$B,'Indicators(perCrop)'!$A18,'Data(perCrop)'!$O:$O,'Indicators(perCrop)'!AB$4,'Data(perCrop)'!$H:$H,'Indicators(perCrop)'!$A$3),"")</f>
        <v/>
      </c>
      <c r="AC18" s="8" t="str">
        <f>IF(AND(ISNUMBER(K18),$B18&lt;&gt;14,$B18&lt;&gt;15),(AVERAGEIFS('Data(perCrop)'!$L:$L,'Data(perCrop)'!$B:$B,'Indicators(perCrop)'!$A18,'Data(perCrop)'!$O:$O,'Indicators(perCrop)'!AC$4,'Data(perCrop)'!$H:$H,'Indicators(perCrop)'!$A$3)-AVERAGEIFS('Data(perCrop)'!$K:$K,'Data(perCrop)'!$B:$B,'Indicators(perCrop)'!$A18,'Data(perCrop)'!$O:$O,'Indicators(perCrop)'!AC$4,'Data(perCrop)'!$H:$H,'Indicators(perCrop)'!$A$3))/AVERAGEIFS('Data(perCrop)'!$L:$L,'Data(perCrop)'!$B:$B,'Indicators(perCrop)'!$A18,'Data(perCrop)'!$O:$O,'Indicators(perCrop)'!AC$4,'Data(perCrop)'!$H:$H,'Indicators(perCrop)'!$A$3),"")</f>
        <v/>
      </c>
      <c r="AD18" s="8" t="str">
        <f>IF(AND(ISNUMBER(L18),$B18&lt;&gt;14,$B18&lt;&gt;15),(AVERAGEIFS('Data(perCrop)'!$L:$L,'Data(perCrop)'!$B:$B,'Indicators(perCrop)'!$A18,'Data(perCrop)'!$O:$O,'Indicators(perCrop)'!AD$4,'Data(perCrop)'!$H:$H,'Indicators(perCrop)'!$A$3)-AVERAGEIFS('Data(perCrop)'!$K:$K,'Data(perCrop)'!$B:$B,'Indicators(perCrop)'!$A18,'Data(perCrop)'!$O:$O,'Indicators(perCrop)'!AD$4,'Data(perCrop)'!$H:$H,'Indicators(perCrop)'!$A$3))/AVERAGEIFS('Data(perCrop)'!$L:$L,'Data(perCrop)'!$B:$B,'Indicators(perCrop)'!$A18,'Data(perCrop)'!$O:$O,'Indicators(perCrop)'!AD$4,'Data(perCrop)'!$H:$H,'Indicators(perCrop)'!$A$3),"")</f>
        <v/>
      </c>
      <c r="AE18" s="8" t="str">
        <f>IF(AND(ISNUMBER(M18),$B18&lt;&gt;14,$B18&lt;&gt;15),(AVERAGEIFS('Data(perCrop)'!$L:$L,'Data(perCrop)'!$B:$B,'Indicators(perCrop)'!$A18,'Data(perCrop)'!$O:$O,'Indicators(perCrop)'!AE$4,'Data(perCrop)'!$H:$H,'Indicators(perCrop)'!$A$3)-AVERAGEIFS('Data(perCrop)'!$K:$K,'Data(perCrop)'!$B:$B,'Indicators(perCrop)'!$A18,'Data(perCrop)'!$O:$O,'Indicators(perCrop)'!AE$4,'Data(perCrop)'!$H:$H,'Indicators(perCrop)'!$A$3))/AVERAGEIFS('Data(perCrop)'!$L:$L,'Data(perCrop)'!$B:$B,'Indicators(perCrop)'!$A18,'Data(perCrop)'!$O:$O,'Indicators(perCrop)'!AE$4,'Data(perCrop)'!$H:$H,'Indicators(perCrop)'!$A$3),"")</f>
        <v/>
      </c>
      <c r="AF18" s="8" t="str">
        <f>IF(AND(ISNUMBER(N18),$B18&lt;&gt;14,$B18&lt;&gt;15),(AVERAGEIFS('Data(perCrop)'!$L:$L,'Data(perCrop)'!$B:$B,'Indicators(perCrop)'!$A18,'Data(perCrop)'!$O:$O,'Indicators(perCrop)'!AF$4,'Data(perCrop)'!$H:$H,'Indicators(perCrop)'!$A$3)-AVERAGEIFS('Data(perCrop)'!$K:$K,'Data(perCrop)'!$B:$B,'Indicators(perCrop)'!$A18,'Data(perCrop)'!$O:$O,'Indicators(perCrop)'!AF$4,'Data(perCrop)'!$H:$H,'Indicators(perCrop)'!$A$3))/AVERAGEIFS('Data(perCrop)'!$L:$L,'Data(perCrop)'!$B:$B,'Indicators(perCrop)'!$A18,'Data(perCrop)'!$O:$O,'Indicators(perCrop)'!AF$4,'Data(perCrop)'!$H:$H,'Indicators(perCrop)'!$A$3),"")</f>
        <v/>
      </c>
      <c r="AG18" s="8" t="e">
        <f t="shared" si="13"/>
        <v>#DIV/0!</v>
      </c>
      <c r="AH18" s="8" t="str">
        <f>IF(AND(ISNUMBER(J18),$B18&lt;&gt;14,$B18&lt;&gt;15),AVERAGEIFS('Data(perSeason,perCrop)'!$M:$M,'Data(perSeason,perCrop)'!$K:$K,'Indicators(perCrop)'!$A$3,'Data(perSeason,perCrop)'!$C:$C,'Indicators(perCrop)'!$A18,'Data(perSeason,perCrop)'!$S:$S,'Indicators(perCrop)'!AH$4,'Data(perSeason,perCrop)'!$R:$R,"IRRIGATED")-AVERAGEIFS('Data(perSeason,perCrop)'!$N:$N,'Data(perSeason,perCrop)'!$K:$K,'Indicators(perCrop)'!$A$3,'Data(perSeason,perCrop)'!$C:$C,'Indicators(perCrop)'!$A18,'Data(perSeason,perCrop)'!$S:$S,'Indicators(perCrop)'!AH$4,'Data(perSeason,perCrop)'!$R:$R,"IRRIGATED"),"")</f>
        <v/>
      </c>
      <c r="AI18" s="8" t="str">
        <f>IF(AND(ISNUMBER(K18),$B18&lt;&gt;14,$B18&lt;&gt;15),AVERAGEIFS('Data(perSeason,perCrop)'!$M:$M,'Data(perSeason,perCrop)'!$K:$K,'Indicators(perCrop)'!$A$3,'Data(perSeason,perCrop)'!$C:$C,'Indicators(perCrop)'!$A18,'Data(perSeason,perCrop)'!$S:$S,'Indicators(perCrop)'!AI$4,'Data(perSeason,perCrop)'!$R:$R,"IRRIGATED")-AVERAGEIFS('Data(perSeason,perCrop)'!$N:$N,'Data(perSeason,perCrop)'!$K:$K,'Indicators(perCrop)'!$A$3,'Data(perSeason,perCrop)'!$C:$C,'Indicators(perCrop)'!$A18,'Data(perSeason,perCrop)'!$S:$S,'Indicators(perCrop)'!AI$4,'Data(perSeason,perCrop)'!$R:$R,"IRRIGATED"),"")</f>
        <v/>
      </c>
      <c r="AJ18" s="8" t="str">
        <f>IF(AND(ISNUMBER(L18),$B18&lt;&gt;14,$B18&lt;&gt;15),AVERAGEIFS('Data(perSeason,perCrop)'!$M:$M,'Data(perSeason,perCrop)'!$K:$K,'Indicators(perCrop)'!$A$3,'Data(perSeason,perCrop)'!$C:$C,'Indicators(perCrop)'!$A18,'Data(perSeason,perCrop)'!$S:$S,'Indicators(perCrop)'!AJ$4,'Data(perSeason,perCrop)'!$R:$R,"IRRIGATED")-AVERAGEIFS('Data(perSeason,perCrop)'!$N:$N,'Data(perSeason,perCrop)'!$K:$K,'Indicators(perCrop)'!$A$3,'Data(perSeason,perCrop)'!$C:$C,'Indicators(perCrop)'!$A18,'Data(perSeason,perCrop)'!$S:$S,'Indicators(perCrop)'!AJ$4,'Data(perSeason,perCrop)'!$R:$R,"IRRIGATED"),"")</f>
        <v/>
      </c>
      <c r="AK18" s="8" t="str">
        <f>IF(AND(ISNUMBER(M18),$B18&lt;&gt;14,$B18&lt;&gt;15),AVERAGEIFS('Data(perSeason,perCrop)'!$M:$M,'Data(perSeason,perCrop)'!$K:$K,'Indicators(perCrop)'!$A$3,'Data(perSeason,perCrop)'!$C:$C,'Indicators(perCrop)'!$A18,'Data(perSeason,perCrop)'!$S:$S,'Indicators(perCrop)'!AK$4,'Data(perSeason,perCrop)'!$R:$R,"IRRIGATED")-AVERAGEIFS('Data(perSeason,perCrop)'!$N:$N,'Data(perSeason,perCrop)'!$K:$K,'Indicators(perCrop)'!$A$3,'Data(perSeason,perCrop)'!$C:$C,'Indicators(perCrop)'!$A18,'Data(perSeason,perCrop)'!$S:$S,'Indicators(perCrop)'!AK$4,'Data(perSeason,perCrop)'!$R:$R,"IRRIGATED"),"")</f>
        <v/>
      </c>
      <c r="AL18" s="8" t="str">
        <f>IF(AND(ISNUMBER(N18),$B18&lt;&gt;14,$B18&lt;&gt;15),AVERAGEIFS('Data(perSeason,perCrop)'!$M:$M,'Data(perSeason,perCrop)'!$K:$K,'Indicators(perCrop)'!$A$3,'Data(perSeason,perCrop)'!$C:$C,'Indicators(perCrop)'!$A18,'Data(perSeason,perCrop)'!$S:$S,'Indicators(perCrop)'!AL$4,'Data(perSeason,perCrop)'!$R:$R,"IRRIGATED")-AVERAGEIFS('Data(perSeason,perCrop)'!$N:$N,'Data(perSeason,perCrop)'!$K:$K,'Indicators(perCrop)'!$A$3,'Data(perSeason,perCrop)'!$C:$C,'Indicators(perCrop)'!$A18,'Data(perSeason,perCrop)'!$S:$S,'Indicators(perCrop)'!AL$4,'Data(perSeason,perCrop)'!$R:$R,"IRRIGATED"),"")</f>
        <v/>
      </c>
      <c r="AM18" s="8" t="e">
        <f t="shared" si="14"/>
        <v>#DIV/0!</v>
      </c>
      <c r="AN18" s="7">
        <f>AVERAGEIFS('Data(perCrop)'!$K:$K,'Data(perCrop)'!$B:$B,$A18,'Data(perCrop)'!$H:$H,$A$3,'Data(perCrop)'!$O:$O,'Indicators(perCrop)'!C$4)</f>
        <v>3689</v>
      </c>
      <c r="AO18" s="7">
        <f>AVERAGEIFS('Data(perCrop)'!$K:$K,'Data(perCrop)'!$B:$B,$A18,'Data(perCrop)'!$H:$H,$A$3,'Data(perCrop)'!$O:$O,'Indicators(perCrop)'!D$4)</f>
        <v>5521</v>
      </c>
      <c r="AP18" s="7">
        <f>AVERAGEIFS('Data(perCrop)'!$K:$K,'Data(perCrop)'!$B:$B,$A18,'Data(perCrop)'!$H:$H,$A$3,'Data(perCrop)'!$O:$O,'Indicators(perCrop)'!E$4)</f>
        <v>4005</v>
      </c>
      <c r="AQ18" s="7">
        <f>AVERAGEIFS('Data(perCrop)'!$K:$K,'Data(perCrop)'!$B:$B,$A18,'Data(perCrop)'!$H:$H,$A$3,'Data(perCrop)'!$O:$O,'Indicators(perCrop)'!F$4)</f>
        <v>2937</v>
      </c>
      <c r="AR18" s="7">
        <f>AVERAGEIFS('Data(perCrop)'!$K:$K,'Data(perCrop)'!$B:$B,$A18,'Data(perCrop)'!$H:$H,$A$3,'Data(perCrop)'!$O:$O,'Indicators(perCrop)'!G$4)</f>
        <v>3859</v>
      </c>
      <c r="AS18" s="8">
        <f t="shared" si="15"/>
        <v>4002.2</v>
      </c>
      <c r="AT18" s="50"/>
      <c r="AU18" s="50"/>
      <c r="AV18" s="50"/>
      <c r="AW18" s="50"/>
      <c r="AX18" s="50"/>
      <c r="AY18" s="50"/>
      <c r="AZ18" s="50"/>
      <c r="BA18" s="8"/>
      <c r="BB18" s="7">
        <f>SUMIFS('Data(perSeason,perCrop)'!$A:$A,'Data(perSeason,perCrop)'!$C:$C,'Indicators(perCrop)'!$A18,'Data(perSeason,perCrop)'!$R:$R,"IRRIGATED",'Data(perSeason,perCrop)'!$O:$O,'Indicators(perCrop)'!BB$4)/5</f>
        <v>101.03027267360402</v>
      </c>
      <c r="BC18" s="7">
        <f>SUMIFS('Data(perSeason,perCrop)'!$A:$A,'Data(perSeason,perCrop)'!$C:$C,'Indicators(perCrop)'!$A18,'Data(perSeason,perCrop)'!$R:$R,"IRRIGATED",'Data(perSeason,perCrop)'!$O:$O,'Indicators(perCrop)'!BC$4)/5</f>
        <v>0</v>
      </c>
      <c r="BD18" s="7">
        <f>SUMIFS('Data(perSeason,perCrop)'!$A:$A,'Data(perSeason,perCrop)'!$C:$C,'Indicators(perCrop)'!$A18,'Data(perSeason,perCrop)'!$R:$R,"IRRIGATED",'Data(perSeason,perCrop)'!$O:$O,'Indicators(perCrop)'!BD$4)/5</f>
        <v>1801.102061071088</v>
      </c>
      <c r="BE18" s="7">
        <f>AVERAGEIFS('Data(perSeason,perCrop)'!$G:$G,'Data(perSeason,perCrop)'!$C:$C,'Indicators(perCrop)'!$A18,'Data(perSeason,perCrop)'!$R:$R,"IRRIGATED",'Data(perSeason,perCrop)'!$O:$O,'Indicators(perCrop)'!BE$4)</f>
        <v>125.8</v>
      </c>
      <c r="BF18" s="7" t="e">
        <f>AVERAGEIFS('Data(perSeason,perCrop)'!$G:$G,'Data(perSeason,perCrop)'!$C:$C,'Indicators(perCrop)'!$A18,'Data(perSeason,perCrop)'!$R:$R,"IRRIGATED",'Data(perSeason,perCrop)'!$O:$O,'Indicators(perCrop)'!BF$4)</f>
        <v>#DIV/0!</v>
      </c>
      <c r="BG18" s="7">
        <f>AVERAGEIFS('Data(perSeason,perCrop)'!$G:$G,'Data(perSeason,perCrop)'!$C:$C,'Indicators(perCrop)'!$A18,'Data(perSeason,perCrop)'!$R:$R,"IRRIGATED",'Data(perSeason,perCrop)'!$O:$O,'Indicators(perCrop)'!BG$4)</f>
        <v>198.4</v>
      </c>
      <c r="BH18" s="7">
        <f t="shared" si="24"/>
        <v>6.7086283849296784</v>
      </c>
      <c r="BI18" s="7" t="str">
        <f t="shared" si="21"/>
        <v/>
      </c>
      <c r="BJ18" s="7">
        <f t="shared" si="22"/>
        <v>188.61731582337043</v>
      </c>
      <c r="BK18" s="25">
        <f>AVERAGEIFS('Data(perCrop)'!F:F,'Data(perCrop)'!$B:$B,A18)</f>
        <v>195.4</v>
      </c>
      <c r="BL18" s="8">
        <f t="shared" si="2"/>
        <v>3.7018855715066534</v>
      </c>
      <c r="BM18" s="32">
        <f t="shared" si="3"/>
        <v>0.30748754199755307</v>
      </c>
    </row>
    <row r="19" spans="1:65" x14ac:dyDescent="0.25">
      <c r="A19" s="9" t="s">
        <v>51</v>
      </c>
      <c r="B19">
        <v>15</v>
      </c>
      <c r="C19" s="7" t="str">
        <f>IF(AND(ISNUMBER(AVERAGEIFS('Data(perCrop)'!$A:$A,'Data(perCrop)'!$B:$B,$A19,'Data(perCrop)'!$H:$H,$A$3,'Data(perCrop)'!$O:$O,'Indicators(perCrop)'!C$4)),$B19&lt;&gt;14,$B19&lt;&gt;15),AVERAGEIFS('Data(perCrop)'!$A:$A,'Data(perCrop)'!$B:$B,$A19,'Data(perCrop)'!$H:$H,$A$3,'Data(perCrop)'!$O:$O,'Indicators(perCrop)'!C$4),"")</f>
        <v/>
      </c>
      <c r="D19" s="7" t="str">
        <f>IF(AND(ISNUMBER(AVERAGEIFS('Data(perCrop)'!$A:$A,'Data(perCrop)'!$B:$B,$A19,'Data(perCrop)'!$H:$H,$A$3,'Data(perCrop)'!$O:$O,'Indicators(perCrop)'!D$4)),$B19&lt;&gt;14,$B19&lt;&gt;15),AVERAGEIFS('Data(perCrop)'!$A:$A,'Data(perCrop)'!$B:$B,$A19,'Data(perCrop)'!$H:$H,$A$3,'Data(perCrop)'!$O:$O,'Indicators(perCrop)'!D$4),"")</f>
        <v/>
      </c>
      <c r="E19" s="7" t="str">
        <f>IF(AND(ISNUMBER(AVERAGEIFS('Data(perCrop)'!$A:$A,'Data(perCrop)'!$B:$B,$A19,'Data(perCrop)'!$H:$H,$A$3,'Data(perCrop)'!$O:$O,'Indicators(perCrop)'!E$4)),$B19&lt;&gt;14,$B19&lt;&gt;15),AVERAGEIFS('Data(perCrop)'!$A:$A,'Data(perCrop)'!$B:$B,$A19,'Data(perCrop)'!$H:$H,$A$3,'Data(perCrop)'!$O:$O,'Indicators(perCrop)'!E$4),"")</f>
        <v/>
      </c>
      <c r="F19" s="7" t="str">
        <f>IF(AND(ISNUMBER(AVERAGEIFS('Data(perCrop)'!$A:$A,'Data(perCrop)'!$B:$B,$A19,'Data(perCrop)'!$H:$H,$A$3,'Data(perCrop)'!$O:$O,'Indicators(perCrop)'!F$4)),$B19&lt;&gt;14,$B19&lt;&gt;15),AVERAGEIFS('Data(perCrop)'!$A:$A,'Data(perCrop)'!$B:$B,$A19,'Data(perCrop)'!$H:$H,$A$3,'Data(perCrop)'!$O:$O,'Indicators(perCrop)'!F$4),"")</f>
        <v/>
      </c>
      <c r="G19" s="7" t="str">
        <f>IF(AND(ISNUMBER(AVERAGEIFS('Data(perCrop)'!$A:$A,'Data(perCrop)'!$B:$B,$A19,'Data(perCrop)'!$H:$H,$A$3,'Data(perCrop)'!$O:$O,'Indicators(perCrop)'!G$4)),$B19&lt;&gt;14,$B19&lt;&gt;15),AVERAGEIFS('Data(perCrop)'!$A:$A,'Data(perCrop)'!$B:$B,$A19,'Data(perCrop)'!$H:$H,$A$3,'Data(perCrop)'!$O:$O,'Indicators(perCrop)'!G$4),"")</f>
        <v/>
      </c>
      <c r="H19" s="7">
        <f>'Data(FAO-AQUASTAT)'!B19</f>
        <v>554.11424438458744</v>
      </c>
      <c r="I19" s="32">
        <f t="shared" si="5"/>
        <v>5.3497482225813242E-2</v>
      </c>
      <c r="J19" s="7">
        <f>AVERAGEIFS('Data(perCrop)'!$D:$D,'Data(perCrop)'!$B:$B,$A19,'Data(perCrop)'!$H:$H,$A$3,'Data(perCrop)'!$O:$O,'Indicators(perCrop)'!C$4)</f>
        <v>310</v>
      </c>
      <c r="K19" s="7">
        <f>AVERAGEIFS('Data(perCrop)'!$D:$D,'Data(perCrop)'!$B:$B,$A19,'Data(perCrop)'!$H:$H,$A$3,'Data(perCrop)'!$O:$O,'Indicators(perCrop)'!D$4)</f>
        <v>345</v>
      </c>
      <c r="L19" s="7">
        <f>AVERAGEIFS('Data(perCrop)'!$D:$D,'Data(perCrop)'!$B:$B,$A19,'Data(perCrop)'!$H:$H,$A$3,'Data(perCrop)'!$O:$O,'Indicators(perCrop)'!E$4)</f>
        <v>313</v>
      </c>
      <c r="M19" s="7">
        <f>AVERAGEIFS('Data(perCrop)'!$D:$D,'Data(perCrop)'!$B:$B,$A19,'Data(perCrop)'!$H:$H,$A$3,'Data(perCrop)'!$O:$O,'Indicators(perCrop)'!F$4)</f>
        <v>276</v>
      </c>
      <c r="N19" s="7">
        <f>AVERAGEIFS('Data(perCrop)'!$D:$D,'Data(perCrop)'!$B:$B,$A19,'Data(perCrop)'!$H:$H,$A$3,'Data(perCrop)'!$O:$O,'Indicators(perCrop)'!G$4)</f>
        <v>296</v>
      </c>
      <c r="O19" s="7">
        <f t="shared" si="6"/>
        <v>308</v>
      </c>
      <c r="P19" s="7">
        <f>AVERAGEIFS('Data(perCrop)'!$E:$E,'Data(perCrop)'!$B:$B,$A19,'Data(perCrop)'!$H:$H,$A$3,'Data(perCrop)'!$O:$O,'Indicators(perCrop)'!J$4)</f>
        <v>370</v>
      </c>
      <c r="Q19" s="7">
        <f>AVERAGEIFS('Data(perCrop)'!$E:$E,'Data(perCrop)'!$B:$B,$A19,'Data(perCrop)'!$H:$H,$A$3,'Data(perCrop)'!$O:$O,'Indicators(perCrop)'!K$4)</f>
        <v>435</v>
      </c>
      <c r="R19" s="7">
        <f>AVERAGEIFS('Data(perCrop)'!$E:$E,'Data(perCrop)'!$B:$B,$A19,'Data(perCrop)'!$H:$H,$A$3,'Data(perCrop)'!$O:$O,'Indicators(perCrop)'!L$4)</f>
        <v>347</v>
      </c>
      <c r="S19" s="7">
        <f>AVERAGEIFS('Data(perCrop)'!$E:$E,'Data(perCrop)'!$B:$B,$A19,'Data(perCrop)'!$H:$H,$A$3,'Data(perCrop)'!$O:$O,'Indicators(perCrop)'!M$4)</f>
        <v>381</v>
      </c>
      <c r="T19" s="7">
        <f>AVERAGEIFS('Data(perCrop)'!$E:$E,'Data(perCrop)'!$B:$B,$A19,'Data(perCrop)'!$H:$H,$A$3,'Data(perCrop)'!$O:$O,'Indicators(perCrop)'!N$4)</f>
        <v>355</v>
      </c>
      <c r="U19" s="7">
        <f t="shared" si="7"/>
        <v>377.6</v>
      </c>
      <c r="V19" s="8" t="str">
        <f t="shared" si="8"/>
        <v/>
      </c>
      <c r="W19" s="8" t="str">
        <f t="shared" si="9"/>
        <v/>
      </c>
      <c r="X19" s="8" t="str">
        <f t="shared" si="10"/>
        <v/>
      </c>
      <c r="Y19" s="8" t="str">
        <f t="shared" si="11"/>
        <v/>
      </c>
      <c r="Z19" s="8" t="str">
        <f t="shared" si="12"/>
        <v/>
      </c>
      <c r="AA19" s="8" t="e">
        <f t="shared" si="25"/>
        <v>#DIV/0!</v>
      </c>
      <c r="AB19" s="8" t="str">
        <f>IF(AND(ISNUMBER(J19),$B19&lt;&gt;14,$B19&lt;&gt;15),(AVERAGEIFS('Data(perCrop)'!$L:$L,'Data(perCrop)'!$B:$B,'Indicators(perCrop)'!$A19,'Data(perCrop)'!$O:$O,'Indicators(perCrop)'!AB$4,'Data(perCrop)'!$H:$H,'Indicators(perCrop)'!$A$3)-AVERAGEIFS('Data(perCrop)'!$K:$K,'Data(perCrop)'!$B:$B,'Indicators(perCrop)'!$A19,'Data(perCrop)'!$O:$O,'Indicators(perCrop)'!AB$4,'Data(perCrop)'!$H:$H,'Indicators(perCrop)'!$A$3))/AVERAGEIFS('Data(perCrop)'!$L:$L,'Data(perCrop)'!$B:$B,'Indicators(perCrop)'!$A19,'Data(perCrop)'!$O:$O,'Indicators(perCrop)'!AB$4,'Data(perCrop)'!$H:$H,'Indicators(perCrop)'!$A$3),"")</f>
        <v/>
      </c>
      <c r="AC19" s="8" t="str">
        <f>IF(AND(ISNUMBER(K19),$B19&lt;&gt;14,$B19&lt;&gt;15),(AVERAGEIFS('Data(perCrop)'!$L:$L,'Data(perCrop)'!$B:$B,'Indicators(perCrop)'!$A19,'Data(perCrop)'!$O:$O,'Indicators(perCrop)'!AC$4,'Data(perCrop)'!$H:$H,'Indicators(perCrop)'!$A$3)-AVERAGEIFS('Data(perCrop)'!$K:$K,'Data(perCrop)'!$B:$B,'Indicators(perCrop)'!$A19,'Data(perCrop)'!$O:$O,'Indicators(perCrop)'!AC$4,'Data(perCrop)'!$H:$H,'Indicators(perCrop)'!$A$3))/AVERAGEIFS('Data(perCrop)'!$L:$L,'Data(perCrop)'!$B:$B,'Indicators(perCrop)'!$A19,'Data(perCrop)'!$O:$O,'Indicators(perCrop)'!AC$4,'Data(perCrop)'!$H:$H,'Indicators(perCrop)'!$A$3),"")</f>
        <v/>
      </c>
      <c r="AD19" s="8" t="str">
        <f>IF(AND(ISNUMBER(L19),$B19&lt;&gt;14,$B19&lt;&gt;15),(AVERAGEIFS('Data(perCrop)'!$L:$L,'Data(perCrop)'!$B:$B,'Indicators(perCrop)'!$A19,'Data(perCrop)'!$O:$O,'Indicators(perCrop)'!AD$4,'Data(perCrop)'!$H:$H,'Indicators(perCrop)'!$A$3)-AVERAGEIFS('Data(perCrop)'!$K:$K,'Data(perCrop)'!$B:$B,'Indicators(perCrop)'!$A19,'Data(perCrop)'!$O:$O,'Indicators(perCrop)'!AD$4,'Data(perCrop)'!$H:$H,'Indicators(perCrop)'!$A$3))/AVERAGEIFS('Data(perCrop)'!$L:$L,'Data(perCrop)'!$B:$B,'Indicators(perCrop)'!$A19,'Data(perCrop)'!$O:$O,'Indicators(perCrop)'!AD$4,'Data(perCrop)'!$H:$H,'Indicators(perCrop)'!$A$3),"")</f>
        <v/>
      </c>
      <c r="AE19" s="8" t="str">
        <f>IF(AND(ISNUMBER(M19),$B19&lt;&gt;14,$B19&lt;&gt;15),(AVERAGEIFS('Data(perCrop)'!$L:$L,'Data(perCrop)'!$B:$B,'Indicators(perCrop)'!$A19,'Data(perCrop)'!$O:$O,'Indicators(perCrop)'!AE$4,'Data(perCrop)'!$H:$H,'Indicators(perCrop)'!$A$3)-AVERAGEIFS('Data(perCrop)'!$K:$K,'Data(perCrop)'!$B:$B,'Indicators(perCrop)'!$A19,'Data(perCrop)'!$O:$O,'Indicators(perCrop)'!AE$4,'Data(perCrop)'!$H:$H,'Indicators(perCrop)'!$A$3))/AVERAGEIFS('Data(perCrop)'!$L:$L,'Data(perCrop)'!$B:$B,'Indicators(perCrop)'!$A19,'Data(perCrop)'!$O:$O,'Indicators(perCrop)'!AE$4,'Data(perCrop)'!$H:$H,'Indicators(perCrop)'!$A$3),"")</f>
        <v/>
      </c>
      <c r="AF19" s="8" t="str">
        <f>IF(AND(ISNUMBER(N19),$B19&lt;&gt;14,$B19&lt;&gt;15),(AVERAGEIFS('Data(perCrop)'!$L:$L,'Data(perCrop)'!$B:$B,'Indicators(perCrop)'!$A19,'Data(perCrop)'!$O:$O,'Indicators(perCrop)'!AF$4,'Data(perCrop)'!$H:$H,'Indicators(perCrop)'!$A$3)-AVERAGEIFS('Data(perCrop)'!$K:$K,'Data(perCrop)'!$B:$B,'Indicators(perCrop)'!$A19,'Data(perCrop)'!$O:$O,'Indicators(perCrop)'!AF$4,'Data(perCrop)'!$H:$H,'Indicators(perCrop)'!$A$3))/AVERAGEIFS('Data(perCrop)'!$L:$L,'Data(perCrop)'!$B:$B,'Indicators(perCrop)'!$A19,'Data(perCrop)'!$O:$O,'Indicators(perCrop)'!AF$4,'Data(perCrop)'!$H:$H,'Indicators(perCrop)'!$A$3),"")</f>
        <v/>
      </c>
      <c r="AG19" s="8" t="e">
        <f t="shared" si="13"/>
        <v>#DIV/0!</v>
      </c>
      <c r="AH19" s="8" t="str">
        <f>IF(AND(ISNUMBER(J19),$B19&lt;&gt;14,$B19&lt;&gt;15),AVERAGEIFS('Data(perSeason,perCrop)'!$M:$M,'Data(perSeason,perCrop)'!$K:$K,'Indicators(perCrop)'!$A$3,'Data(perSeason,perCrop)'!$C:$C,'Indicators(perCrop)'!$A19,'Data(perSeason,perCrop)'!$S:$S,'Indicators(perCrop)'!AH$4,'Data(perSeason,perCrop)'!$R:$R,"IRRIGATED")-AVERAGEIFS('Data(perSeason,perCrop)'!$N:$N,'Data(perSeason,perCrop)'!$K:$K,'Indicators(perCrop)'!$A$3,'Data(perSeason,perCrop)'!$C:$C,'Indicators(perCrop)'!$A19,'Data(perSeason,perCrop)'!$S:$S,'Indicators(perCrop)'!AH$4,'Data(perSeason,perCrop)'!$R:$R,"IRRIGATED"),"")</f>
        <v/>
      </c>
      <c r="AI19" s="8" t="str">
        <f>IF(AND(ISNUMBER(K19),$B19&lt;&gt;14,$B19&lt;&gt;15),AVERAGEIFS('Data(perSeason,perCrop)'!$M:$M,'Data(perSeason,perCrop)'!$K:$K,'Indicators(perCrop)'!$A$3,'Data(perSeason,perCrop)'!$C:$C,'Indicators(perCrop)'!$A19,'Data(perSeason,perCrop)'!$S:$S,'Indicators(perCrop)'!AI$4,'Data(perSeason,perCrop)'!$R:$R,"IRRIGATED")-AVERAGEIFS('Data(perSeason,perCrop)'!$N:$N,'Data(perSeason,perCrop)'!$K:$K,'Indicators(perCrop)'!$A$3,'Data(perSeason,perCrop)'!$C:$C,'Indicators(perCrop)'!$A19,'Data(perSeason,perCrop)'!$S:$S,'Indicators(perCrop)'!AI$4,'Data(perSeason,perCrop)'!$R:$R,"IRRIGATED"),"")</f>
        <v/>
      </c>
      <c r="AJ19" s="8" t="str">
        <f>IF(AND(ISNUMBER(L19),$B19&lt;&gt;14,$B19&lt;&gt;15),AVERAGEIFS('Data(perSeason,perCrop)'!$M:$M,'Data(perSeason,perCrop)'!$K:$K,'Indicators(perCrop)'!$A$3,'Data(perSeason,perCrop)'!$C:$C,'Indicators(perCrop)'!$A19,'Data(perSeason,perCrop)'!$S:$S,'Indicators(perCrop)'!AJ$4,'Data(perSeason,perCrop)'!$R:$R,"IRRIGATED")-AVERAGEIFS('Data(perSeason,perCrop)'!$N:$N,'Data(perSeason,perCrop)'!$K:$K,'Indicators(perCrop)'!$A$3,'Data(perSeason,perCrop)'!$C:$C,'Indicators(perCrop)'!$A19,'Data(perSeason,perCrop)'!$S:$S,'Indicators(perCrop)'!AJ$4,'Data(perSeason,perCrop)'!$R:$R,"IRRIGATED"),"")</f>
        <v/>
      </c>
      <c r="AK19" s="8" t="str">
        <f>IF(AND(ISNUMBER(M19),$B19&lt;&gt;14,$B19&lt;&gt;15),AVERAGEIFS('Data(perSeason,perCrop)'!$M:$M,'Data(perSeason,perCrop)'!$K:$K,'Indicators(perCrop)'!$A$3,'Data(perSeason,perCrop)'!$C:$C,'Indicators(perCrop)'!$A19,'Data(perSeason,perCrop)'!$S:$S,'Indicators(perCrop)'!AK$4,'Data(perSeason,perCrop)'!$R:$R,"IRRIGATED")-AVERAGEIFS('Data(perSeason,perCrop)'!$N:$N,'Data(perSeason,perCrop)'!$K:$K,'Indicators(perCrop)'!$A$3,'Data(perSeason,perCrop)'!$C:$C,'Indicators(perCrop)'!$A19,'Data(perSeason,perCrop)'!$S:$S,'Indicators(perCrop)'!AK$4,'Data(perSeason,perCrop)'!$R:$R,"IRRIGATED"),"")</f>
        <v/>
      </c>
      <c r="AL19" s="8" t="str">
        <f>IF(AND(ISNUMBER(N19),$B19&lt;&gt;14,$B19&lt;&gt;15),AVERAGEIFS('Data(perSeason,perCrop)'!$M:$M,'Data(perSeason,perCrop)'!$K:$K,'Indicators(perCrop)'!$A$3,'Data(perSeason,perCrop)'!$C:$C,'Indicators(perCrop)'!$A19,'Data(perSeason,perCrop)'!$S:$S,'Indicators(perCrop)'!AL$4,'Data(perSeason,perCrop)'!$R:$R,"IRRIGATED")-AVERAGEIFS('Data(perSeason,perCrop)'!$N:$N,'Data(perSeason,perCrop)'!$K:$K,'Indicators(perCrop)'!$A$3,'Data(perSeason,perCrop)'!$C:$C,'Indicators(perCrop)'!$A19,'Data(perSeason,perCrop)'!$S:$S,'Indicators(perCrop)'!AL$4,'Data(perSeason,perCrop)'!$R:$R,"IRRIGATED"),"")</f>
        <v/>
      </c>
      <c r="AM19" s="8" t="e">
        <f t="shared" si="14"/>
        <v>#DIV/0!</v>
      </c>
      <c r="AN19" s="7">
        <f>AVERAGEIFS('Data(perCrop)'!$K:$K,'Data(perCrop)'!$B:$B,$A19,'Data(perCrop)'!$H:$H,$A$3,'Data(perCrop)'!$O:$O,'Indicators(perCrop)'!C$4)</f>
        <v>5633</v>
      </c>
      <c r="AO19" s="7">
        <f>AVERAGEIFS('Data(perCrop)'!$K:$K,'Data(perCrop)'!$B:$B,$A19,'Data(perCrop)'!$H:$H,$A$3,'Data(perCrop)'!$O:$O,'Indicators(perCrop)'!D$4)</f>
        <v>5295</v>
      </c>
      <c r="AP19" s="7">
        <f>AVERAGEIFS('Data(perCrop)'!$K:$K,'Data(perCrop)'!$B:$B,$A19,'Data(perCrop)'!$H:$H,$A$3,'Data(perCrop)'!$O:$O,'Indicators(perCrop)'!E$4)</f>
        <v>4538</v>
      </c>
      <c r="AQ19" s="7">
        <f>AVERAGEIFS('Data(perCrop)'!$K:$K,'Data(perCrop)'!$B:$B,$A19,'Data(perCrop)'!$H:$H,$A$3,'Data(perCrop)'!$O:$O,'Indicators(perCrop)'!F$4)</f>
        <v>4859</v>
      </c>
      <c r="AR19" s="7">
        <f>AVERAGEIFS('Data(perCrop)'!$K:$K,'Data(perCrop)'!$B:$B,$A19,'Data(perCrop)'!$H:$H,$A$3,'Data(perCrop)'!$O:$O,'Indicators(perCrop)'!G$4)</f>
        <v>4130</v>
      </c>
      <c r="AS19" s="8">
        <f t="shared" si="15"/>
        <v>4891</v>
      </c>
      <c r="AT19" s="50"/>
      <c r="AU19" s="50"/>
      <c r="AV19" s="50"/>
      <c r="AW19" s="50"/>
      <c r="AX19" s="50"/>
      <c r="AY19" s="50"/>
      <c r="AZ19" s="50"/>
      <c r="BA19" s="8"/>
      <c r="BB19" s="7">
        <f>SUMIFS('Data(perSeason,perCrop)'!$A:$A,'Data(perSeason,perCrop)'!$C:$C,'Indicators(perCrop)'!$A19,'Data(perSeason,perCrop)'!$R:$R,"IRRIGATED",'Data(perSeason,perCrop)'!$O:$O,'Indicators(perCrop)'!BB$4)/5</f>
        <v>299.28095101223562</v>
      </c>
      <c r="BC19" s="7">
        <f>SUMIFS('Data(perSeason,perCrop)'!$A:$A,'Data(perSeason,perCrop)'!$C:$C,'Indicators(perCrop)'!$A19,'Data(perSeason,perCrop)'!$R:$R,"IRRIGATED",'Data(perSeason,perCrop)'!$O:$O,'Indicators(perCrop)'!BC$4)/5</f>
        <v>66.219954987197525</v>
      </c>
      <c r="BD19" s="7">
        <f>SUMIFS('Data(perSeason,perCrop)'!$A:$A,'Data(perSeason,perCrop)'!$C:$C,'Indicators(perCrop)'!$A19,'Data(perSeason,perCrop)'!$R:$R,"IRRIGATED",'Data(perSeason,perCrop)'!$O:$O,'Indicators(perCrop)'!BD$4)/5</f>
        <v>231.59986879907896</v>
      </c>
      <c r="BE19" s="7">
        <f>AVERAGEIFS('Data(perSeason,perCrop)'!$G:$G,'Data(perSeason,perCrop)'!$C:$C,'Indicators(perCrop)'!$A19,'Data(perSeason,perCrop)'!$R:$R,"IRRIGATED",'Data(perSeason,perCrop)'!$O:$O,'Indicators(perCrop)'!BE$4)</f>
        <v>67.400000000000006</v>
      </c>
      <c r="BF19" s="7">
        <f>AVERAGEIFS('Data(perSeason,perCrop)'!$G:$G,'Data(perSeason,perCrop)'!$C:$C,'Indicators(perCrop)'!$A19,'Data(perSeason,perCrop)'!$R:$R,"IRRIGATED",'Data(perSeason,perCrop)'!$O:$O,'Indicators(perCrop)'!BF$4)</f>
        <v>28.4</v>
      </c>
      <c r="BG19" s="7">
        <f>AVERAGEIFS('Data(perSeason,perCrop)'!$G:$G,'Data(perSeason,perCrop)'!$C:$C,'Indicators(perCrop)'!$A19,'Data(perSeason,perCrop)'!$R:$R,"IRRIGATED",'Data(perSeason,perCrop)'!$O:$O,'Indicators(perCrop)'!BG$4)</f>
        <v>74.400000000000006</v>
      </c>
      <c r="BH19" s="7">
        <f>IF(ISNUMBER(BE19),BE19*BB19/$H19,"")</f>
        <v>36.403208007452818</v>
      </c>
      <c r="BI19" s="7">
        <f t="shared" si="21"/>
        <v>3.393969277445847</v>
      </c>
      <c r="BJ19" s="7">
        <f t="shared" si="22"/>
        <v>31.096530026562796</v>
      </c>
      <c r="BK19" s="25">
        <f>AVERAGEIFS('Data(perCrop)'!F:F,'Data(perCrop)'!$B:$B,A19)</f>
        <v>73</v>
      </c>
      <c r="BL19" s="8">
        <f t="shared" si="2"/>
        <v>0.40450339840074884</v>
      </c>
      <c r="BM19" s="32">
        <f t="shared" si="3"/>
        <v>3.3599027658027018E-2</v>
      </c>
    </row>
    <row r="20" spans="1:65" x14ac:dyDescent="0.25">
      <c r="A20" s="9" t="s">
        <v>58</v>
      </c>
      <c r="B20">
        <v>17</v>
      </c>
      <c r="C20" s="7" t="str">
        <f>IF(AND(ISNUMBER(AVERAGEIFS('Data(perCrop)'!$A:$A,'Data(perCrop)'!$B:$B,$A20,'Data(perCrop)'!$H:$H,$A$3,'Data(perCrop)'!$O:$O,'Indicators(perCrop)'!C$4)),$B20&lt;&gt;14,$B20&lt;&gt;15),AVERAGEIFS('Data(perCrop)'!$A:$A,'Data(perCrop)'!$B:$B,$A20,'Data(perCrop)'!$H:$H,$A$3,'Data(perCrop)'!$O:$O,'Indicators(perCrop)'!C$4),"")</f>
        <v/>
      </c>
      <c r="D20" s="7" t="str">
        <f>IF(AND(ISNUMBER(AVERAGEIFS('Data(perCrop)'!$A:$A,'Data(perCrop)'!$B:$B,$A20,'Data(perCrop)'!$H:$H,$A$3,'Data(perCrop)'!$O:$O,'Indicators(perCrop)'!D$4)),$B20&lt;&gt;14,$B20&lt;&gt;15),AVERAGEIFS('Data(perCrop)'!$A:$A,'Data(perCrop)'!$B:$B,$A20,'Data(perCrop)'!$H:$H,$A$3,'Data(perCrop)'!$O:$O,'Indicators(perCrop)'!D$4),"")</f>
        <v/>
      </c>
      <c r="E20" s="7" t="str">
        <f>IF(AND(ISNUMBER(AVERAGEIFS('Data(perCrop)'!$A:$A,'Data(perCrop)'!$B:$B,$A20,'Data(perCrop)'!$H:$H,$A$3,'Data(perCrop)'!$O:$O,'Indicators(perCrop)'!E$4)),$B20&lt;&gt;14,$B20&lt;&gt;15),AVERAGEIFS('Data(perCrop)'!$A:$A,'Data(perCrop)'!$B:$B,$A20,'Data(perCrop)'!$H:$H,$A$3,'Data(perCrop)'!$O:$O,'Indicators(perCrop)'!E$4),"")</f>
        <v/>
      </c>
      <c r="F20" s="7" t="str">
        <f>IF(AND(ISNUMBER(AVERAGEIFS('Data(perCrop)'!$A:$A,'Data(perCrop)'!$B:$B,$A20,'Data(perCrop)'!$H:$H,$A$3,'Data(perCrop)'!$O:$O,'Indicators(perCrop)'!F$4)),$B20&lt;&gt;14,$B20&lt;&gt;15),AVERAGEIFS('Data(perCrop)'!$A:$A,'Data(perCrop)'!$B:$B,$A20,'Data(perCrop)'!$H:$H,$A$3,'Data(perCrop)'!$O:$O,'Indicators(perCrop)'!F$4),"")</f>
        <v/>
      </c>
      <c r="G20" s="7" t="str">
        <f>IF(AND(ISNUMBER(AVERAGEIFS('Data(perCrop)'!$A:$A,'Data(perCrop)'!$B:$B,$A20,'Data(perCrop)'!$H:$H,$A$3,'Data(perCrop)'!$O:$O,'Indicators(perCrop)'!G$4)),$B20&lt;&gt;14,$B20&lt;&gt;15),AVERAGEIFS('Data(perCrop)'!$A:$A,'Data(perCrop)'!$B:$B,$A20,'Data(perCrop)'!$H:$H,$A$3,'Data(perCrop)'!$O:$O,'Indicators(perCrop)'!G$4),"")</f>
        <v/>
      </c>
      <c r="H20" s="7" t="str">
        <f t="shared" si="4"/>
        <v/>
      </c>
      <c r="I20" s="32" t="str">
        <f t="shared" si="5"/>
        <v/>
      </c>
      <c r="J20" s="7" t="e">
        <f>AVERAGEIFS('Data(perCrop)'!$D:$D,'Data(perCrop)'!$B:$B,$A20,'Data(perCrop)'!$H:$H,$A$3,'Data(perCrop)'!$O:$O,'Indicators(perCrop)'!C$4)</f>
        <v>#DIV/0!</v>
      </c>
      <c r="K20" s="7" t="e">
        <f>AVERAGEIFS('Data(perCrop)'!$D:$D,'Data(perCrop)'!$B:$B,$A20,'Data(perCrop)'!$H:$H,$A$3,'Data(perCrop)'!$O:$O,'Indicators(perCrop)'!D$4)</f>
        <v>#DIV/0!</v>
      </c>
      <c r="L20" s="7" t="e">
        <f>AVERAGEIFS('Data(perCrop)'!$D:$D,'Data(perCrop)'!$B:$B,$A20,'Data(perCrop)'!$H:$H,$A$3,'Data(perCrop)'!$O:$O,'Indicators(perCrop)'!E$4)</f>
        <v>#DIV/0!</v>
      </c>
      <c r="M20" s="7" t="e">
        <f>AVERAGEIFS('Data(perCrop)'!$D:$D,'Data(perCrop)'!$B:$B,$A20,'Data(perCrop)'!$H:$H,$A$3,'Data(perCrop)'!$O:$O,'Indicators(perCrop)'!F$4)</f>
        <v>#DIV/0!</v>
      </c>
      <c r="N20" s="7" t="e">
        <f>AVERAGEIFS('Data(perCrop)'!$D:$D,'Data(perCrop)'!$B:$B,$A20,'Data(perCrop)'!$H:$H,$A$3,'Data(perCrop)'!$O:$O,'Indicators(perCrop)'!G$4)</f>
        <v>#DIV/0!</v>
      </c>
      <c r="O20" s="7" t="e">
        <f t="shared" si="6"/>
        <v>#DIV/0!</v>
      </c>
      <c r="P20" s="7" t="e">
        <f>AVERAGEIFS('Data(perCrop)'!$E:$E,'Data(perCrop)'!$B:$B,$A20,'Data(perCrop)'!$H:$H,$A$3,'Data(perCrop)'!$O:$O,'Indicators(perCrop)'!J$4)</f>
        <v>#DIV/0!</v>
      </c>
      <c r="Q20" s="7" t="e">
        <f>AVERAGEIFS('Data(perCrop)'!$E:$E,'Data(perCrop)'!$B:$B,$A20,'Data(perCrop)'!$H:$H,$A$3,'Data(perCrop)'!$O:$O,'Indicators(perCrop)'!K$4)</f>
        <v>#DIV/0!</v>
      </c>
      <c r="R20" s="7" t="e">
        <f>AVERAGEIFS('Data(perCrop)'!$E:$E,'Data(perCrop)'!$B:$B,$A20,'Data(perCrop)'!$H:$H,$A$3,'Data(perCrop)'!$O:$O,'Indicators(perCrop)'!L$4)</f>
        <v>#DIV/0!</v>
      </c>
      <c r="S20" s="7" t="e">
        <f>AVERAGEIFS('Data(perCrop)'!$E:$E,'Data(perCrop)'!$B:$B,$A20,'Data(perCrop)'!$H:$H,$A$3,'Data(perCrop)'!$O:$O,'Indicators(perCrop)'!M$4)</f>
        <v>#DIV/0!</v>
      </c>
      <c r="T20" s="7" t="e">
        <f>AVERAGEIFS('Data(perCrop)'!$E:$E,'Data(perCrop)'!$B:$B,$A20,'Data(perCrop)'!$H:$H,$A$3,'Data(perCrop)'!$O:$O,'Indicators(perCrop)'!N$4)</f>
        <v>#DIV/0!</v>
      </c>
      <c r="U20" s="7" t="e">
        <f t="shared" si="7"/>
        <v>#DIV/0!</v>
      </c>
      <c r="V20" s="8" t="str">
        <f t="shared" si="8"/>
        <v/>
      </c>
      <c r="W20" s="8" t="str">
        <f t="shared" si="9"/>
        <v/>
      </c>
      <c r="X20" s="8" t="str">
        <f t="shared" si="10"/>
        <v/>
      </c>
      <c r="Y20" s="8" t="str">
        <f t="shared" si="11"/>
        <v/>
      </c>
      <c r="Z20" s="8" t="str">
        <f t="shared" si="12"/>
        <v/>
      </c>
      <c r="AA20" s="8" t="e">
        <f t="shared" si="25"/>
        <v>#DIV/0!</v>
      </c>
      <c r="AB20" s="8" t="str">
        <f>IF(AND(ISNUMBER(J20),$B20&lt;&gt;14,$B20&lt;&gt;15),(AVERAGEIFS('Data(perCrop)'!$L:$L,'Data(perCrop)'!$B:$B,'Indicators(perCrop)'!$A20,'Data(perCrop)'!$O:$O,'Indicators(perCrop)'!AB$4,'Data(perCrop)'!$H:$H,'Indicators(perCrop)'!$A$3)-AVERAGEIFS('Data(perCrop)'!$K:$K,'Data(perCrop)'!$B:$B,'Indicators(perCrop)'!$A20,'Data(perCrop)'!$O:$O,'Indicators(perCrop)'!AB$4,'Data(perCrop)'!$H:$H,'Indicators(perCrop)'!$A$3))/AVERAGEIFS('Data(perCrop)'!$L:$L,'Data(perCrop)'!$B:$B,'Indicators(perCrop)'!$A20,'Data(perCrop)'!$O:$O,'Indicators(perCrop)'!AB$4,'Data(perCrop)'!$H:$H,'Indicators(perCrop)'!$A$3),"")</f>
        <v/>
      </c>
      <c r="AC20" s="8" t="str">
        <f>IF(AND(ISNUMBER(K20),$B20&lt;&gt;14,$B20&lt;&gt;15),(AVERAGEIFS('Data(perCrop)'!$L:$L,'Data(perCrop)'!$B:$B,'Indicators(perCrop)'!$A20,'Data(perCrop)'!$O:$O,'Indicators(perCrop)'!AC$4,'Data(perCrop)'!$H:$H,'Indicators(perCrop)'!$A$3)-AVERAGEIFS('Data(perCrop)'!$K:$K,'Data(perCrop)'!$B:$B,'Indicators(perCrop)'!$A20,'Data(perCrop)'!$O:$O,'Indicators(perCrop)'!AC$4,'Data(perCrop)'!$H:$H,'Indicators(perCrop)'!$A$3))/AVERAGEIFS('Data(perCrop)'!$L:$L,'Data(perCrop)'!$B:$B,'Indicators(perCrop)'!$A20,'Data(perCrop)'!$O:$O,'Indicators(perCrop)'!AC$4,'Data(perCrop)'!$H:$H,'Indicators(perCrop)'!$A$3),"")</f>
        <v/>
      </c>
      <c r="AD20" s="8" t="str">
        <f>IF(AND(ISNUMBER(L20),$B20&lt;&gt;14,$B20&lt;&gt;15),(AVERAGEIFS('Data(perCrop)'!$L:$L,'Data(perCrop)'!$B:$B,'Indicators(perCrop)'!$A20,'Data(perCrop)'!$O:$O,'Indicators(perCrop)'!AD$4,'Data(perCrop)'!$H:$H,'Indicators(perCrop)'!$A$3)-AVERAGEIFS('Data(perCrop)'!$K:$K,'Data(perCrop)'!$B:$B,'Indicators(perCrop)'!$A20,'Data(perCrop)'!$O:$O,'Indicators(perCrop)'!AD$4,'Data(perCrop)'!$H:$H,'Indicators(perCrop)'!$A$3))/AVERAGEIFS('Data(perCrop)'!$L:$L,'Data(perCrop)'!$B:$B,'Indicators(perCrop)'!$A20,'Data(perCrop)'!$O:$O,'Indicators(perCrop)'!AD$4,'Data(perCrop)'!$H:$H,'Indicators(perCrop)'!$A$3),"")</f>
        <v/>
      </c>
      <c r="AE20" s="8" t="str">
        <f>IF(AND(ISNUMBER(M20),$B20&lt;&gt;14,$B20&lt;&gt;15),(AVERAGEIFS('Data(perCrop)'!$L:$L,'Data(perCrop)'!$B:$B,'Indicators(perCrop)'!$A20,'Data(perCrop)'!$O:$O,'Indicators(perCrop)'!AE$4,'Data(perCrop)'!$H:$H,'Indicators(perCrop)'!$A$3)-AVERAGEIFS('Data(perCrop)'!$K:$K,'Data(perCrop)'!$B:$B,'Indicators(perCrop)'!$A20,'Data(perCrop)'!$O:$O,'Indicators(perCrop)'!AE$4,'Data(perCrop)'!$H:$H,'Indicators(perCrop)'!$A$3))/AVERAGEIFS('Data(perCrop)'!$L:$L,'Data(perCrop)'!$B:$B,'Indicators(perCrop)'!$A20,'Data(perCrop)'!$O:$O,'Indicators(perCrop)'!AE$4,'Data(perCrop)'!$H:$H,'Indicators(perCrop)'!$A$3),"")</f>
        <v/>
      </c>
      <c r="AF20" s="8" t="str">
        <f>IF(AND(ISNUMBER(N20),$B20&lt;&gt;14,$B20&lt;&gt;15),(AVERAGEIFS('Data(perCrop)'!$L:$L,'Data(perCrop)'!$B:$B,'Indicators(perCrop)'!$A20,'Data(perCrop)'!$O:$O,'Indicators(perCrop)'!AF$4,'Data(perCrop)'!$H:$H,'Indicators(perCrop)'!$A$3)-AVERAGEIFS('Data(perCrop)'!$K:$K,'Data(perCrop)'!$B:$B,'Indicators(perCrop)'!$A20,'Data(perCrop)'!$O:$O,'Indicators(perCrop)'!AF$4,'Data(perCrop)'!$H:$H,'Indicators(perCrop)'!$A$3))/AVERAGEIFS('Data(perCrop)'!$L:$L,'Data(perCrop)'!$B:$B,'Indicators(perCrop)'!$A20,'Data(perCrop)'!$O:$O,'Indicators(perCrop)'!AF$4,'Data(perCrop)'!$H:$H,'Indicators(perCrop)'!$A$3),"")</f>
        <v/>
      </c>
      <c r="AG20" s="8" t="e">
        <f t="shared" si="13"/>
        <v>#DIV/0!</v>
      </c>
      <c r="AH20" s="8" t="str">
        <f>IF(AND(ISNUMBER(J20),$B20&lt;&gt;14,$B20&lt;&gt;15),AVERAGEIFS('Data(perSeason,perCrop)'!$M:$M,'Data(perSeason,perCrop)'!$K:$K,'Indicators(perCrop)'!$A$3,'Data(perSeason,perCrop)'!$C:$C,'Indicators(perCrop)'!$A20,'Data(perSeason,perCrop)'!$S:$S,'Indicators(perCrop)'!AH$4,'Data(perSeason,perCrop)'!$R:$R,"IRRIGATED")-AVERAGEIFS('Data(perSeason,perCrop)'!$N:$N,'Data(perSeason,perCrop)'!$K:$K,'Indicators(perCrop)'!$A$3,'Data(perSeason,perCrop)'!$C:$C,'Indicators(perCrop)'!$A20,'Data(perSeason,perCrop)'!$S:$S,'Indicators(perCrop)'!AH$4,'Data(perSeason,perCrop)'!$R:$R,"IRRIGATED"),"")</f>
        <v/>
      </c>
      <c r="AI20" s="8" t="str">
        <f>IF(AND(ISNUMBER(K20),$B20&lt;&gt;14,$B20&lt;&gt;15),AVERAGEIFS('Data(perSeason,perCrop)'!$M:$M,'Data(perSeason,perCrop)'!$K:$K,'Indicators(perCrop)'!$A$3,'Data(perSeason,perCrop)'!$C:$C,'Indicators(perCrop)'!$A20,'Data(perSeason,perCrop)'!$S:$S,'Indicators(perCrop)'!AI$4,'Data(perSeason,perCrop)'!$R:$R,"IRRIGATED")-AVERAGEIFS('Data(perSeason,perCrop)'!$N:$N,'Data(perSeason,perCrop)'!$K:$K,'Indicators(perCrop)'!$A$3,'Data(perSeason,perCrop)'!$C:$C,'Indicators(perCrop)'!$A20,'Data(perSeason,perCrop)'!$S:$S,'Indicators(perCrop)'!AI$4,'Data(perSeason,perCrop)'!$R:$R,"IRRIGATED"),"")</f>
        <v/>
      </c>
      <c r="AJ20" s="8" t="str">
        <f>IF(AND(ISNUMBER(L20),$B20&lt;&gt;14,$B20&lt;&gt;15),AVERAGEIFS('Data(perSeason,perCrop)'!$M:$M,'Data(perSeason,perCrop)'!$K:$K,'Indicators(perCrop)'!$A$3,'Data(perSeason,perCrop)'!$C:$C,'Indicators(perCrop)'!$A20,'Data(perSeason,perCrop)'!$S:$S,'Indicators(perCrop)'!AJ$4,'Data(perSeason,perCrop)'!$R:$R,"IRRIGATED")-AVERAGEIFS('Data(perSeason,perCrop)'!$N:$N,'Data(perSeason,perCrop)'!$K:$K,'Indicators(perCrop)'!$A$3,'Data(perSeason,perCrop)'!$C:$C,'Indicators(perCrop)'!$A20,'Data(perSeason,perCrop)'!$S:$S,'Indicators(perCrop)'!AJ$4,'Data(perSeason,perCrop)'!$R:$R,"IRRIGATED"),"")</f>
        <v/>
      </c>
      <c r="AK20" s="8" t="str">
        <f>IF(AND(ISNUMBER(M20),$B20&lt;&gt;14,$B20&lt;&gt;15),AVERAGEIFS('Data(perSeason,perCrop)'!$M:$M,'Data(perSeason,perCrop)'!$K:$K,'Indicators(perCrop)'!$A$3,'Data(perSeason,perCrop)'!$C:$C,'Indicators(perCrop)'!$A20,'Data(perSeason,perCrop)'!$S:$S,'Indicators(perCrop)'!AK$4,'Data(perSeason,perCrop)'!$R:$R,"IRRIGATED")-AVERAGEIFS('Data(perSeason,perCrop)'!$N:$N,'Data(perSeason,perCrop)'!$K:$K,'Indicators(perCrop)'!$A$3,'Data(perSeason,perCrop)'!$C:$C,'Indicators(perCrop)'!$A20,'Data(perSeason,perCrop)'!$S:$S,'Indicators(perCrop)'!AK$4,'Data(perSeason,perCrop)'!$R:$R,"IRRIGATED"),"")</f>
        <v/>
      </c>
      <c r="AL20" s="8" t="str">
        <f>IF(AND(ISNUMBER(N20),$B20&lt;&gt;14,$B20&lt;&gt;15),AVERAGEIFS('Data(perSeason,perCrop)'!$M:$M,'Data(perSeason,perCrop)'!$K:$K,'Indicators(perCrop)'!$A$3,'Data(perSeason,perCrop)'!$C:$C,'Indicators(perCrop)'!$A20,'Data(perSeason,perCrop)'!$S:$S,'Indicators(perCrop)'!AL$4,'Data(perSeason,perCrop)'!$R:$R,"IRRIGATED")-AVERAGEIFS('Data(perSeason,perCrop)'!$N:$N,'Data(perSeason,perCrop)'!$K:$K,'Indicators(perCrop)'!$A$3,'Data(perSeason,perCrop)'!$C:$C,'Indicators(perCrop)'!$A20,'Data(perSeason,perCrop)'!$S:$S,'Indicators(perCrop)'!AL$4,'Data(perSeason,perCrop)'!$R:$R,"IRRIGATED"),"")</f>
        <v/>
      </c>
      <c r="AM20" s="8" t="e">
        <f t="shared" si="14"/>
        <v>#DIV/0!</v>
      </c>
      <c r="AN20" s="7" t="e">
        <f>AVERAGEIFS('Data(perCrop)'!$K:$K,'Data(perCrop)'!$B:$B,$A20,'Data(perCrop)'!$H:$H,$A$3,'Data(perCrop)'!$O:$O,'Indicators(perCrop)'!C$4)</f>
        <v>#DIV/0!</v>
      </c>
      <c r="AO20" s="7" t="e">
        <f>AVERAGEIFS('Data(perCrop)'!$K:$K,'Data(perCrop)'!$B:$B,$A20,'Data(perCrop)'!$H:$H,$A$3,'Data(perCrop)'!$O:$O,'Indicators(perCrop)'!D$4)</f>
        <v>#DIV/0!</v>
      </c>
      <c r="AP20" s="7" t="e">
        <f>AVERAGEIFS('Data(perCrop)'!$K:$K,'Data(perCrop)'!$B:$B,$A20,'Data(perCrop)'!$H:$H,$A$3,'Data(perCrop)'!$O:$O,'Indicators(perCrop)'!E$4)</f>
        <v>#DIV/0!</v>
      </c>
      <c r="AQ20" s="7" t="e">
        <f>AVERAGEIFS('Data(perCrop)'!$K:$K,'Data(perCrop)'!$B:$B,$A20,'Data(perCrop)'!$H:$H,$A$3,'Data(perCrop)'!$O:$O,'Indicators(perCrop)'!F$4)</f>
        <v>#DIV/0!</v>
      </c>
      <c r="AR20" s="7" t="e">
        <f>AVERAGEIFS('Data(perCrop)'!$K:$K,'Data(perCrop)'!$B:$B,$A20,'Data(perCrop)'!$H:$H,$A$3,'Data(perCrop)'!$O:$O,'Indicators(perCrop)'!G$4)</f>
        <v>#DIV/0!</v>
      </c>
      <c r="AS20" s="8" t="e">
        <f t="shared" si="15"/>
        <v>#DIV/0!</v>
      </c>
      <c r="AT20" s="50"/>
      <c r="AU20" s="50"/>
      <c r="AV20" s="50"/>
      <c r="AW20" s="50"/>
      <c r="AX20" s="50"/>
      <c r="AY20" s="50"/>
      <c r="AZ20" s="50"/>
      <c r="BA20" s="8"/>
      <c r="BB20" s="7">
        <f>SUMIFS('Data(perSeason,perCrop)'!$A:$A,'Data(perSeason,perCrop)'!$C:$C,'Indicators(perCrop)'!$A20,'Data(perSeason,perCrop)'!$R:$R,"IRRIGATED",'Data(perSeason,perCrop)'!$O:$O,'Indicators(perCrop)'!BB$4)/5</f>
        <v>0</v>
      </c>
      <c r="BC20" s="7">
        <f>SUMIFS('Data(perSeason,perCrop)'!$A:$A,'Data(perSeason,perCrop)'!$C:$C,'Indicators(perCrop)'!$A20,'Data(perSeason,perCrop)'!$R:$R,"IRRIGATED",'Data(perSeason,perCrop)'!$O:$O,'Indicators(perCrop)'!BC$4)/5</f>
        <v>0</v>
      </c>
      <c r="BD20" s="7">
        <f>SUMIFS('Data(perSeason,perCrop)'!$A:$A,'Data(perSeason,perCrop)'!$C:$C,'Indicators(perCrop)'!$A20,'Data(perSeason,perCrop)'!$R:$R,"IRRIGATED",'Data(perSeason,perCrop)'!$O:$O,'Indicators(perCrop)'!BD$4)/5</f>
        <v>0</v>
      </c>
      <c r="BE20" s="7" t="e">
        <f>AVERAGEIFS('Data(perSeason,perCrop)'!$G:$G,'Data(perSeason,perCrop)'!$C:$C,'Indicators(perCrop)'!$A20,'Data(perSeason,perCrop)'!$R:$R,"IRRIGATED",'Data(perSeason,perCrop)'!$O:$O,'Indicators(perCrop)'!BE$4)</f>
        <v>#DIV/0!</v>
      </c>
      <c r="BF20" s="7" t="e">
        <f>AVERAGEIFS('Data(perSeason,perCrop)'!$G:$G,'Data(perSeason,perCrop)'!$C:$C,'Indicators(perCrop)'!$A20,'Data(perSeason,perCrop)'!$R:$R,"IRRIGATED",'Data(perSeason,perCrop)'!$O:$O,'Indicators(perCrop)'!BF$4)</f>
        <v>#DIV/0!</v>
      </c>
      <c r="BG20" s="7" t="e">
        <f>AVERAGEIFS('Data(perSeason,perCrop)'!$G:$G,'Data(perSeason,perCrop)'!$C:$C,'Indicators(perCrop)'!$A20,'Data(perSeason,perCrop)'!$R:$R,"IRRIGATED",'Data(perSeason,perCrop)'!$O:$O,'Indicators(perCrop)'!BG$4)</f>
        <v>#DIV/0!</v>
      </c>
      <c r="BH20" s="7" t="str">
        <f t="shared" si="24"/>
        <v/>
      </c>
      <c r="BI20" s="7" t="str">
        <f t="shared" si="21"/>
        <v/>
      </c>
      <c r="BJ20" s="7" t="str">
        <f t="shared" si="22"/>
        <v/>
      </c>
      <c r="BK20" s="25" t="e">
        <f>AVERAGEIFS('Data(perCrop)'!F:F,'Data(perCrop)'!$B:$B,A20)</f>
        <v>#DIV/0!</v>
      </c>
      <c r="BL20" s="8" t="str">
        <f t="shared" si="2"/>
        <v/>
      </c>
      <c r="BM20" s="32" t="str">
        <f t="shared" si="3"/>
        <v/>
      </c>
    </row>
    <row r="21" spans="1:65" x14ac:dyDescent="0.25">
      <c r="A21" s="9" t="s">
        <v>128</v>
      </c>
      <c r="B21">
        <v>31</v>
      </c>
      <c r="C21" s="7">
        <f>IF(AND(ISNUMBER(AVERAGEIFS('Data(perCrop)'!$A:$A,'Data(perCrop)'!$B:$B,$A21,'Data(perCrop)'!$H:$H,$A$3,'Data(perCrop)'!$O:$O,'Indicators(perCrop)'!C$4)),$B21&lt;&gt;14,$B21&lt;&gt;15),AVERAGEIFS('Data(perCrop)'!$A:$A,'Data(perCrop)'!$B:$B,$A21,'Data(perCrop)'!$H:$H,$A$3,'Data(perCrop)'!$O:$O,'Indicators(perCrop)'!C$4),"")</f>
        <v>1017.18025966717</v>
      </c>
      <c r="D21" s="7">
        <f>IF(AND(ISNUMBER(AVERAGEIFS('Data(perCrop)'!$A:$A,'Data(perCrop)'!$B:$B,$A21,'Data(perCrop)'!$H:$H,$A$3,'Data(perCrop)'!$O:$O,'Indicators(perCrop)'!D$4)),$B21&lt;&gt;14,$B21&lt;&gt;15),AVERAGEIFS('Data(perCrop)'!$A:$A,'Data(perCrop)'!$B:$B,$A21,'Data(perCrop)'!$H:$H,$A$3,'Data(perCrop)'!$O:$O,'Indicators(perCrop)'!D$4),"")</f>
        <v>1019.71806979807</v>
      </c>
      <c r="E21" s="7">
        <f>IF(AND(ISNUMBER(AVERAGEIFS('Data(perCrop)'!$A:$A,'Data(perCrop)'!$B:$B,$A21,'Data(perCrop)'!$H:$H,$A$3,'Data(perCrop)'!$O:$O,'Indicators(perCrop)'!E$4)),$B21&lt;&gt;14,$B21&lt;&gt;15),AVERAGEIFS('Data(perCrop)'!$A:$A,'Data(perCrop)'!$B:$B,$A21,'Data(perCrop)'!$H:$H,$A$3,'Data(perCrop)'!$O:$O,'Indicators(perCrop)'!E$4),"")</f>
        <v>783.95727865414597</v>
      </c>
      <c r="F21" s="7">
        <f>IF(AND(ISNUMBER(AVERAGEIFS('Data(perCrop)'!$A:$A,'Data(perCrop)'!$B:$B,$A21,'Data(perCrop)'!$H:$H,$A$3,'Data(perCrop)'!$O:$O,'Indicators(perCrop)'!F$4)),$B21&lt;&gt;14,$B21&lt;&gt;15),AVERAGEIFS('Data(perCrop)'!$A:$A,'Data(perCrop)'!$B:$B,$A21,'Data(perCrop)'!$H:$H,$A$3,'Data(perCrop)'!$O:$O,'Indicators(perCrop)'!F$4),"")</f>
        <v>970.67386323954804</v>
      </c>
      <c r="G21" s="7">
        <f>IF(AND(ISNUMBER(AVERAGEIFS('Data(perCrop)'!$A:$A,'Data(perCrop)'!$B:$B,$A21,'Data(perCrop)'!$H:$H,$A$3,'Data(perCrop)'!$O:$O,'Indicators(perCrop)'!G$4)),$B21&lt;&gt;14,$B21&lt;&gt;15),AVERAGEIFS('Data(perCrop)'!$A:$A,'Data(perCrop)'!$B:$B,$A21,'Data(perCrop)'!$H:$H,$A$3,'Data(perCrop)'!$O:$O,'Indicators(perCrop)'!G$4),"")</f>
        <v>754.58174221911304</v>
      </c>
      <c r="H21" s="7">
        <f t="shared" si="4"/>
        <v>909.22224271560958</v>
      </c>
      <c r="I21" s="32">
        <f t="shared" si="5"/>
        <v>8.7781718773561487E-2</v>
      </c>
      <c r="J21" s="7">
        <f>AVERAGEIFS('Data(perCrop)'!$D:$D,'Data(perCrop)'!$B:$B,$A21,'Data(perCrop)'!$H:$H,$A$3,'Data(perCrop)'!$O:$O,'Indicators(perCrop)'!C$4)</f>
        <v>507</v>
      </c>
      <c r="K21" s="7">
        <f>AVERAGEIFS('Data(perCrop)'!$D:$D,'Data(perCrop)'!$B:$B,$A21,'Data(perCrop)'!$H:$H,$A$3,'Data(perCrop)'!$O:$O,'Indicators(perCrop)'!D$4)</f>
        <v>535</v>
      </c>
      <c r="L21" s="7">
        <f>AVERAGEIFS('Data(perCrop)'!$D:$D,'Data(perCrop)'!$B:$B,$A21,'Data(perCrop)'!$H:$H,$A$3,'Data(perCrop)'!$O:$O,'Indicators(perCrop)'!E$4)</f>
        <v>562</v>
      </c>
      <c r="M21" s="7">
        <f>AVERAGEIFS('Data(perCrop)'!$D:$D,'Data(perCrop)'!$B:$B,$A21,'Data(perCrop)'!$H:$H,$A$3,'Data(perCrop)'!$O:$O,'Indicators(perCrop)'!F$4)</f>
        <v>461</v>
      </c>
      <c r="N21" s="7">
        <f>AVERAGEIFS('Data(perCrop)'!$D:$D,'Data(perCrop)'!$B:$B,$A21,'Data(perCrop)'!$H:$H,$A$3,'Data(perCrop)'!$O:$O,'Indicators(perCrop)'!G$4)</f>
        <v>546</v>
      </c>
      <c r="O21" s="7">
        <f t="shared" si="6"/>
        <v>522.20000000000005</v>
      </c>
      <c r="P21" s="7">
        <f>AVERAGEIFS('Data(perCrop)'!$E:$E,'Data(perCrop)'!$B:$B,$A21,'Data(perCrop)'!$H:$H,$A$3,'Data(perCrop)'!$O:$O,'Indicators(perCrop)'!J$4)</f>
        <v>603</v>
      </c>
      <c r="Q21" s="7">
        <f>AVERAGEIFS('Data(perCrop)'!$E:$E,'Data(perCrop)'!$B:$B,$A21,'Data(perCrop)'!$H:$H,$A$3,'Data(perCrop)'!$O:$O,'Indicators(perCrop)'!K$4)</f>
        <v>875</v>
      </c>
      <c r="R21" s="7">
        <f>AVERAGEIFS('Data(perCrop)'!$E:$E,'Data(perCrop)'!$B:$B,$A21,'Data(perCrop)'!$H:$H,$A$3,'Data(perCrop)'!$O:$O,'Indicators(perCrop)'!L$4)</f>
        <v>763</v>
      </c>
      <c r="S21" s="7">
        <f>AVERAGEIFS('Data(perCrop)'!$E:$E,'Data(perCrop)'!$B:$B,$A21,'Data(perCrop)'!$H:$H,$A$3,'Data(perCrop)'!$O:$O,'Indicators(perCrop)'!M$4)</f>
        <v>675</v>
      </c>
      <c r="T21" s="7">
        <f>AVERAGEIFS('Data(perCrop)'!$E:$E,'Data(perCrop)'!$B:$B,$A21,'Data(perCrop)'!$H:$H,$A$3,'Data(perCrop)'!$O:$O,'Indicators(perCrop)'!N$4)</f>
        <v>811</v>
      </c>
      <c r="U21" s="7">
        <f t="shared" si="7"/>
        <v>745.4</v>
      </c>
      <c r="V21" s="8">
        <f>IF(AND(ISNUMBER(J21),$B21&lt;&gt;14,$B21&lt;&gt;15),J21/P21,"")</f>
        <v>0.84079601990049746</v>
      </c>
      <c r="W21" s="8">
        <f t="shared" ref="W21:Z21" si="26">IF(AND(ISNUMBER(K21),$B21&lt;&gt;14,$B21&lt;&gt;15),K21/Q21,"")</f>
        <v>0.61142857142857143</v>
      </c>
      <c r="X21" s="8">
        <f t="shared" si="26"/>
        <v>0.73656618610747049</v>
      </c>
      <c r="Y21" s="8">
        <f t="shared" si="26"/>
        <v>0.68296296296296299</v>
      </c>
      <c r="Z21" s="8">
        <f t="shared" si="26"/>
        <v>0.67324290998766956</v>
      </c>
      <c r="AA21" s="8">
        <f t="shared" si="25"/>
        <v>0.70899933007743443</v>
      </c>
      <c r="AB21" s="8">
        <f>IF(AND(ISNUMBER(J21),$B21&lt;&gt;14,$B21&lt;&gt;15),(AVERAGEIFS('Data(perCrop)'!$L:$L,'Data(perCrop)'!$B:$B,'Indicators(perCrop)'!$A21,'Data(perCrop)'!$O:$O,'Indicators(perCrop)'!AB$4,'Data(perCrop)'!$H:$H,'Indicators(perCrop)'!$A$3)-AVERAGEIFS('Data(perCrop)'!$K:$K,'Data(perCrop)'!$B:$B,'Indicators(perCrop)'!$A21,'Data(perCrop)'!$O:$O,'Indicators(perCrop)'!AB$4,'Data(perCrop)'!$H:$H,'Indicators(perCrop)'!$A$3))/AVERAGEIFS('Data(perCrop)'!$L:$L,'Data(perCrop)'!$B:$B,'Indicators(perCrop)'!$A21,'Data(perCrop)'!$O:$O,'Indicators(perCrop)'!AB$4,'Data(perCrop)'!$H:$H,'Indicators(perCrop)'!$A$3),"")</f>
        <v>0.24437901498929337</v>
      </c>
      <c r="AC21" s="8">
        <f>IF(AND(ISNUMBER(K21),$B21&lt;&gt;14,$B21&lt;&gt;15),(AVERAGEIFS('Data(perCrop)'!$L:$L,'Data(perCrop)'!$B:$B,'Indicators(perCrop)'!$A21,'Data(perCrop)'!$O:$O,'Indicators(perCrop)'!AC$4,'Data(perCrop)'!$H:$H,'Indicators(perCrop)'!$A$3)-AVERAGEIFS('Data(perCrop)'!$K:$K,'Data(perCrop)'!$B:$B,'Indicators(perCrop)'!$A21,'Data(perCrop)'!$O:$O,'Indicators(perCrop)'!AC$4,'Data(perCrop)'!$H:$H,'Indicators(perCrop)'!$A$3))/AVERAGEIFS('Data(perCrop)'!$L:$L,'Data(perCrop)'!$B:$B,'Indicators(perCrop)'!$A21,'Data(perCrop)'!$O:$O,'Indicators(perCrop)'!AC$4,'Data(perCrop)'!$H:$H,'Indicators(perCrop)'!$A$3),"")</f>
        <v>0.40328175761246626</v>
      </c>
      <c r="AD21" s="8">
        <f>IF(AND(ISNUMBER(L21),$B21&lt;&gt;14,$B21&lt;&gt;15),(AVERAGEIFS('Data(perCrop)'!$L:$L,'Data(perCrop)'!$B:$B,'Indicators(perCrop)'!$A21,'Data(perCrop)'!$O:$O,'Indicators(perCrop)'!AD$4,'Data(perCrop)'!$H:$H,'Indicators(perCrop)'!$A$3)-AVERAGEIFS('Data(perCrop)'!$K:$K,'Data(perCrop)'!$B:$B,'Indicators(perCrop)'!$A21,'Data(perCrop)'!$O:$O,'Indicators(perCrop)'!AD$4,'Data(perCrop)'!$H:$H,'Indicators(perCrop)'!$A$3))/AVERAGEIFS('Data(perCrop)'!$L:$L,'Data(perCrop)'!$B:$B,'Indicators(perCrop)'!$A21,'Data(perCrop)'!$O:$O,'Indicators(perCrop)'!AD$4,'Data(perCrop)'!$H:$H,'Indicators(perCrop)'!$A$3),"")</f>
        <v>0.26936750111094654</v>
      </c>
      <c r="AE21" s="8">
        <f>IF(AND(ISNUMBER(M21),$B21&lt;&gt;14,$B21&lt;&gt;15),(AVERAGEIFS('Data(perCrop)'!$L:$L,'Data(perCrop)'!$B:$B,'Indicators(perCrop)'!$A21,'Data(perCrop)'!$O:$O,'Indicators(perCrop)'!AE$4,'Data(perCrop)'!$H:$H,'Indicators(perCrop)'!$A$3)-AVERAGEIFS('Data(perCrop)'!$K:$K,'Data(perCrop)'!$B:$B,'Indicators(perCrop)'!$A21,'Data(perCrop)'!$O:$O,'Indicators(perCrop)'!AE$4,'Data(perCrop)'!$H:$H,'Indicators(perCrop)'!$A$3))/AVERAGEIFS('Data(perCrop)'!$L:$L,'Data(perCrop)'!$B:$B,'Indicators(perCrop)'!$A21,'Data(perCrop)'!$O:$O,'Indicators(perCrop)'!AE$4,'Data(perCrop)'!$H:$H,'Indicators(perCrop)'!$A$3),"")</f>
        <v>0.34179125934445082</v>
      </c>
      <c r="AF21" s="8">
        <f>IF(AND(ISNUMBER(N21),$B21&lt;&gt;14,$B21&lt;&gt;15),(AVERAGEIFS('Data(perCrop)'!$L:$L,'Data(perCrop)'!$B:$B,'Indicators(perCrop)'!$A21,'Data(perCrop)'!$O:$O,'Indicators(perCrop)'!AF$4,'Data(perCrop)'!$H:$H,'Indicators(perCrop)'!$A$3)-AVERAGEIFS('Data(perCrop)'!$K:$K,'Data(perCrop)'!$B:$B,'Indicators(perCrop)'!$A21,'Data(perCrop)'!$O:$O,'Indicators(perCrop)'!AF$4,'Data(perCrop)'!$H:$H,'Indicators(perCrop)'!$A$3))/AVERAGEIFS('Data(perCrop)'!$L:$L,'Data(perCrop)'!$B:$B,'Indicators(perCrop)'!$A21,'Data(perCrop)'!$O:$O,'Indicators(perCrop)'!AF$4,'Data(perCrop)'!$H:$H,'Indicators(perCrop)'!$A$3),"")</f>
        <v>0.28647352388359582</v>
      </c>
      <c r="AG21" s="8">
        <f t="shared" si="13"/>
        <v>0.30905861138815055</v>
      </c>
      <c r="AH21" s="8">
        <f>IF(AND(ISNUMBER(J21),$B21&lt;&gt;14,$B21&lt;&gt;15),AVERAGEIFS('Data(perSeason,perCrop)'!$M:$M,'Data(perSeason,perCrop)'!$K:$K,'Indicators(perCrop)'!$A$3,'Data(perSeason,perCrop)'!$C:$C,'Indicators(perCrop)'!$A21,'Data(perSeason,perCrop)'!$S:$S,'Indicators(perCrop)'!AH$4,'Data(perSeason,perCrop)'!$R:$R,"IRRIGATED")-AVERAGEIFS('Data(perSeason,perCrop)'!$N:$N,'Data(perSeason,perCrop)'!$K:$K,'Indicators(perCrop)'!$A$3,'Data(perSeason,perCrop)'!$C:$C,'Indicators(perCrop)'!$A21,'Data(perSeason,perCrop)'!$S:$S,'Indicators(perCrop)'!AH$4,'Data(perSeason,perCrop)'!$R:$R,"IRRIGATED"),"")</f>
        <v>0.23960025661153106</v>
      </c>
      <c r="AI21" s="8">
        <f>IF(AND(ISNUMBER(K21),$B21&lt;&gt;14,$B21&lt;&gt;15),AVERAGEIFS('Data(perSeason,perCrop)'!$M:$M,'Data(perSeason,perCrop)'!$K:$K,'Indicators(perCrop)'!$A$3,'Data(perSeason,perCrop)'!$C:$C,'Indicators(perCrop)'!$A21,'Data(perSeason,perCrop)'!$S:$S,'Indicators(perCrop)'!AI$4,'Data(perSeason,perCrop)'!$R:$R,"IRRIGATED")-AVERAGEIFS('Data(perSeason,perCrop)'!$N:$N,'Data(perSeason,perCrop)'!$K:$K,'Indicators(perCrop)'!$A$3,'Data(perSeason,perCrop)'!$C:$C,'Indicators(perCrop)'!$A21,'Data(perSeason,perCrop)'!$S:$S,'Indicators(perCrop)'!AI$4,'Data(perSeason,perCrop)'!$R:$R,"IRRIGATED"),"")</f>
        <v>0.29479871945045311</v>
      </c>
      <c r="AJ21" s="8">
        <f>IF(AND(ISNUMBER(L21),$B21&lt;&gt;14,$B21&lt;&gt;15),AVERAGEIFS('Data(perSeason,perCrop)'!$M:$M,'Data(perSeason,perCrop)'!$K:$K,'Indicators(perCrop)'!$A$3,'Data(perSeason,perCrop)'!$C:$C,'Indicators(perCrop)'!$A21,'Data(perSeason,perCrop)'!$S:$S,'Indicators(perCrop)'!AJ$4,'Data(perSeason,perCrop)'!$R:$R,"IRRIGATED")-AVERAGEIFS('Data(perSeason,perCrop)'!$N:$N,'Data(perSeason,perCrop)'!$K:$K,'Indicators(perCrop)'!$A$3,'Data(perSeason,perCrop)'!$C:$C,'Indicators(perCrop)'!$A21,'Data(perSeason,perCrop)'!$S:$S,'Indicators(perCrop)'!AJ$4,'Data(perSeason,perCrop)'!$R:$R,"IRRIGATED"),"")</f>
        <v>0.17802299179433945</v>
      </c>
      <c r="AK21" s="8">
        <f>IF(AND(ISNUMBER(M21),$B21&lt;&gt;14,$B21&lt;&gt;15),AVERAGEIFS('Data(perSeason,perCrop)'!$M:$M,'Data(perSeason,perCrop)'!$K:$K,'Indicators(perCrop)'!$A$3,'Data(perSeason,perCrop)'!$C:$C,'Indicators(perCrop)'!$A21,'Data(perSeason,perCrop)'!$S:$S,'Indicators(perCrop)'!AK$4,'Data(perSeason,perCrop)'!$R:$R,"IRRIGATED")-AVERAGEIFS('Data(perSeason,perCrop)'!$N:$N,'Data(perSeason,perCrop)'!$K:$K,'Indicators(perCrop)'!$A$3,'Data(perSeason,perCrop)'!$C:$C,'Indicators(perCrop)'!$A21,'Data(perSeason,perCrop)'!$S:$S,'Indicators(perCrop)'!AK$4,'Data(perSeason,perCrop)'!$R:$R,"IRRIGATED"),"")</f>
        <v>0.27275260510191945</v>
      </c>
      <c r="AL21" s="8">
        <f>IF(AND(ISNUMBER(N21),$B21&lt;&gt;14,$B21&lt;&gt;15),AVERAGEIFS('Data(perSeason,perCrop)'!$M:$M,'Data(perSeason,perCrop)'!$K:$K,'Indicators(perCrop)'!$A$3,'Data(perSeason,perCrop)'!$C:$C,'Indicators(perCrop)'!$A21,'Data(perSeason,perCrop)'!$S:$S,'Indicators(perCrop)'!AL$4,'Data(perSeason,perCrop)'!$R:$R,"IRRIGATED")-AVERAGEIFS('Data(perSeason,perCrop)'!$N:$N,'Data(perSeason,perCrop)'!$K:$K,'Indicators(perCrop)'!$A$3,'Data(perSeason,perCrop)'!$C:$C,'Indicators(perCrop)'!$A21,'Data(perSeason,perCrop)'!$S:$S,'Indicators(perCrop)'!AL$4,'Data(perSeason,perCrop)'!$R:$R,"IRRIGATED"),"")</f>
        <v>0.21450527414647447</v>
      </c>
      <c r="AM21" s="8">
        <f t="shared" si="14"/>
        <v>0.23993596942094353</v>
      </c>
      <c r="AN21" s="7">
        <f>AVERAGEIFS('Data(perCrop)'!$K:$K,'Data(perCrop)'!$B:$B,$A21,'Data(perCrop)'!$H:$H,$A$3,'Data(perCrop)'!$O:$O,'Indicators(perCrop)'!C$4)</f>
        <v>11292</v>
      </c>
      <c r="AO21" s="7">
        <f>AVERAGEIFS('Data(perCrop)'!$K:$K,'Data(perCrop)'!$B:$B,$A21,'Data(perCrop)'!$H:$H,$A$3,'Data(perCrop)'!$O:$O,'Indicators(perCrop)'!D$4)</f>
        <v>10837</v>
      </c>
      <c r="AP21" s="7">
        <f>AVERAGEIFS('Data(perCrop)'!$K:$K,'Data(perCrop)'!$B:$B,$A21,'Data(perCrop)'!$H:$H,$A$3,'Data(perCrop)'!$O:$O,'Indicators(perCrop)'!E$4)</f>
        <v>9865</v>
      </c>
      <c r="AQ21" s="7">
        <f>AVERAGEIFS('Data(perCrop)'!$K:$K,'Data(perCrop)'!$B:$B,$A21,'Data(perCrop)'!$H:$H,$A$3,'Data(perCrop)'!$O:$O,'Indicators(perCrop)'!F$4)</f>
        <v>9157</v>
      </c>
      <c r="AR21" s="7">
        <f>AVERAGEIFS('Data(perCrop)'!$K:$K,'Data(perCrop)'!$B:$B,$A21,'Data(perCrop)'!$H:$H,$A$3,'Data(perCrop)'!$O:$O,'Indicators(perCrop)'!G$4)</f>
        <v>11009</v>
      </c>
      <c r="AS21" s="8">
        <f t="shared" si="15"/>
        <v>10432</v>
      </c>
      <c r="AT21" s="50"/>
      <c r="AU21" s="50"/>
      <c r="AV21" s="50"/>
      <c r="AW21" s="50"/>
      <c r="AX21" s="50"/>
      <c r="AY21" s="50"/>
      <c r="AZ21" s="50"/>
      <c r="BA21" s="8"/>
      <c r="BB21" s="7">
        <f>SUMIFS('Data(perSeason,perCrop)'!$A:$A,'Data(perSeason,perCrop)'!$C:$C,'Indicators(perCrop)'!$A21,'Data(perSeason,perCrop)'!$R:$R,"IRRIGATED",'Data(perSeason,perCrop)'!$O:$O,'Indicators(perCrop)'!BB$4)/5</f>
        <v>701.32175925361412</v>
      </c>
      <c r="BC21" s="7">
        <f>SUMIFS('Data(perSeason,perCrop)'!$A:$A,'Data(perSeason,perCrop)'!$C:$C,'Indicators(perCrop)'!$A21,'Data(perSeason,perCrop)'!$R:$R,"IRRIGATED",'Data(perSeason,perCrop)'!$O:$O,'Indicators(perCrop)'!BC$4)/5</f>
        <v>480.67018027473176</v>
      </c>
      <c r="BD21" s="7">
        <f>SUMIFS('Data(perSeason,perCrop)'!$A:$A,'Data(perSeason,perCrop)'!$C:$C,'Indicators(perCrop)'!$A21,'Data(perSeason,perCrop)'!$R:$R,"IRRIGATED",'Data(perSeason,perCrop)'!$O:$O,'Indicators(perCrop)'!BD$4)/5</f>
        <v>118.96365501838696</v>
      </c>
      <c r="BE21" s="7">
        <f>AVERAGEIFS('Data(perSeason,perCrop)'!$G:$G,'Data(perSeason,perCrop)'!$C:$C,'Indicators(perCrop)'!$A21,'Data(perSeason,perCrop)'!$R:$R,"IRRIGATED",'Data(perSeason,perCrop)'!$O:$O,'Indicators(perCrop)'!BE$4)</f>
        <v>62.2</v>
      </c>
      <c r="BF21" s="7">
        <f>AVERAGEIFS('Data(perSeason,perCrop)'!$G:$G,'Data(perSeason,perCrop)'!$C:$C,'Indicators(perCrop)'!$A21,'Data(perSeason,perCrop)'!$R:$R,"IRRIGATED",'Data(perSeason,perCrop)'!$O:$O,'Indicators(perCrop)'!BF$4)</f>
        <v>23.4</v>
      </c>
      <c r="BG21" s="7">
        <f>AVERAGEIFS('Data(perSeason,perCrop)'!$G:$G,'Data(perSeason,perCrop)'!$C:$C,'Indicators(perCrop)'!$A21,'Data(perSeason,perCrop)'!$R:$R,"IRRIGATED",'Data(perSeason,perCrop)'!$O:$O,'Indicators(perCrop)'!BG$4)</f>
        <v>105.6</v>
      </c>
      <c r="BH21" s="7">
        <f t="shared" si="24"/>
        <v>47.977503602734835</v>
      </c>
      <c r="BI21" s="7">
        <f t="shared" si="21"/>
        <v>12.370663287817104</v>
      </c>
      <c r="BJ21" s="7">
        <f t="shared" si="22"/>
        <v>13.816822092275887</v>
      </c>
      <c r="BK21" s="25">
        <f>AVERAGEIFS('Data(perCrop)'!F:F,'Data(perCrop)'!$B:$B,A21)</f>
        <v>75.599999999999994</v>
      </c>
      <c r="BL21" s="8">
        <f t="shared" si="2"/>
        <v>0.68737201549300087</v>
      </c>
      <c r="BM21" s="32">
        <f t="shared" si="3"/>
        <v>5.7094777080271754E-2</v>
      </c>
    </row>
    <row r="22" spans="1:65" x14ac:dyDescent="0.25">
      <c r="A22" s="9" t="s">
        <v>129</v>
      </c>
      <c r="B22">
        <v>32</v>
      </c>
      <c r="C22" s="7" t="str">
        <f>IF(AND(ISNUMBER(AVERAGEIFS('Data(perCrop)'!$A:$A,'Data(perCrop)'!$B:$B,$A22,'Data(perCrop)'!$H:$H,$A$3,'Data(perCrop)'!$O:$O,'Indicators(perCrop)'!C$4)),$B22&lt;&gt;14,$B22&lt;&gt;15),AVERAGEIFS('Data(perCrop)'!$A:$A,'Data(perCrop)'!$B:$B,$A22,'Data(perCrop)'!$H:$H,$A$3,'Data(perCrop)'!$O:$O,'Indicators(perCrop)'!C$4),"")</f>
        <v/>
      </c>
      <c r="D22" s="7" t="str">
        <f>IF(AND(ISNUMBER(AVERAGEIFS('Data(perCrop)'!$A:$A,'Data(perCrop)'!$B:$B,$A22,'Data(perCrop)'!$H:$H,$A$3,'Data(perCrop)'!$O:$O,'Indicators(perCrop)'!D$4)),$B22&lt;&gt;14,$B22&lt;&gt;15),AVERAGEIFS('Data(perCrop)'!$A:$A,'Data(perCrop)'!$B:$B,$A22,'Data(perCrop)'!$H:$H,$A$3,'Data(perCrop)'!$O:$O,'Indicators(perCrop)'!D$4),"")</f>
        <v/>
      </c>
      <c r="E22" s="7" t="str">
        <f>IF(AND(ISNUMBER(AVERAGEIFS('Data(perCrop)'!$A:$A,'Data(perCrop)'!$B:$B,$A22,'Data(perCrop)'!$H:$H,$A$3,'Data(perCrop)'!$O:$O,'Indicators(perCrop)'!E$4)),$B22&lt;&gt;14,$B22&lt;&gt;15),AVERAGEIFS('Data(perCrop)'!$A:$A,'Data(perCrop)'!$B:$B,$A22,'Data(perCrop)'!$H:$H,$A$3,'Data(perCrop)'!$O:$O,'Indicators(perCrop)'!E$4),"")</f>
        <v/>
      </c>
      <c r="F22" s="7" t="str">
        <f>IF(AND(ISNUMBER(AVERAGEIFS('Data(perCrop)'!$A:$A,'Data(perCrop)'!$B:$B,$A22,'Data(perCrop)'!$H:$H,$A$3,'Data(perCrop)'!$O:$O,'Indicators(perCrop)'!F$4)),$B22&lt;&gt;14,$B22&lt;&gt;15),AVERAGEIFS('Data(perCrop)'!$A:$A,'Data(perCrop)'!$B:$B,$A22,'Data(perCrop)'!$H:$H,$A$3,'Data(perCrop)'!$O:$O,'Indicators(perCrop)'!F$4),"")</f>
        <v/>
      </c>
      <c r="G22" s="7" t="str">
        <f>IF(AND(ISNUMBER(AVERAGEIFS('Data(perCrop)'!$A:$A,'Data(perCrop)'!$B:$B,$A22,'Data(perCrop)'!$H:$H,$A$3,'Data(perCrop)'!$O:$O,'Indicators(perCrop)'!G$4)),$B22&lt;&gt;14,$B22&lt;&gt;15),AVERAGEIFS('Data(perCrop)'!$A:$A,'Data(perCrop)'!$B:$B,$A22,'Data(perCrop)'!$H:$H,$A$3,'Data(perCrop)'!$O:$O,'Indicators(perCrop)'!G$4),"")</f>
        <v/>
      </c>
      <c r="H22" s="7" t="str">
        <f t="shared" si="4"/>
        <v/>
      </c>
      <c r="I22" s="32" t="str">
        <f t="shared" si="5"/>
        <v/>
      </c>
      <c r="J22" s="7" t="e">
        <f>AVERAGEIFS('Data(perCrop)'!$D:$D,'Data(perCrop)'!$B:$B,$A22,'Data(perCrop)'!$H:$H,$A$3,'Data(perCrop)'!$O:$O,'Indicators(perCrop)'!C$4)</f>
        <v>#DIV/0!</v>
      </c>
      <c r="K22" s="7" t="e">
        <f>AVERAGEIFS('Data(perCrop)'!$D:$D,'Data(perCrop)'!$B:$B,$A22,'Data(perCrop)'!$H:$H,$A$3,'Data(perCrop)'!$O:$O,'Indicators(perCrop)'!D$4)</f>
        <v>#DIV/0!</v>
      </c>
      <c r="L22" s="7" t="e">
        <f>AVERAGEIFS('Data(perCrop)'!$D:$D,'Data(perCrop)'!$B:$B,$A22,'Data(perCrop)'!$H:$H,$A$3,'Data(perCrop)'!$O:$O,'Indicators(perCrop)'!E$4)</f>
        <v>#DIV/0!</v>
      </c>
      <c r="M22" s="7" t="e">
        <f>AVERAGEIFS('Data(perCrop)'!$D:$D,'Data(perCrop)'!$B:$B,$A22,'Data(perCrop)'!$H:$H,$A$3,'Data(perCrop)'!$O:$O,'Indicators(perCrop)'!F$4)</f>
        <v>#DIV/0!</v>
      </c>
      <c r="N22" s="7" t="e">
        <f>AVERAGEIFS('Data(perCrop)'!$D:$D,'Data(perCrop)'!$B:$B,$A22,'Data(perCrop)'!$H:$H,$A$3,'Data(perCrop)'!$O:$O,'Indicators(perCrop)'!G$4)</f>
        <v>#DIV/0!</v>
      </c>
      <c r="O22" s="7" t="e">
        <f t="shared" si="6"/>
        <v>#DIV/0!</v>
      </c>
      <c r="P22" s="7" t="e">
        <f>AVERAGEIFS('Data(perCrop)'!$E:$E,'Data(perCrop)'!$B:$B,$A22,'Data(perCrop)'!$H:$H,$A$3,'Data(perCrop)'!$O:$O,'Indicators(perCrop)'!J$4)</f>
        <v>#DIV/0!</v>
      </c>
      <c r="Q22" s="7" t="e">
        <f>AVERAGEIFS('Data(perCrop)'!$E:$E,'Data(perCrop)'!$B:$B,$A22,'Data(perCrop)'!$H:$H,$A$3,'Data(perCrop)'!$O:$O,'Indicators(perCrop)'!K$4)</f>
        <v>#DIV/0!</v>
      </c>
      <c r="R22" s="7" t="e">
        <f>AVERAGEIFS('Data(perCrop)'!$E:$E,'Data(perCrop)'!$B:$B,$A22,'Data(perCrop)'!$H:$H,$A$3,'Data(perCrop)'!$O:$O,'Indicators(perCrop)'!L$4)</f>
        <v>#DIV/0!</v>
      </c>
      <c r="S22" s="7" t="e">
        <f>AVERAGEIFS('Data(perCrop)'!$E:$E,'Data(perCrop)'!$B:$B,$A22,'Data(perCrop)'!$H:$H,$A$3,'Data(perCrop)'!$O:$O,'Indicators(perCrop)'!M$4)</f>
        <v>#DIV/0!</v>
      </c>
      <c r="T22" s="7" t="e">
        <f>AVERAGEIFS('Data(perCrop)'!$E:$E,'Data(perCrop)'!$B:$B,$A22,'Data(perCrop)'!$H:$H,$A$3,'Data(perCrop)'!$O:$O,'Indicators(perCrop)'!N$4)</f>
        <v>#DIV/0!</v>
      </c>
      <c r="U22" s="7" t="e">
        <f t="shared" si="7"/>
        <v>#DIV/0!</v>
      </c>
      <c r="V22" s="8" t="str">
        <f t="shared" si="8"/>
        <v/>
      </c>
      <c r="W22" s="8" t="str">
        <f t="shared" si="9"/>
        <v/>
      </c>
      <c r="X22" s="8" t="str">
        <f t="shared" si="10"/>
        <v/>
      </c>
      <c r="Y22" s="8" t="str">
        <f t="shared" si="11"/>
        <v/>
      </c>
      <c r="Z22" s="8" t="str">
        <f t="shared" si="12"/>
        <v/>
      </c>
      <c r="AA22" s="8" t="e">
        <f t="shared" si="25"/>
        <v>#DIV/0!</v>
      </c>
      <c r="AB22" s="8" t="str">
        <f>IF(AND(ISNUMBER(J22),$B22&lt;&gt;14,$B22&lt;&gt;15),(AVERAGEIFS('Data(perCrop)'!$L:$L,'Data(perCrop)'!$B:$B,'Indicators(perCrop)'!$A22,'Data(perCrop)'!$O:$O,'Indicators(perCrop)'!AB$4,'Data(perCrop)'!$H:$H,'Indicators(perCrop)'!$A$3)-AVERAGEIFS('Data(perCrop)'!$K:$K,'Data(perCrop)'!$B:$B,'Indicators(perCrop)'!$A22,'Data(perCrop)'!$O:$O,'Indicators(perCrop)'!AB$4,'Data(perCrop)'!$H:$H,'Indicators(perCrop)'!$A$3))/AVERAGEIFS('Data(perCrop)'!$L:$L,'Data(perCrop)'!$B:$B,'Indicators(perCrop)'!$A22,'Data(perCrop)'!$O:$O,'Indicators(perCrop)'!AB$4,'Data(perCrop)'!$H:$H,'Indicators(perCrop)'!$A$3),"")</f>
        <v/>
      </c>
      <c r="AC22" s="8" t="str">
        <f>IF(AND(ISNUMBER(K22),$B22&lt;&gt;14,$B22&lt;&gt;15),(AVERAGEIFS('Data(perCrop)'!$L:$L,'Data(perCrop)'!$B:$B,'Indicators(perCrop)'!$A22,'Data(perCrop)'!$O:$O,'Indicators(perCrop)'!AC$4,'Data(perCrop)'!$H:$H,'Indicators(perCrop)'!$A$3)-AVERAGEIFS('Data(perCrop)'!$K:$K,'Data(perCrop)'!$B:$B,'Indicators(perCrop)'!$A22,'Data(perCrop)'!$O:$O,'Indicators(perCrop)'!AC$4,'Data(perCrop)'!$H:$H,'Indicators(perCrop)'!$A$3))/AVERAGEIFS('Data(perCrop)'!$L:$L,'Data(perCrop)'!$B:$B,'Indicators(perCrop)'!$A22,'Data(perCrop)'!$O:$O,'Indicators(perCrop)'!AC$4,'Data(perCrop)'!$H:$H,'Indicators(perCrop)'!$A$3),"")</f>
        <v/>
      </c>
      <c r="AD22" s="8" t="str">
        <f>IF(AND(ISNUMBER(L22),$B22&lt;&gt;14,$B22&lt;&gt;15),(AVERAGEIFS('Data(perCrop)'!$L:$L,'Data(perCrop)'!$B:$B,'Indicators(perCrop)'!$A22,'Data(perCrop)'!$O:$O,'Indicators(perCrop)'!AD$4,'Data(perCrop)'!$H:$H,'Indicators(perCrop)'!$A$3)-AVERAGEIFS('Data(perCrop)'!$K:$K,'Data(perCrop)'!$B:$B,'Indicators(perCrop)'!$A22,'Data(perCrop)'!$O:$O,'Indicators(perCrop)'!AD$4,'Data(perCrop)'!$H:$H,'Indicators(perCrop)'!$A$3))/AVERAGEIFS('Data(perCrop)'!$L:$L,'Data(perCrop)'!$B:$B,'Indicators(perCrop)'!$A22,'Data(perCrop)'!$O:$O,'Indicators(perCrop)'!AD$4,'Data(perCrop)'!$H:$H,'Indicators(perCrop)'!$A$3),"")</f>
        <v/>
      </c>
      <c r="AE22" s="8" t="str">
        <f>IF(AND(ISNUMBER(M22),$B22&lt;&gt;14,$B22&lt;&gt;15),(AVERAGEIFS('Data(perCrop)'!$L:$L,'Data(perCrop)'!$B:$B,'Indicators(perCrop)'!$A22,'Data(perCrop)'!$O:$O,'Indicators(perCrop)'!AE$4,'Data(perCrop)'!$H:$H,'Indicators(perCrop)'!$A$3)-AVERAGEIFS('Data(perCrop)'!$K:$K,'Data(perCrop)'!$B:$B,'Indicators(perCrop)'!$A22,'Data(perCrop)'!$O:$O,'Indicators(perCrop)'!AE$4,'Data(perCrop)'!$H:$H,'Indicators(perCrop)'!$A$3))/AVERAGEIFS('Data(perCrop)'!$L:$L,'Data(perCrop)'!$B:$B,'Indicators(perCrop)'!$A22,'Data(perCrop)'!$O:$O,'Indicators(perCrop)'!AE$4,'Data(perCrop)'!$H:$H,'Indicators(perCrop)'!$A$3),"")</f>
        <v/>
      </c>
      <c r="AF22" s="8" t="str">
        <f>IF(AND(ISNUMBER(N22),$B22&lt;&gt;14,$B22&lt;&gt;15),(AVERAGEIFS('Data(perCrop)'!$L:$L,'Data(perCrop)'!$B:$B,'Indicators(perCrop)'!$A22,'Data(perCrop)'!$O:$O,'Indicators(perCrop)'!AF$4,'Data(perCrop)'!$H:$H,'Indicators(perCrop)'!$A$3)-AVERAGEIFS('Data(perCrop)'!$K:$K,'Data(perCrop)'!$B:$B,'Indicators(perCrop)'!$A22,'Data(perCrop)'!$O:$O,'Indicators(perCrop)'!AF$4,'Data(perCrop)'!$H:$H,'Indicators(perCrop)'!$A$3))/AVERAGEIFS('Data(perCrop)'!$L:$L,'Data(perCrop)'!$B:$B,'Indicators(perCrop)'!$A22,'Data(perCrop)'!$O:$O,'Indicators(perCrop)'!AF$4,'Data(perCrop)'!$H:$H,'Indicators(perCrop)'!$A$3),"")</f>
        <v/>
      </c>
      <c r="AG22" s="8" t="e">
        <f t="shared" si="13"/>
        <v>#DIV/0!</v>
      </c>
      <c r="AH22" s="8" t="str">
        <f>IF(AND(ISNUMBER(J22),$B22&lt;&gt;14,$B22&lt;&gt;15),AVERAGEIFS('Data(perSeason,perCrop)'!$M:$M,'Data(perSeason,perCrop)'!$K:$K,'Indicators(perCrop)'!$A$3,'Data(perSeason,perCrop)'!$C:$C,'Indicators(perCrop)'!$A22,'Data(perSeason,perCrop)'!$S:$S,'Indicators(perCrop)'!AH$4,'Data(perSeason,perCrop)'!$R:$R,"IRRIGATED")-AVERAGEIFS('Data(perSeason,perCrop)'!$N:$N,'Data(perSeason,perCrop)'!$K:$K,'Indicators(perCrop)'!$A$3,'Data(perSeason,perCrop)'!$C:$C,'Indicators(perCrop)'!$A22,'Data(perSeason,perCrop)'!$S:$S,'Indicators(perCrop)'!AH$4,'Data(perSeason,perCrop)'!$R:$R,"IRRIGATED"),"")</f>
        <v/>
      </c>
      <c r="AI22" s="8" t="str">
        <f>IF(AND(ISNUMBER(K22),$B22&lt;&gt;14,$B22&lt;&gt;15),AVERAGEIFS('Data(perSeason,perCrop)'!$M:$M,'Data(perSeason,perCrop)'!$K:$K,'Indicators(perCrop)'!$A$3,'Data(perSeason,perCrop)'!$C:$C,'Indicators(perCrop)'!$A22,'Data(perSeason,perCrop)'!$S:$S,'Indicators(perCrop)'!AI$4,'Data(perSeason,perCrop)'!$R:$R,"IRRIGATED")-AVERAGEIFS('Data(perSeason,perCrop)'!$N:$N,'Data(perSeason,perCrop)'!$K:$K,'Indicators(perCrop)'!$A$3,'Data(perSeason,perCrop)'!$C:$C,'Indicators(perCrop)'!$A22,'Data(perSeason,perCrop)'!$S:$S,'Indicators(perCrop)'!AI$4,'Data(perSeason,perCrop)'!$R:$R,"IRRIGATED"),"")</f>
        <v/>
      </c>
      <c r="AJ22" s="8" t="str">
        <f>IF(AND(ISNUMBER(L22),$B22&lt;&gt;14,$B22&lt;&gt;15),AVERAGEIFS('Data(perSeason,perCrop)'!$M:$M,'Data(perSeason,perCrop)'!$K:$K,'Indicators(perCrop)'!$A$3,'Data(perSeason,perCrop)'!$C:$C,'Indicators(perCrop)'!$A22,'Data(perSeason,perCrop)'!$S:$S,'Indicators(perCrop)'!AJ$4,'Data(perSeason,perCrop)'!$R:$R,"IRRIGATED")-AVERAGEIFS('Data(perSeason,perCrop)'!$N:$N,'Data(perSeason,perCrop)'!$K:$K,'Indicators(perCrop)'!$A$3,'Data(perSeason,perCrop)'!$C:$C,'Indicators(perCrop)'!$A22,'Data(perSeason,perCrop)'!$S:$S,'Indicators(perCrop)'!AJ$4,'Data(perSeason,perCrop)'!$R:$R,"IRRIGATED"),"")</f>
        <v/>
      </c>
      <c r="AK22" s="8" t="str">
        <f>IF(AND(ISNUMBER(M22),$B22&lt;&gt;14,$B22&lt;&gt;15),AVERAGEIFS('Data(perSeason,perCrop)'!$M:$M,'Data(perSeason,perCrop)'!$K:$K,'Indicators(perCrop)'!$A$3,'Data(perSeason,perCrop)'!$C:$C,'Indicators(perCrop)'!$A22,'Data(perSeason,perCrop)'!$S:$S,'Indicators(perCrop)'!AK$4,'Data(perSeason,perCrop)'!$R:$R,"IRRIGATED")-AVERAGEIFS('Data(perSeason,perCrop)'!$N:$N,'Data(perSeason,perCrop)'!$K:$K,'Indicators(perCrop)'!$A$3,'Data(perSeason,perCrop)'!$C:$C,'Indicators(perCrop)'!$A22,'Data(perSeason,perCrop)'!$S:$S,'Indicators(perCrop)'!AK$4,'Data(perSeason,perCrop)'!$R:$R,"IRRIGATED"),"")</f>
        <v/>
      </c>
      <c r="AL22" s="8" t="str">
        <f>IF(AND(ISNUMBER(N22),$B22&lt;&gt;14,$B22&lt;&gt;15),AVERAGEIFS('Data(perSeason,perCrop)'!$M:$M,'Data(perSeason,perCrop)'!$K:$K,'Indicators(perCrop)'!$A$3,'Data(perSeason,perCrop)'!$C:$C,'Indicators(perCrop)'!$A22,'Data(perSeason,perCrop)'!$S:$S,'Indicators(perCrop)'!AL$4,'Data(perSeason,perCrop)'!$R:$R,"IRRIGATED")-AVERAGEIFS('Data(perSeason,perCrop)'!$N:$N,'Data(perSeason,perCrop)'!$K:$K,'Indicators(perCrop)'!$A$3,'Data(perSeason,perCrop)'!$C:$C,'Indicators(perCrop)'!$A22,'Data(perSeason,perCrop)'!$S:$S,'Indicators(perCrop)'!AL$4,'Data(perSeason,perCrop)'!$R:$R,"IRRIGATED"),"")</f>
        <v/>
      </c>
      <c r="AM22" s="8" t="e">
        <f t="shared" si="14"/>
        <v>#DIV/0!</v>
      </c>
      <c r="AN22" s="7" t="e">
        <f>AVERAGEIFS('Data(perCrop)'!$K:$K,'Data(perCrop)'!$B:$B,$A22,'Data(perCrop)'!$H:$H,$A$3,'Data(perCrop)'!$O:$O,'Indicators(perCrop)'!C$4)</f>
        <v>#DIV/0!</v>
      </c>
      <c r="AO22" s="7" t="e">
        <f>AVERAGEIFS('Data(perCrop)'!$K:$K,'Data(perCrop)'!$B:$B,$A22,'Data(perCrop)'!$H:$H,$A$3,'Data(perCrop)'!$O:$O,'Indicators(perCrop)'!D$4)</f>
        <v>#DIV/0!</v>
      </c>
      <c r="AP22" s="7" t="e">
        <f>AVERAGEIFS('Data(perCrop)'!$K:$K,'Data(perCrop)'!$B:$B,$A22,'Data(perCrop)'!$H:$H,$A$3,'Data(perCrop)'!$O:$O,'Indicators(perCrop)'!E$4)</f>
        <v>#DIV/0!</v>
      </c>
      <c r="AQ22" s="7" t="e">
        <f>AVERAGEIFS('Data(perCrop)'!$K:$K,'Data(perCrop)'!$B:$B,$A22,'Data(perCrop)'!$H:$H,$A$3,'Data(perCrop)'!$O:$O,'Indicators(perCrop)'!F$4)</f>
        <v>#DIV/0!</v>
      </c>
      <c r="AR22" s="7" t="e">
        <f>AVERAGEIFS('Data(perCrop)'!$K:$K,'Data(perCrop)'!$B:$B,$A22,'Data(perCrop)'!$H:$H,$A$3,'Data(perCrop)'!$O:$O,'Indicators(perCrop)'!G$4)</f>
        <v>#DIV/0!</v>
      </c>
      <c r="AS22" s="8" t="e">
        <f t="shared" si="15"/>
        <v>#DIV/0!</v>
      </c>
      <c r="AT22" s="50"/>
      <c r="AU22" s="50"/>
      <c r="AV22" s="50"/>
      <c r="AW22" s="50"/>
      <c r="AX22" s="50"/>
      <c r="AY22" s="50"/>
      <c r="AZ22" s="50"/>
      <c r="BA22" s="8"/>
      <c r="BB22" s="7">
        <f>SUMIFS('Data(perSeason,perCrop)'!$A:$A,'Data(perSeason,perCrop)'!$C:$C,'Indicators(perCrop)'!$A22,'Data(perSeason,perCrop)'!$R:$R,"IRRIGATED",'Data(perSeason,perCrop)'!$O:$O,'Indicators(perCrop)'!BB$4)/5</f>
        <v>0</v>
      </c>
      <c r="BC22" s="7">
        <f>SUMIFS('Data(perSeason,perCrop)'!$A:$A,'Data(perSeason,perCrop)'!$C:$C,'Indicators(perCrop)'!$A22,'Data(perSeason,perCrop)'!$R:$R,"IRRIGATED",'Data(perSeason,perCrop)'!$O:$O,'Indicators(perCrop)'!BC$4)/5</f>
        <v>0</v>
      </c>
      <c r="BD22" s="7">
        <f>SUMIFS('Data(perSeason,perCrop)'!$A:$A,'Data(perSeason,perCrop)'!$C:$C,'Indicators(perCrop)'!$A22,'Data(perSeason,perCrop)'!$R:$R,"IRRIGATED",'Data(perSeason,perCrop)'!$O:$O,'Indicators(perCrop)'!BD$4)/5</f>
        <v>0</v>
      </c>
      <c r="BE22" s="7" t="e">
        <f>AVERAGEIFS('Data(perSeason,perCrop)'!$G:$G,'Data(perSeason,perCrop)'!$C:$C,'Indicators(perCrop)'!$A22,'Data(perSeason,perCrop)'!$R:$R,"IRRIGATED",'Data(perSeason,perCrop)'!$O:$O,'Indicators(perCrop)'!BE$4)</f>
        <v>#DIV/0!</v>
      </c>
      <c r="BF22" s="7" t="e">
        <f>AVERAGEIFS('Data(perSeason,perCrop)'!$G:$G,'Data(perSeason,perCrop)'!$C:$C,'Indicators(perCrop)'!$A22,'Data(perSeason,perCrop)'!$R:$R,"IRRIGATED",'Data(perSeason,perCrop)'!$O:$O,'Indicators(perCrop)'!BF$4)</f>
        <v>#DIV/0!</v>
      </c>
      <c r="BG22" s="7" t="e">
        <f>AVERAGEIFS('Data(perSeason,perCrop)'!$G:$G,'Data(perSeason,perCrop)'!$C:$C,'Indicators(perCrop)'!$A22,'Data(perSeason,perCrop)'!$R:$R,"IRRIGATED",'Data(perSeason,perCrop)'!$O:$O,'Indicators(perCrop)'!BG$4)</f>
        <v>#DIV/0!</v>
      </c>
      <c r="BH22" s="7" t="str">
        <f t="shared" si="24"/>
        <v/>
      </c>
      <c r="BI22" s="7" t="str">
        <f t="shared" si="21"/>
        <v/>
      </c>
      <c r="BJ22" s="7" t="str">
        <f t="shared" si="22"/>
        <v/>
      </c>
      <c r="BK22" s="25" t="e">
        <f>AVERAGEIFS('Data(perCrop)'!F:F,'Data(perCrop)'!$B:$B,A22)</f>
        <v>#DIV/0!</v>
      </c>
      <c r="BL22" s="8" t="str">
        <f t="shared" si="2"/>
        <v/>
      </c>
      <c r="BM22" s="32" t="str">
        <f t="shared" si="3"/>
        <v/>
      </c>
    </row>
    <row r="23" spans="1:65" x14ac:dyDescent="0.25">
      <c r="A23" s="9" t="s">
        <v>127</v>
      </c>
      <c r="B23">
        <v>33</v>
      </c>
      <c r="C23" s="7" t="str">
        <f>IF(AND(ISNUMBER(AVERAGEIFS('Data(perCrop)'!$A:$A,'Data(perCrop)'!$B:$B,$A23,'Data(perCrop)'!$H:$H,$A$3,'Data(perCrop)'!$O:$O,'Indicators(perCrop)'!C$4)),$B23&lt;&gt;14,$B23&lt;&gt;15),AVERAGEIFS('Data(perCrop)'!$A:$A,'Data(perCrop)'!$B:$B,$A23,'Data(perCrop)'!$H:$H,$A$3,'Data(perCrop)'!$O:$O,'Indicators(perCrop)'!C$4),"")</f>
        <v/>
      </c>
      <c r="D23" s="7" t="str">
        <f>IF(AND(ISNUMBER(AVERAGEIFS('Data(perCrop)'!$A:$A,'Data(perCrop)'!$B:$B,$A23,'Data(perCrop)'!$H:$H,$A$3,'Data(perCrop)'!$O:$O,'Indicators(perCrop)'!D$4)),$B23&lt;&gt;14,$B23&lt;&gt;15),AVERAGEIFS('Data(perCrop)'!$A:$A,'Data(perCrop)'!$B:$B,$A23,'Data(perCrop)'!$H:$H,$A$3,'Data(perCrop)'!$O:$O,'Indicators(perCrop)'!D$4),"")</f>
        <v/>
      </c>
      <c r="E23" s="7" t="str">
        <f>IF(AND(ISNUMBER(AVERAGEIFS('Data(perCrop)'!$A:$A,'Data(perCrop)'!$B:$B,$A23,'Data(perCrop)'!$H:$H,$A$3,'Data(perCrop)'!$O:$O,'Indicators(perCrop)'!E$4)),$B23&lt;&gt;14,$B23&lt;&gt;15),AVERAGEIFS('Data(perCrop)'!$A:$A,'Data(perCrop)'!$B:$B,$A23,'Data(perCrop)'!$H:$H,$A$3,'Data(perCrop)'!$O:$O,'Indicators(perCrop)'!E$4),"")</f>
        <v/>
      </c>
      <c r="F23" s="7" t="str">
        <f>IF(AND(ISNUMBER(AVERAGEIFS('Data(perCrop)'!$A:$A,'Data(perCrop)'!$B:$B,$A23,'Data(perCrop)'!$H:$H,$A$3,'Data(perCrop)'!$O:$O,'Indicators(perCrop)'!F$4)),$B23&lt;&gt;14,$B23&lt;&gt;15),AVERAGEIFS('Data(perCrop)'!$A:$A,'Data(perCrop)'!$B:$B,$A23,'Data(perCrop)'!$H:$H,$A$3,'Data(perCrop)'!$O:$O,'Indicators(perCrop)'!F$4),"")</f>
        <v/>
      </c>
      <c r="G23" s="7" t="str">
        <f>IF(AND(ISNUMBER(AVERAGEIFS('Data(perCrop)'!$A:$A,'Data(perCrop)'!$B:$B,$A23,'Data(perCrop)'!$H:$H,$A$3,'Data(perCrop)'!$O:$O,'Indicators(perCrop)'!G$4)),$B23&lt;&gt;14,$B23&lt;&gt;15),AVERAGEIFS('Data(perCrop)'!$A:$A,'Data(perCrop)'!$B:$B,$A23,'Data(perCrop)'!$H:$H,$A$3,'Data(perCrop)'!$O:$O,'Indicators(perCrop)'!G$4),"")</f>
        <v/>
      </c>
      <c r="H23" s="7" t="str">
        <f t="shared" si="4"/>
        <v/>
      </c>
      <c r="I23" s="32" t="str">
        <f t="shared" si="5"/>
        <v/>
      </c>
      <c r="J23" s="7" t="e">
        <f>AVERAGEIFS('Data(perCrop)'!$D:$D,'Data(perCrop)'!$B:$B,$A23,'Data(perCrop)'!$H:$H,$A$3,'Data(perCrop)'!$O:$O,'Indicators(perCrop)'!C$4)</f>
        <v>#DIV/0!</v>
      </c>
      <c r="K23" s="7" t="e">
        <f>AVERAGEIFS('Data(perCrop)'!$D:$D,'Data(perCrop)'!$B:$B,$A23,'Data(perCrop)'!$H:$H,$A$3,'Data(perCrop)'!$O:$O,'Indicators(perCrop)'!D$4)</f>
        <v>#DIV/0!</v>
      </c>
      <c r="L23" s="7" t="e">
        <f>AVERAGEIFS('Data(perCrop)'!$D:$D,'Data(perCrop)'!$B:$B,$A23,'Data(perCrop)'!$H:$H,$A$3,'Data(perCrop)'!$O:$O,'Indicators(perCrop)'!E$4)</f>
        <v>#DIV/0!</v>
      </c>
      <c r="M23" s="7" t="e">
        <f>AVERAGEIFS('Data(perCrop)'!$D:$D,'Data(perCrop)'!$B:$B,$A23,'Data(perCrop)'!$H:$H,$A$3,'Data(perCrop)'!$O:$O,'Indicators(perCrop)'!F$4)</f>
        <v>#DIV/0!</v>
      </c>
      <c r="N23" s="7" t="e">
        <f>AVERAGEIFS('Data(perCrop)'!$D:$D,'Data(perCrop)'!$B:$B,$A23,'Data(perCrop)'!$H:$H,$A$3,'Data(perCrop)'!$O:$O,'Indicators(perCrop)'!G$4)</f>
        <v>#DIV/0!</v>
      </c>
      <c r="O23" s="7" t="e">
        <f t="shared" si="6"/>
        <v>#DIV/0!</v>
      </c>
      <c r="P23" s="7" t="e">
        <f>AVERAGEIFS('Data(perCrop)'!$E:$E,'Data(perCrop)'!$B:$B,$A23,'Data(perCrop)'!$H:$H,$A$3,'Data(perCrop)'!$O:$O,'Indicators(perCrop)'!J$4)</f>
        <v>#DIV/0!</v>
      </c>
      <c r="Q23" s="7" t="e">
        <f>AVERAGEIFS('Data(perCrop)'!$E:$E,'Data(perCrop)'!$B:$B,$A23,'Data(perCrop)'!$H:$H,$A$3,'Data(perCrop)'!$O:$O,'Indicators(perCrop)'!K$4)</f>
        <v>#DIV/0!</v>
      </c>
      <c r="R23" s="7" t="e">
        <f>AVERAGEIFS('Data(perCrop)'!$E:$E,'Data(perCrop)'!$B:$B,$A23,'Data(perCrop)'!$H:$H,$A$3,'Data(perCrop)'!$O:$O,'Indicators(perCrop)'!L$4)</f>
        <v>#DIV/0!</v>
      </c>
      <c r="S23" s="7" t="e">
        <f>AVERAGEIFS('Data(perCrop)'!$E:$E,'Data(perCrop)'!$B:$B,$A23,'Data(perCrop)'!$H:$H,$A$3,'Data(perCrop)'!$O:$O,'Indicators(perCrop)'!M$4)</f>
        <v>#DIV/0!</v>
      </c>
      <c r="T23" s="7" t="e">
        <f>AVERAGEIFS('Data(perCrop)'!$E:$E,'Data(perCrop)'!$B:$B,$A23,'Data(perCrop)'!$H:$H,$A$3,'Data(perCrop)'!$O:$O,'Indicators(perCrop)'!N$4)</f>
        <v>#DIV/0!</v>
      </c>
      <c r="U23" s="7" t="e">
        <f t="shared" si="7"/>
        <v>#DIV/0!</v>
      </c>
      <c r="V23" s="8" t="str">
        <f t="shared" si="8"/>
        <v/>
      </c>
      <c r="W23" s="8" t="str">
        <f t="shared" si="9"/>
        <v/>
      </c>
      <c r="X23" s="8" t="str">
        <f t="shared" si="10"/>
        <v/>
      </c>
      <c r="Y23" s="8" t="str">
        <f t="shared" si="11"/>
        <v/>
      </c>
      <c r="Z23" s="8" t="str">
        <f t="shared" si="12"/>
        <v/>
      </c>
      <c r="AA23" s="8" t="e">
        <f t="shared" si="25"/>
        <v>#DIV/0!</v>
      </c>
      <c r="AB23" s="8" t="str">
        <f>IF(AND(ISNUMBER(J23),$B23&lt;&gt;14,$B23&lt;&gt;15),(AVERAGEIFS('Data(perCrop)'!$L:$L,'Data(perCrop)'!$B:$B,'Indicators(perCrop)'!$A23,'Data(perCrop)'!$O:$O,'Indicators(perCrop)'!AB$4,'Data(perCrop)'!$H:$H,'Indicators(perCrop)'!$A$3)-AVERAGEIFS('Data(perCrop)'!$K:$K,'Data(perCrop)'!$B:$B,'Indicators(perCrop)'!$A23,'Data(perCrop)'!$O:$O,'Indicators(perCrop)'!AB$4,'Data(perCrop)'!$H:$H,'Indicators(perCrop)'!$A$3))/AVERAGEIFS('Data(perCrop)'!$L:$L,'Data(perCrop)'!$B:$B,'Indicators(perCrop)'!$A23,'Data(perCrop)'!$O:$O,'Indicators(perCrop)'!AB$4,'Data(perCrop)'!$H:$H,'Indicators(perCrop)'!$A$3),"")</f>
        <v/>
      </c>
      <c r="AC23" s="8" t="str">
        <f>IF(AND(ISNUMBER(K23),$B23&lt;&gt;14,$B23&lt;&gt;15),(AVERAGEIFS('Data(perCrop)'!$L:$L,'Data(perCrop)'!$B:$B,'Indicators(perCrop)'!$A23,'Data(perCrop)'!$O:$O,'Indicators(perCrop)'!AC$4,'Data(perCrop)'!$H:$H,'Indicators(perCrop)'!$A$3)-AVERAGEIFS('Data(perCrop)'!$K:$K,'Data(perCrop)'!$B:$B,'Indicators(perCrop)'!$A23,'Data(perCrop)'!$O:$O,'Indicators(perCrop)'!AC$4,'Data(perCrop)'!$H:$H,'Indicators(perCrop)'!$A$3))/AVERAGEIFS('Data(perCrop)'!$L:$L,'Data(perCrop)'!$B:$B,'Indicators(perCrop)'!$A23,'Data(perCrop)'!$O:$O,'Indicators(perCrop)'!AC$4,'Data(perCrop)'!$H:$H,'Indicators(perCrop)'!$A$3),"")</f>
        <v/>
      </c>
      <c r="AD23" s="8" t="str">
        <f>IF(AND(ISNUMBER(L23),$B23&lt;&gt;14,$B23&lt;&gt;15),(AVERAGEIFS('Data(perCrop)'!$L:$L,'Data(perCrop)'!$B:$B,'Indicators(perCrop)'!$A23,'Data(perCrop)'!$O:$O,'Indicators(perCrop)'!AD$4,'Data(perCrop)'!$H:$H,'Indicators(perCrop)'!$A$3)-AVERAGEIFS('Data(perCrop)'!$K:$K,'Data(perCrop)'!$B:$B,'Indicators(perCrop)'!$A23,'Data(perCrop)'!$O:$O,'Indicators(perCrop)'!AD$4,'Data(perCrop)'!$H:$H,'Indicators(perCrop)'!$A$3))/AVERAGEIFS('Data(perCrop)'!$L:$L,'Data(perCrop)'!$B:$B,'Indicators(perCrop)'!$A23,'Data(perCrop)'!$O:$O,'Indicators(perCrop)'!AD$4,'Data(perCrop)'!$H:$H,'Indicators(perCrop)'!$A$3),"")</f>
        <v/>
      </c>
      <c r="AE23" s="8" t="str">
        <f>IF(AND(ISNUMBER(M23),$B23&lt;&gt;14,$B23&lt;&gt;15),(AVERAGEIFS('Data(perCrop)'!$L:$L,'Data(perCrop)'!$B:$B,'Indicators(perCrop)'!$A23,'Data(perCrop)'!$O:$O,'Indicators(perCrop)'!AE$4,'Data(perCrop)'!$H:$H,'Indicators(perCrop)'!$A$3)-AVERAGEIFS('Data(perCrop)'!$K:$K,'Data(perCrop)'!$B:$B,'Indicators(perCrop)'!$A23,'Data(perCrop)'!$O:$O,'Indicators(perCrop)'!AE$4,'Data(perCrop)'!$H:$H,'Indicators(perCrop)'!$A$3))/AVERAGEIFS('Data(perCrop)'!$L:$L,'Data(perCrop)'!$B:$B,'Indicators(perCrop)'!$A23,'Data(perCrop)'!$O:$O,'Indicators(perCrop)'!AE$4,'Data(perCrop)'!$H:$H,'Indicators(perCrop)'!$A$3),"")</f>
        <v/>
      </c>
      <c r="AF23" s="8" t="str">
        <f>IF(AND(ISNUMBER(N23),$B23&lt;&gt;14,$B23&lt;&gt;15),(AVERAGEIFS('Data(perCrop)'!$L:$L,'Data(perCrop)'!$B:$B,'Indicators(perCrop)'!$A23,'Data(perCrop)'!$O:$O,'Indicators(perCrop)'!AF$4,'Data(perCrop)'!$H:$H,'Indicators(perCrop)'!$A$3)-AVERAGEIFS('Data(perCrop)'!$K:$K,'Data(perCrop)'!$B:$B,'Indicators(perCrop)'!$A23,'Data(perCrop)'!$O:$O,'Indicators(perCrop)'!AF$4,'Data(perCrop)'!$H:$H,'Indicators(perCrop)'!$A$3))/AVERAGEIFS('Data(perCrop)'!$L:$L,'Data(perCrop)'!$B:$B,'Indicators(perCrop)'!$A23,'Data(perCrop)'!$O:$O,'Indicators(perCrop)'!AF$4,'Data(perCrop)'!$H:$H,'Indicators(perCrop)'!$A$3),"")</f>
        <v/>
      </c>
      <c r="AG23" s="8" t="e">
        <f t="shared" si="13"/>
        <v>#DIV/0!</v>
      </c>
      <c r="AH23" s="8" t="str">
        <f>IF(AND(ISNUMBER(J23),$B23&lt;&gt;14,$B23&lt;&gt;15),AVERAGEIFS('Data(perSeason,perCrop)'!$M:$M,'Data(perSeason,perCrop)'!$K:$K,'Indicators(perCrop)'!$A$3,'Data(perSeason,perCrop)'!$C:$C,'Indicators(perCrop)'!$A23,'Data(perSeason,perCrop)'!$S:$S,'Indicators(perCrop)'!AH$4,'Data(perSeason,perCrop)'!$R:$R,"IRRIGATED")-AVERAGEIFS('Data(perSeason,perCrop)'!$N:$N,'Data(perSeason,perCrop)'!$K:$K,'Indicators(perCrop)'!$A$3,'Data(perSeason,perCrop)'!$C:$C,'Indicators(perCrop)'!$A23,'Data(perSeason,perCrop)'!$S:$S,'Indicators(perCrop)'!AH$4,'Data(perSeason,perCrop)'!$R:$R,"IRRIGATED"),"")</f>
        <v/>
      </c>
      <c r="AI23" s="8" t="str">
        <f>IF(AND(ISNUMBER(K23),$B23&lt;&gt;14,$B23&lt;&gt;15),AVERAGEIFS('Data(perSeason,perCrop)'!$M:$M,'Data(perSeason,perCrop)'!$K:$K,'Indicators(perCrop)'!$A$3,'Data(perSeason,perCrop)'!$C:$C,'Indicators(perCrop)'!$A23,'Data(perSeason,perCrop)'!$S:$S,'Indicators(perCrop)'!AI$4,'Data(perSeason,perCrop)'!$R:$R,"IRRIGATED")-AVERAGEIFS('Data(perSeason,perCrop)'!$N:$N,'Data(perSeason,perCrop)'!$K:$K,'Indicators(perCrop)'!$A$3,'Data(perSeason,perCrop)'!$C:$C,'Indicators(perCrop)'!$A23,'Data(perSeason,perCrop)'!$S:$S,'Indicators(perCrop)'!AI$4,'Data(perSeason,perCrop)'!$R:$R,"IRRIGATED"),"")</f>
        <v/>
      </c>
      <c r="AJ23" s="8" t="str">
        <f>IF(AND(ISNUMBER(L23),$B23&lt;&gt;14,$B23&lt;&gt;15),AVERAGEIFS('Data(perSeason,perCrop)'!$M:$M,'Data(perSeason,perCrop)'!$K:$K,'Indicators(perCrop)'!$A$3,'Data(perSeason,perCrop)'!$C:$C,'Indicators(perCrop)'!$A23,'Data(perSeason,perCrop)'!$S:$S,'Indicators(perCrop)'!AJ$4,'Data(perSeason,perCrop)'!$R:$R,"IRRIGATED")-AVERAGEIFS('Data(perSeason,perCrop)'!$N:$N,'Data(perSeason,perCrop)'!$K:$K,'Indicators(perCrop)'!$A$3,'Data(perSeason,perCrop)'!$C:$C,'Indicators(perCrop)'!$A23,'Data(perSeason,perCrop)'!$S:$S,'Indicators(perCrop)'!AJ$4,'Data(perSeason,perCrop)'!$R:$R,"IRRIGATED"),"")</f>
        <v/>
      </c>
      <c r="AK23" s="8" t="str">
        <f>IF(AND(ISNUMBER(M23),$B23&lt;&gt;14,$B23&lt;&gt;15),AVERAGEIFS('Data(perSeason,perCrop)'!$M:$M,'Data(perSeason,perCrop)'!$K:$K,'Indicators(perCrop)'!$A$3,'Data(perSeason,perCrop)'!$C:$C,'Indicators(perCrop)'!$A23,'Data(perSeason,perCrop)'!$S:$S,'Indicators(perCrop)'!AK$4,'Data(perSeason,perCrop)'!$R:$R,"IRRIGATED")-AVERAGEIFS('Data(perSeason,perCrop)'!$N:$N,'Data(perSeason,perCrop)'!$K:$K,'Indicators(perCrop)'!$A$3,'Data(perSeason,perCrop)'!$C:$C,'Indicators(perCrop)'!$A23,'Data(perSeason,perCrop)'!$S:$S,'Indicators(perCrop)'!AK$4,'Data(perSeason,perCrop)'!$R:$R,"IRRIGATED"),"")</f>
        <v/>
      </c>
      <c r="AL23" s="8" t="str">
        <f>IF(AND(ISNUMBER(N23),$B23&lt;&gt;14,$B23&lt;&gt;15),AVERAGEIFS('Data(perSeason,perCrop)'!$M:$M,'Data(perSeason,perCrop)'!$K:$K,'Indicators(perCrop)'!$A$3,'Data(perSeason,perCrop)'!$C:$C,'Indicators(perCrop)'!$A23,'Data(perSeason,perCrop)'!$S:$S,'Indicators(perCrop)'!AL$4,'Data(perSeason,perCrop)'!$R:$R,"IRRIGATED")-AVERAGEIFS('Data(perSeason,perCrop)'!$N:$N,'Data(perSeason,perCrop)'!$K:$K,'Indicators(perCrop)'!$A$3,'Data(perSeason,perCrop)'!$C:$C,'Indicators(perCrop)'!$A23,'Data(perSeason,perCrop)'!$S:$S,'Indicators(perCrop)'!AL$4,'Data(perSeason,perCrop)'!$R:$R,"IRRIGATED"),"")</f>
        <v/>
      </c>
      <c r="AM23" s="8" t="e">
        <f t="shared" si="14"/>
        <v>#DIV/0!</v>
      </c>
      <c r="AN23" s="7" t="e">
        <f>AVERAGEIFS('Data(perCrop)'!$K:$K,'Data(perCrop)'!$B:$B,$A23,'Data(perCrop)'!$H:$H,$A$3,'Data(perCrop)'!$O:$O,'Indicators(perCrop)'!C$4)</f>
        <v>#DIV/0!</v>
      </c>
      <c r="AO23" s="7" t="e">
        <f>AVERAGEIFS('Data(perCrop)'!$K:$K,'Data(perCrop)'!$B:$B,$A23,'Data(perCrop)'!$H:$H,$A$3,'Data(perCrop)'!$O:$O,'Indicators(perCrop)'!D$4)</f>
        <v>#DIV/0!</v>
      </c>
      <c r="AP23" s="7" t="e">
        <f>AVERAGEIFS('Data(perCrop)'!$K:$K,'Data(perCrop)'!$B:$B,$A23,'Data(perCrop)'!$H:$H,$A$3,'Data(perCrop)'!$O:$O,'Indicators(perCrop)'!E$4)</f>
        <v>#DIV/0!</v>
      </c>
      <c r="AQ23" s="7" t="e">
        <f>AVERAGEIFS('Data(perCrop)'!$K:$K,'Data(perCrop)'!$B:$B,$A23,'Data(perCrop)'!$H:$H,$A$3,'Data(perCrop)'!$O:$O,'Indicators(perCrop)'!F$4)</f>
        <v>#DIV/0!</v>
      </c>
      <c r="AR23" s="7" t="e">
        <f>AVERAGEIFS('Data(perCrop)'!$K:$K,'Data(perCrop)'!$B:$B,$A23,'Data(perCrop)'!$H:$H,$A$3,'Data(perCrop)'!$O:$O,'Indicators(perCrop)'!G$4)</f>
        <v>#DIV/0!</v>
      </c>
      <c r="AS23" s="8" t="e">
        <f t="shared" si="15"/>
        <v>#DIV/0!</v>
      </c>
      <c r="AT23" s="50"/>
      <c r="AU23" s="50"/>
      <c r="AV23" s="50"/>
      <c r="AW23" s="50"/>
      <c r="AX23" s="50"/>
      <c r="AY23" s="50"/>
      <c r="AZ23" s="50"/>
      <c r="BA23" s="8"/>
      <c r="BB23" s="7">
        <f>SUMIFS('Data(perSeason,perCrop)'!$A:$A,'Data(perSeason,perCrop)'!$C:$C,'Indicators(perCrop)'!$A23,'Data(perSeason,perCrop)'!$R:$R,"IRRIGATED",'Data(perSeason,perCrop)'!$O:$O,'Indicators(perCrop)'!BB$4)/5</f>
        <v>0</v>
      </c>
      <c r="BC23" s="7">
        <f>SUMIFS('Data(perSeason,perCrop)'!$A:$A,'Data(perSeason,perCrop)'!$C:$C,'Indicators(perCrop)'!$A23,'Data(perSeason,perCrop)'!$R:$R,"IRRIGATED",'Data(perSeason,perCrop)'!$O:$O,'Indicators(perCrop)'!BC$4)/5</f>
        <v>0</v>
      </c>
      <c r="BD23" s="7">
        <f>SUMIFS('Data(perSeason,perCrop)'!$A:$A,'Data(perSeason,perCrop)'!$C:$C,'Indicators(perCrop)'!$A23,'Data(perSeason,perCrop)'!$R:$R,"IRRIGATED",'Data(perSeason,perCrop)'!$O:$O,'Indicators(perCrop)'!BD$4)/5</f>
        <v>0</v>
      </c>
      <c r="BE23" s="7" t="e">
        <f>AVERAGEIFS('Data(perSeason,perCrop)'!$G:$G,'Data(perSeason,perCrop)'!$C:$C,'Indicators(perCrop)'!$A23,'Data(perSeason,perCrop)'!$R:$R,"IRRIGATED",'Data(perSeason,perCrop)'!$O:$O,'Indicators(perCrop)'!BE$4)</f>
        <v>#DIV/0!</v>
      </c>
      <c r="BF23" s="7" t="e">
        <f>AVERAGEIFS('Data(perSeason,perCrop)'!$G:$G,'Data(perSeason,perCrop)'!$C:$C,'Indicators(perCrop)'!$A23,'Data(perSeason,perCrop)'!$R:$R,"IRRIGATED",'Data(perSeason,perCrop)'!$O:$O,'Indicators(perCrop)'!BF$4)</f>
        <v>#DIV/0!</v>
      </c>
      <c r="BG23" s="7" t="e">
        <f>AVERAGEIFS('Data(perSeason,perCrop)'!$G:$G,'Data(perSeason,perCrop)'!$C:$C,'Indicators(perCrop)'!$A23,'Data(perSeason,perCrop)'!$R:$R,"IRRIGATED",'Data(perSeason,perCrop)'!$O:$O,'Indicators(perCrop)'!BG$4)</f>
        <v>#DIV/0!</v>
      </c>
      <c r="BH23" s="7" t="str">
        <f t="shared" si="24"/>
        <v/>
      </c>
      <c r="BI23" s="7" t="str">
        <f t="shared" si="21"/>
        <v/>
      </c>
      <c r="BJ23" s="7" t="str">
        <f t="shared" si="22"/>
        <v/>
      </c>
      <c r="BK23" s="25" t="e">
        <f>AVERAGEIFS('Data(perCrop)'!F:F,'Data(perCrop)'!$B:$B,A23)</f>
        <v>#DIV/0!</v>
      </c>
      <c r="BL23" s="8" t="str">
        <f t="shared" si="2"/>
        <v/>
      </c>
      <c r="BM23" s="32" t="str">
        <f t="shared" si="3"/>
        <v/>
      </c>
    </row>
    <row r="24" spans="1:65" x14ac:dyDescent="0.25">
      <c r="A24" s="9" t="s">
        <v>132</v>
      </c>
      <c r="B24">
        <v>34</v>
      </c>
      <c r="C24" s="7">
        <f>IF(AND(ISNUMBER(AVERAGEIFS('Data(perCrop)'!$A:$A,'Data(perCrop)'!$B:$B,$A24,'Data(perCrop)'!$H:$H,$A$3,'Data(perCrop)'!$O:$O,'Indicators(perCrop)'!C$4)),$B24&lt;&gt;14,$B24&lt;&gt;15),AVERAGEIFS('Data(perCrop)'!$A:$A,'Data(perCrop)'!$B:$B,$A24,'Data(perCrop)'!$H:$H,$A$3,'Data(perCrop)'!$O:$O,'Indicators(perCrop)'!C$4),"")</f>
        <v>1372.5328209895799</v>
      </c>
      <c r="D24" s="7">
        <f>IF(AND(ISNUMBER(AVERAGEIFS('Data(perCrop)'!$A:$A,'Data(perCrop)'!$B:$B,$A24,'Data(perCrop)'!$H:$H,$A$3,'Data(perCrop)'!$O:$O,'Indicators(perCrop)'!D$4)),$B24&lt;&gt;14,$B24&lt;&gt;15),AVERAGEIFS('Data(perCrop)'!$A:$A,'Data(perCrop)'!$B:$B,$A24,'Data(perCrop)'!$H:$H,$A$3,'Data(perCrop)'!$O:$O,'Indicators(perCrop)'!D$4),"")</f>
        <v>5645.1071199767503</v>
      </c>
      <c r="E24" s="7">
        <f>IF(AND(ISNUMBER(AVERAGEIFS('Data(perCrop)'!$A:$A,'Data(perCrop)'!$B:$B,$A24,'Data(perCrop)'!$H:$H,$A$3,'Data(perCrop)'!$O:$O,'Indicators(perCrop)'!E$4)),$B24&lt;&gt;14,$B24&lt;&gt;15),AVERAGEIFS('Data(perCrop)'!$A:$A,'Data(perCrop)'!$B:$B,$A24,'Data(perCrop)'!$H:$H,$A$3,'Data(perCrop)'!$O:$O,'Indicators(perCrop)'!E$4),"")</f>
        <v>539.54579423809798</v>
      </c>
      <c r="F24" s="7">
        <f>IF(AND(ISNUMBER(AVERAGEIFS('Data(perCrop)'!$A:$A,'Data(perCrop)'!$B:$B,$A24,'Data(perCrop)'!$H:$H,$A$3,'Data(perCrop)'!$O:$O,'Indicators(perCrop)'!F$4)),$B24&lt;&gt;14,$B24&lt;&gt;15),AVERAGEIFS('Data(perCrop)'!$A:$A,'Data(perCrop)'!$B:$B,$A24,'Data(perCrop)'!$H:$H,$A$3,'Data(perCrop)'!$O:$O,'Indicators(perCrop)'!F$4),"")</f>
        <v>866.44822691414799</v>
      </c>
      <c r="G24" s="7">
        <f>IF(AND(ISNUMBER(AVERAGEIFS('Data(perCrop)'!$A:$A,'Data(perCrop)'!$B:$B,$A24,'Data(perCrop)'!$H:$H,$A$3,'Data(perCrop)'!$O:$O,'Indicators(perCrop)'!G$4)),$B24&lt;&gt;14,$B24&lt;&gt;15),AVERAGEIFS('Data(perCrop)'!$A:$A,'Data(perCrop)'!$B:$B,$A24,'Data(perCrop)'!$H:$H,$A$3,'Data(perCrop)'!$O:$O,'Indicators(perCrop)'!G$4),"")</f>
        <v>1736.8012812009499</v>
      </c>
      <c r="H24" s="7">
        <f t="shared" si="4"/>
        <v>2032.0870486639051</v>
      </c>
      <c r="I24" s="32">
        <f t="shared" si="5"/>
        <v>0.19618976026855292</v>
      </c>
      <c r="J24" s="7">
        <f>AVERAGEIFS('Data(perCrop)'!$D:$D,'Data(perCrop)'!$B:$B,$A24,'Data(perCrop)'!$H:$H,$A$3,'Data(perCrop)'!$O:$O,'Indicators(perCrop)'!C$4)</f>
        <v>859</v>
      </c>
      <c r="K24" s="7">
        <f>AVERAGEIFS('Data(perCrop)'!$D:$D,'Data(perCrop)'!$B:$B,$A24,'Data(perCrop)'!$H:$H,$A$3,'Data(perCrop)'!$O:$O,'Indicators(perCrop)'!D$4)</f>
        <v>839</v>
      </c>
      <c r="L24" s="7">
        <f>AVERAGEIFS('Data(perCrop)'!$D:$D,'Data(perCrop)'!$B:$B,$A24,'Data(perCrop)'!$H:$H,$A$3,'Data(perCrop)'!$O:$O,'Indicators(perCrop)'!E$4)</f>
        <v>888</v>
      </c>
      <c r="M24" s="7">
        <f>AVERAGEIFS('Data(perCrop)'!$D:$D,'Data(perCrop)'!$B:$B,$A24,'Data(perCrop)'!$H:$H,$A$3,'Data(perCrop)'!$O:$O,'Indicators(perCrop)'!F$4)</f>
        <v>871</v>
      </c>
      <c r="N24" s="7">
        <f>AVERAGEIFS('Data(perCrop)'!$D:$D,'Data(perCrop)'!$B:$B,$A24,'Data(perCrop)'!$H:$H,$A$3,'Data(perCrop)'!$O:$O,'Indicators(perCrop)'!G$4)</f>
        <v>854</v>
      </c>
      <c r="O24" s="7">
        <f t="shared" si="6"/>
        <v>862.2</v>
      </c>
      <c r="P24" s="7">
        <f>AVERAGEIFS('Data(perCrop)'!$E:$E,'Data(perCrop)'!$B:$B,$A24,'Data(perCrop)'!$H:$H,$A$3,'Data(perCrop)'!$O:$O,'Indicators(perCrop)'!J$4)</f>
        <v>1147</v>
      </c>
      <c r="Q24" s="7">
        <f>AVERAGEIFS('Data(perCrop)'!$E:$E,'Data(perCrop)'!$B:$B,$A24,'Data(perCrop)'!$H:$H,$A$3,'Data(perCrop)'!$O:$O,'Indicators(perCrop)'!K$4)</f>
        <v>1059</v>
      </c>
      <c r="R24" s="7">
        <f>AVERAGEIFS('Data(perCrop)'!$E:$E,'Data(perCrop)'!$B:$B,$A24,'Data(perCrop)'!$H:$H,$A$3,'Data(perCrop)'!$O:$O,'Indicators(perCrop)'!L$4)</f>
        <v>1131</v>
      </c>
      <c r="S24" s="7">
        <f>AVERAGEIFS('Data(perCrop)'!$E:$E,'Data(perCrop)'!$B:$B,$A24,'Data(perCrop)'!$H:$H,$A$3,'Data(perCrop)'!$O:$O,'Indicators(perCrop)'!M$4)</f>
        <v>1083</v>
      </c>
      <c r="T24" s="7">
        <f>AVERAGEIFS('Data(perCrop)'!$E:$E,'Data(perCrop)'!$B:$B,$A24,'Data(perCrop)'!$H:$H,$A$3,'Data(perCrop)'!$O:$O,'Indicators(perCrop)'!N$4)</f>
        <v>1099</v>
      </c>
      <c r="U24" s="7">
        <f t="shared" si="7"/>
        <v>1103.8</v>
      </c>
      <c r="V24" s="8">
        <f t="shared" si="8"/>
        <v>0.25108979947689625</v>
      </c>
      <c r="W24" s="8">
        <f t="shared" si="9"/>
        <v>0.20774315391879128</v>
      </c>
      <c r="X24" s="8">
        <f t="shared" si="10"/>
        <v>0.21485411140583555</v>
      </c>
      <c r="Y24" s="8">
        <f t="shared" si="11"/>
        <v>0.19575253924284397</v>
      </c>
      <c r="Z24" s="8">
        <f t="shared" si="12"/>
        <v>0.22292993630573243</v>
      </c>
      <c r="AA24" s="8">
        <f t="shared" si="25"/>
        <v>0.2184739080700199</v>
      </c>
      <c r="AB24" s="8">
        <f>IF(AND(ISNUMBER(J24),$B24&lt;&gt;14,$B24&lt;&gt;15),(AVERAGEIFS('Data(perCrop)'!$L:$L,'Data(perCrop)'!$B:$B,'Indicators(perCrop)'!$A24,'Data(perCrop)'!$O:$O,'Indicators(perCrop)'!AB$4,'Data(perCrop)'!$H:$H,'Indicators(perCrop)'!$A$3)-AVERAGEIFS('Data(perCrop)'!$K:$K,'Data(perCrop)'!$B:$B,'Indicators(perCrop)'!$A24,'Data(perCrop)'!$O:$O,'Indicators(perCrop)'!AB$4,'Data(perCrop)'!$H:$H,'Indicators(perCrop)'!$A$3))/AVERAGEIFS('Data(perCrop)'!$L:$L,'Data(perCrop)'!$B:$B,'Indicators(perCrop)'!$A24,'Data(perCrop)'!$O:$O,'Indicators(perCrop)'!AB$4,'Data(perCrop)'!$H:$H,'Indicators(perCrop)'!$A$3),"")</f>
        <v>0.24603021845828121</v>
      </c>
      <c r="AC24" s="8">
        <f>IF(AND(ISNUMBER(K24),$B24&lt;&gt;14,$B24&lt;&gt;15),(AVERAGEIFS('Data(perCrop)'!$L:$L,'Data(perCrop)'!$B:$B,'Indicators(perCrop)'!$A24,'Data(perCrop)'!$O:$O,'Indicators(perCrop)'!AC$4,'Data(perCrop)'!$H:$H,'Indicators(perCrop)'!$A$3)-AVERAGEIFS('Data(perCrop)'!$K:$K,'Data(perCrop)'!$B:$B,'Indicators(perCrop)'!$A24,'Data(perCrop)'!$O:$O,'Indicators(perCrop)'!AC$4,'Data(perCrop)'!$H:$H,'Indicators(perCrop)'!$A$3))/AVERAGEIFS('Data(perCrop)'!$L:$L,'Data(perCrop)'!$B:$B,'Indicators(perCrop)'!$A24,'Data(perCrop)'!$O:$O,'Indicators(perCrop)'!AC$4,'Data(perCrop)'!$H:$H,'Indicators(perCrop)'!$A$3),"")</f>
        <v>0.2304906316399459</v>
      </c>
      <c r="AD24" s="8">
        <f>IF(AND(ISNUMBER(L24),$B24&lt;&gt;14,$B24&lt;&gt;15),(AVERAGEIFS('Data(perCrop)'!$L:$L,'Data(perCrop)'!$B:$B,'Indicators(perCrop)'!$A24,'Data(perCrop)'!$O:$O,'Indicators(perCrop)'!AD$4,'Data(perCrop)'!$H:$H,'Indicators(perCrop)'!$A$3)-AVERAGEIFS('Data(perCrop)'!$K:$K,'Data(perCrop)'!$B:$B,'Indicators(perCrop)'!$A24,'Data(perCrop)'!$O:$O,'Indicators(perCrop)'!AD$4,'Data(perCrop)'!$H:$H,'Indicators(perCrop)'!$A$3))/AVERAGEIFS('Data(perCrop)'!$L:$L,'Data(perCrop)'!$B:$B,'Indicators(perCrop)'!$A24,'Data(perCrop)'!$O:$O,'Indicators(perCrop)'!AD$4,'Data(perCrop)'!$H:$H,'Indicators(perCrop)'!$A$3),"")</f>
        <v>0.25675006873797085</v>
      </c>
      <c r="AE24" s="8">
        <f>IF(AND(ISNUMBER(M24),$B24&lt;&gt;14,$B24&lt;&gt;15),(AVERAGEIFS('Data(perCrop)'!$L:$L,'Data(perCrop)'!$B:$B,'Indicators(perCrop)'!$A24,'Data(perCrop)'!$O:$O,'Indicators(perCrop)'!AE$4,'Data(perCrop)'!$H:$H,'Indicators(perCrop)'!$A$3)-AVERAGEIFS('Data(perCrop)'!$K:$K,'Data(perCrop)'!$B:$B,'Indicators(perCrop)'!$A24,'Data(perCrop)'!$O:$O,'Indicators(perCrop)'!AE$4,'Data(perCrop)'!$H:$H,'Indicators(perCrop)'!$A$3))/AVERAGEIFS('Data(perCrop)'!$L:$L,'Data(perCrop)'!$B:$B,'Indicators(perCrop)'!$A24,'Data(perCrop)'!$O:$O,'Indicators(perCrop)'!AE$4,'Data(perCrop)'!$H:$H,'Indicators(perCrop)'!$A$3),"")</f>
        <v>0.24848696461824954</v>
      </c>
      <c r="AF24" s="8">
        <f>IF(AND(ISNUMBER(N24),$B24&lt;&gt;14,$B24&lt;&gt;15),(AVERAGEIFS('Data(perCrop)'!$L:$L,'Data(perCrop)'!$B:$B,'Indicators(perCrop)'!$A24,'Data(perCrop)'!$O:$O,'Indicators(perCrop)'!AF$4,'Data(perCrop)'!$H:$H,'Indicators(perCrop)'!$A$3)-AVERAGEIFS('Data(perCrop)'!$K:$K,'Data(perCrop)'!$B:$B,'Indicators(perCrop)'!$A24,'Data(perCrop)'!$O:$O,'Indicators(perCrop)'!AF$4,'Data(perCrop)'!$H:$H,'Indicators(perCrop)'!$A$3))/AVERAGEIFS('Data(perCrop)'!$L:$L,'Data(perCrop)'!$B:$B,'Indicators(perCrop)'!$A24,'Data(perCrop)'!$O:$O,'Indicators(perCrop)'!AF$4,'Data(perCrop)'!$H:$H,'Indicators(perCrop)'!$A$3),"")</f>
        <v>0.22997376138292946</v>
      </c>
      <c r="AG24" s="8">
        <f t="shared" si="13"/>
        <v>0.24234632896747535</v>
      </c>
      <c r="AH24" s="8">
        <f>IF(AND(ISNUMBER(J24),$B24&lt;&gt;14,$B24&lt;&gt;15),AVERAGEIFS('Data(perSeason,perCrop)'!$M:$M,'Data(perSeason,perCrop)'!$K:$K,'Indicators(perCrop)'!$A$3,'Data(perSeason,perCrop)'!$C:$C,'Indicators(perCrop)'!$A24,'Data(perSeason,perCrop)'!$S:$S,'Indicators(perCrop)'!AH$4,'Data(perSeason,perCrop)'!$R:$R,"IRRIGATED")-AVERAGEIFS('Data(perSeason,perCrop)'!$N:$N,'Data(perSeason,perCrop)'!$K:$K,'Indicators(perCrop)'!$A$3,'Data(perSeason,perCrop)'!$C:$C,'Indicators(perCrop)'!$A24,'Data(perSeason,perCrop)'!$S:$S,'Indicators(perCrop)'!AH$4,'Data(perSeason,perCrop)'!$R:$R,"IRRIGATED"),"")</f>
        <v>0.22494834055037805</v>
      </c>
      <c r="AI24" s="8">
        <f>IF(AND(ISNUMBER(K24),$B24&lt;&gt;14,$B24&lt;&gt;15),AVERAGEIFS('Data(perSeason,perCrop)'!$M:$M,'Data(perSeason,perCrop)'!$K:$K,'Indicators(perCrop)'!$A$3,'Data(perSeason,perCrop)'!$C:$C,'Indicators(perCrop)'!$A24,'Data(perSeason,perCrop)'!$S:$S,'Indicators(perCrop)'!AI$4,'Data(perSeason,perCrop)'!$R:$R,"IRRIGATED")-AVERAGEIFS('Data(perSeason,perCrop)'!$N:$N,'Data(perSeason,perCrop)'!$K:$K,'Indicators(perCrop)'!$A$3,'Data(perSeason,perCrop)'!$C:$C,'Indicators(perCrop)'!$A24,'Data(perSeason,perCrop)'!$S:$S,'Indicators(perCrop)'!AI$4,'Data(perSeason,perCrop)'!$R:$R,"IRRIGATED"),"")</f>
        <v>0.32109579247768505</v>
      </c>
      <c r="AJ24" s="8">
        <f>IF(AND(ISNUMBER(L24),$B24&lt;&gt;14,$B24&lt;&gt;15),AVERAGEIFS('Data(perSeason,perCrop)'!$M:$M,'Data(perSeason,perCrop)'!$K:$K,'Indicators(perCrop)'!$A$3,'Data(perSeason,perCrop)'!$C:$C,'Indicators(perCrop)'!$A24,'Data(perSeason,perCrop)'!$S:$S,'Indicators(perCrop)'!AJ$4,'Data(perSeason,perCrop)'!$R:$R,"IRRIGATED")-AVERAGEIFS('Data(perSeason,perCrop)'!$N:$N,'Data(perSeason,perCrop)'!$K:$K,'Indicators(perCrop)'!$A$3,'Data(perSeason,perCrop)'!$C:$C,'Indicators(perCrop)'!$A24,'Data(perSeason,perCrop)'!$S:$S,'Indicators(perCrop)'!AJ$4,'Data(perSeason,perCrop)'!$R:$R,"IRRIGATED"),"")</f>
        <v>0.16044739465015212</v>
      </c>
      <c r="AK24" s="8">
        <f>IF(AND(ISNUMBER(M24),$B24&lt;&gt;14,$B24&lt;&gt;15),AVERAGEIFS('Data(perSeason,perCrop)'!$M:$M,'Data(perSeason,perCrop)'!$K:$K,'Indicators(perCrop)'!$A$3,'Data(perSeason,perCrop)'!$C:$C,'Indicators(perCrop)'!$A24,'Data(perSeason,perCrop)'!$S:$S,'Indicators(perCrop)'!AK$4,'Data(perSeason,perCrop)'!$R:$R,"IRRIGATED")-AVERAGEIFS('Data(perSeason,perCrop)'!$N:$N,'Data(perSeason,perCrop)'!$K:$K,'Indicators(perCrop)'!$A$3,'Data(perSeason,perCrop)'!$C:$C,'Indicators(perCrop)'!$A24,'Data(perSeason,perCrop)'!$S:$S,'Indicators(perCrop)'!AK$4,'Data(perSeason,perCrop)'!$R:$R,"IRRIGATED"),"")</f>
        <v>0.28134345550819395</v>
      </c>
      <c r="AL24" s="8">
        <f>IF(AND(ISNUMBER(N24),$B24&lt;&gt;14,$B24&lt;&gt;15),AVERAGEIFS('Data(perSeason,perCrop)'!$M:$M,'Data(perSeason,perCrop)'!$K:$K,'Indicators(perCrop)'!$A$3,'Data(perSeason,perCrop)'!$C:$C,'Indicators(perCrop)'!$A24,'Data(perSeason,perCrop)'!$S:$S,'Indicators(perCrop)'!AL$4,'Data(perSeason,perCrop)'!$R:$R,"IRRIGATED")-AVERAGEIFS('Data(perSeason,perCrop)'!$N:$N,'Data(perSeason,perCrop)'!$K:$K,'Indicators(perCrop)'!$A$3,'Data(perSeason,perCrop)'!$C:$C,'Indicators(perCrop)'!$A24,'Data(perSeason,perCrop)'!$S:$S,'Indicators(perCrop)'!AL$4,'Data(perSeason,perCrop)'!$R:$R,"IRRIGATED"),"")</f>
        <v>0.24520766782173109</v>
      </c>
      <c r="AM24" s="8">
        <f t="shared" si="14"/>
        <v>0.24660853020162804</v>
      </c>
      <c r="AN24" s="7">
        <f>AVERAGEIFS('Data(perCrop)'!$K:$K,'Data(perCrop)'!$B:$B,$A24,'Data(perCrop)'!$H:$H,$A$3,'Data(perCrop)'!$O:$O,'Indicators(perCrop)'!C$4)</f>
        <v>15669</v>
      </c>
      <c r="AO24" s="7">
        <f>AVERAGEIFS('Data(perCrop)'!$K:$K,'Data(perCrop)'!$B:$B,$A24,'Data(perCrop)'!$H:$H,$A$3,'Data(perCrop)'!$O:$O,'Indicators(perCrop)'!D$4)</f>
        <v>15935</v>
      </c>
      <c r="AP24" s="7">
        <f>AVERAGEIFS('Data(perCrop)'!$K:$K,'Data(perCrop)'!$B:$B,$A24,'Data(perCrop)'!$H:$H,$A$3,'Data(perCrop)'!$O:$O,'Indicators(perCrop)'!E$4)</f>
        <v>13516</v>
      </c>
      <c r="AQ24" s="7">
        <f>AVERAGEIFS('Data(perCrop)'!$K:$K,'Data(perCrop)'!$B:$B,$A24,'Data(perCrop)'!$H:$H,$A$3,'Data(perCrop)'!$O:$O,'Indicators(perCrop)'!F$4)</f>
        <v>12914</v>
      </c>
      <c r="AR24" s="7">
        <f>AVERAGEIFS('Data(perCrop)'!$K:$K,'Data(perCrop)'!$B:$B,$A24,'Data(perCrop)'!$H:$H,$A$3,'Data(perCrop)'!$O:$O,'Indicators(perCrop)'!G$4)</f>
        <v>14967</v>
      </c>
      <c r="AS24" s="8">
        <f t="shared" si="15"/>
        <v>14600.2</v>
      </c>
      <c r="AT24" s="50"/>
      <c r="AU24" s="50"/>
      <c r="AV24" s="50"/>
      <c r="AW24" s="50"/>
      <c r="AX24" s="50"/>
      <c r="AY24" s="50"/>
      <c r="AZ24" s="50"/>
      <c r="BA24" s="8"/>
      <c r="BB24" s="7">
        <f>SUMIFS('Data(perSeason,perCrop)'!$A:$A,'Data(perSeason,perCrop)'!$C:$C,'Indicators(perCrop)'!$A24,'Data(perSeason,perCrop)'!$R:$R,"IRRIGATED",'Data(perSeason,perCrop)'!$O:$O,'Indicators(perCrop)'!BB$4)/5</f>
        <v>1364.4860050213974</v>
      </c>
      <c r="BC24" s="7">
        <f>SUMIFS('Data(perSeason,perCrop)'!$A:$A,'Data(perSeason,perCrop)'!$C:$C,'Indicators(perCrop)'!$A24,'Data(perSeason,perCrop)'!$R:$R,"IRRIGATED",'Data(perSeason,perCrop)'!$O:$O,'Indicators(perCrop)'!BC$4)/5</f>
        <v>1480.704786752598</v>
      </c>
      <c r="BD24" s="7">
        <f>SUMIFS('Data(perSeason,perCrop)'!$A:$A,'Data(perSeason,perCrop)'!$C:$C,'Indicators(perCrop)'!$A24,'Data(perSeason,perCrop)'!$R:$R,"IRRIGATED",'Data(perSeason,perCrop)'!$O:$O,'Indicators(perCrop)'!BD$4)/5</f>
        <v>1588.3938974222849</v>
      </c>
      <c r="BE24" s="7">
        <f>AVERAGEIFS('Data(perSeason,perCrop)'!$G:$G,'Data(perSeason,perCrop)'!$C:$C,'Indicators(perCrop)'!$A24,'Data(perSeason,perCrop)'!$R:$R,"IRRIGATED",'Data(perSeason,perCrop)'!$O:$O,'Indicators(perCrop)'!BE$4)</f>
        <v>74.2</v>
      </c>
      <c r="BF24" s="7">
        <f>AVERAGEIFS('Data(perSeason,perCrop)'!$G:$G,'Data(perSeason,perCrop)'!$C:$C,'Indicators(perCrop)'!$A24,'Data(perSeason,perCrop)'!$R:$R,"IRRIGATED",'Data(perSeason,perCrop)'!$O:$O,'Indicators(perCrop)'!BF$4)</f>
        <v>34</v>
      </c>
      <c r="BG24" s="7">
        <f>AVERAGEIFS('Data(perSeason,perCrop)'!$G:$G,'Data(perSeason,perCrop)'!$C:$C,'Indicators(perCrop)'!$A24,'Data(perSeason,perCrop)'!$R:$R,"IRRIGATED",'Data(perSeason,perCrop)'!$O:$O,'Indicators(perCrop)'!BG$4)</f>
        <v>159.4</v>
      </c>
      <c r="BH24" s="7">
        <f t="shared" si="24"/>
        <v>49.823092784906073</v>
      </c>
      <c r="BI24" s="7">
        <f t="shared" si="21"/>
        <v>24.774510906257401</v>
      </c>
      <c r="BJ24" s="7">
        <f t="shared" si="22"/>
        <v>124.5960341194952</v>
      </c>
      <c r="BK24" s="25">
        <f>AVERAGEIFS('Data(perCrop)'!F:F,'Data(perCrop)'!$B:$B,A24)</f>
        <v>204</v>
      </c>
      <c r="BL24" s="8">
        <f t="shared" si="2"/>
        <v>4.1454575792743658</v>
      </c>
      <c r="BM24" s="32">
        <f t="shared" si="3"/>
        <v>0.34433170255649276</v>
      </c>
    </row>
    <row r="25" spans="1:65" x14ac:dyDescent="0.25">
      <c r="A25" s="9" t="s">
        <v>139</v>
      </c>
      <c r="B25">
        <v>35</v>
      </c>
      <c r="C25" s="7" t="str">
        <f>IF(AND(ISNUMBER(AVERAGEIFS('Data(perCrop)'!$A:$A,'Data(perCrop)'!$B:$B,$A25,'Data(perCrop)'!$H:$H,$A$3,'Data(perCrop)'!$O:$O,'Indicators(perCrop)'!C$4)),$B25&lt;&gt;14,$B25&lt;&gt;15),AVERAGEIFS('Data(perCrop)'!$A:$A,'Data(perCrop)'!$B:$B,$A25,'Data(perCrop)'!$H:$H,$A$3,'Data(perCrop)'!$O:$O,'Indicators(perCrop)'!C$4),"")</f>
        <v/>
      </c>
      <c r="D25" s="7" t="str">
        <f>IF(AND(ISNUMBER(AVERAGEIFS('Data(perCrop)'!$A:$A,'Data(perCrop)'!$B:$B,$A25,'Data(perCrop)'!$H:$H,$A$3,'Data(perCrop)'!$O:$O,'Indicators(perCrop)'!D$4)),$B25&lt;&gt;14,$B25&lt;&gt;15),AVERAGEIFS('Data(perCrop)'!$A:$A,'Data(perCrop)'!$B:$B,$A25,'Data(perCrop)'!$H:$H,$A$3,'Data(perCrop)'!$O:$O,'Indicators(perCrop)'!D$4),"")</f>
        <v/>
      </c>
      <c r="E25" s="7" t="str">
        <f>IF(AND(ISNUMBER(AVERAGEIFS('Data(perCrop)'!$A:$A,'Data(perCrop)'!$B:$B,$A25,'Data(perCrop)'!$H:$H,$A$3,'Data(perCrop)'!$O:$O,'Indicators(perCrop)'!E$4)),$B25&lt;&gt;14,$B25&lt;&gt;15),AVERAGEIFS('Data(perCrop)'!$A:$A,'Data(perCrop)'!$B:$B,$A25,'Data(perCrop)'!$H:$H,$A$3,'Data(perCrop)'!$O:$O,'Indicators(perCrop)'!E$4),"")</f>
        <v/>
      </c>
      <c r="F25" s="7" t="str">
        <f>IF(AND(ISNUMBER(AVERAGEIFS('Data(perCrop)'!$A:$A,'Data(perCrop)'!$B:$B,$A25,'Data(perCrop)'!$H:$H,$A$3,'Data(perCrop)'!$O:$O,'Indicators(perCrop)'!F$4)),$B25&lt;&gt;14,$B25&lt;&gt;15),AVERAGEIFS('Data(perCrop)'!$A:$A,'Data(perCrop)'!$B:$B,$A25,'Data(perCrop)'!$H:$H,$A$3,'Data(perCrop)'!$O:$O,'Indicators(perCrop)'!F$4),"")</f>
        <v/>
      </c>
      <c r="G25" s="7" t="str">
        <f>IF(AND(ISNUMBER(AVERAGEIFS('Data(perCrop)'!$A:$A,'Data(perCrop)'!$B:$B,$A25,'Data(perCrop)'!$H:$H,$A$3,'Data(perCrop)'!$O:$O,'Indicators(perCrop)'!G$4)),$B25&lt;&gt;14,$B25&lt;&gt;15),AVERAGEIFS('Data(perCrop)'!$A:$A,'Data(perCrop)'!$B:$B,$A25,'Data(perCrop)'!$H:$H,$A$3,'Data(perCrop)'!$O:$O,'Indicators(perCrop)'!G$4),"")</f>
        <v/>
      </c>
      <c r="H25" s="7" t="str">
        <f t="shared" si="4"/>
        <v/>
      </c>
      <c r="I25" s="32" t="str">
        <f t="shared" si="5"/>
        <v/>
      </c>
      <c r="J25" s="7" t="e">
        <f>AVERAGEIFS('Data(perCrop)'!$D:$D,'Data(perCrop)'!$B:$B,$A25,'Data(perCrop)'!$H:$H,$A$3,'Data(perCrop)'!$O:$O,'Indicators(perCrop)'!C$4)</f>
        <v>#DIV/0!</v>
      </c>
      <c r="K25" s="7" t="e">
        <f>AVERAGEIFS('Data(perCrop)'!$D:$D,'Data(perCrop)'!$B:$B,$A25,'Data(perCrop)'!$H:$H,$A$3,'Data(perCrop)'!$O:$O,'Indicators(perCrop)'!D$4)</f>
        <v>#DIV/0!</v>
      </c>
      <c r="L25" s="7" t="e">
        <f>AVERAGEIFS('Data(perCrop)'!$D:$D,'Data(perCrop)'!$B:$B,$A25,'Data(perCrop)'!$H:$H,$A$3,'Data(perCrop)'!$O:$O,'Indicators(perCrop)'!E$4)</f>
        <v>#DIV/0!</v>
      </c>
      <c r="M25" s="7" t="e">
        <f>AVERAGEIFS('Data(perCrop)'!$D:$D,'Data(perCrop)'!$B:$B,$A25,'Data(perCrop)'!$H:$H,$A$3,'Data(perCrop)'!$O:$O,'Indicators(perCrop)'!F$4)</f>
        <v>#DIV/0!</v>
      </c>
      <c r="N25" s="7" t="e">
        <f>AVERAGEIFS('Data(perCrop)'!$D:$D,'Data(perCrop)'!$B:$B,$A25,'Data(perCrop)'!$H:$H,$A$3,'Data(perCrop)'!$O:$O,'Indicators(perCrop)'!G$4)</f>
        <v>#DIV/0!</v>
      </c>
      <c r="O25" s="7" t="e">
        <f t="shared" si="6"/>
        <v>#DIV/0!</v>
      </c>
      <c r="P25" s="7" t="e">
        <f>AVERAGEIFS('Data(perCrop)'!$E:$E,'Data(perCrop)'!$B:$B,$A25,'Data(perCrop)'!$H:$H,$A$3,'Data(perCrop)'!$O:$O,'Indicators(perCrop)'!J$4)</f>
        <v>#DIV/0!</v>
      </c>
      <c r="Q25" s="7" t="e">
        <f>AVERAGEIFS('Data(perCrop)'!$E:$E,'Data(perCrop)'!$B:$B,$A25,'Data(perCrop)'!$H:$H,$A$3,'Data(perCrop)'!$O:$O,'Indicators(perCrop)'!K$4)</f>
        <v>#DIV/0!</v>
      </c>
      <c r="R25" s="7" t="e">
        <f>AVERAGEIFS('Data(perCrop)'!$E:$E,'Data(perCrop)'!$B:$B,$A25,'Data(perCrop)'!$H:$H,$A$3,'Data(perCrop)'!$O:$O,'Indicators(perCrop)'!L$4)</f>
        <v>#DIV/0!</v>
      </c>
      <c r="S25" s="7" t="e">
        <f>AVERAGEIFS('Data(perCrop)'!$E:$E,'Data(perCrop)'!$B:$B,$A25,'Data(perCrop)'!$H:$H,$A$3,'Data(perCrop)'!$O:$O,'Indicators(perCrop)'!M$4)</f>
        <v>#DIV/0!</v>
      </c>
      <c r="T25" s="7" t="e">
        <f>AVERAGEIFS('Data(perCrop)'!$E:$E,'Data(perCrop)'!$B:$B,$A25,'Data(perCrop)'!$H:$H,$A$3,'Data(perCrop)'!$O:$O,'Indicators(perCrop)'!N$4)</f>
        <v>#DIV/0!</v>
      </c>
      <c r="U25" s="7" t="e">
        <f t="shared" si="7"/>
        <v>#DIV/0!</v>
      </c>
      <c r="V25" s="8" t="str">
        <f t="shared" si="8"/>
        <v/>
      </c>
      <c r="W25" s="8" t="str">
        <f t="shared" si="9"/>
        <v/>
      </c>
      <c r="X25" s="8" t="str">
        <f t="shared" si="10"/>
        <v/>
      </c>
      <c r="Y25" s="8" t="str">
        <f t="shared" si="11"/>
        <v/>
      </c>
      <c r="Z25" s="8" t="str">
        <f t="shared" si="12"/>
        <v/>
      </c>
      <c r="AA25" s="8" t="e">
        <f t="shared" si="25"/>
        <v>#DIV/0!</v>
      </c>
      <c r="AB25" s="8" t="str">
        <f>IF(AND(ISNUMBER(J25),$B25&lt;&gt;14,$B25&lt;&gt;15),(AVERAGEIFS('Data(perCrop)'!$L:$L,'Data(perCrop)'!$B:$B,'Indicators(perCrop)'!$A25,'Data(perCrop)'!$O:$O,'Indicators(perCrop)'!AB$4,'Data(perCrop)'!$H:$H,'Indicators(perCrop)'!$A$3)-AVERAGEIFS('Data(perCrop)'!$K:$K,'Data(perCrop)'!$B:$B,'Indicators(perCrop)'!$A25,'Data(perCrop)'!$O:$O,'Indicators(perCrop)'!AB$4,'Data(perCrop)'!$H:$H,'Indicators(perCrop)'!$A$3))/AVERAGEIFS('Data(perCrop)'!$L:$L,'Data(perCrop)'!$B:$B,'Indicators(perCrop)'!$A25,'Data(perCrop)'!$O:$O,'Indicators(perCrop)'!AB$4,'Data(perCrop)'!$H:$H,'Indicators(perCrop)'!$A$3),"")</f>
        <v/>
      </c>
      <c r="AC25" s="8" t="str">
        <f>IF(AND(ISNUMBER(K25),$B25&lt;&gt;14,$B25&lt;&gt;15),(AVERAGEIFS('Data(perCrop)'!$L:$L,'Data(perCrop)'!$B:$B,'Indicators(perCrop)'!$A25,'Data(perCrop)'!$O:$O,'Indicators(perCrop)'!AC$4,'Data(perCrop)'!$H:$H,'Indicators(perCrop)'!$A$3)-AVERAGEIFS('Data(perCrop)'!$K:$K,'Data(perCrop)'!$B:$B,'Indicators(perCrop)'!$A25,'Data(perCrop)'!$O:$O,'Indicators(perCrop)'!AC$4,'Data(perCrop)'!$H:$H,'Indicators(perCrop)'!$A$3))/AVERAGEIFS('Data(perCrop)'!$L:$L,'Data(perCrop)'!$B:$B,'Indicators(perCrop)'!$A25,'Data(perCrop)'!$O:$O,'Indicators(perCrop)'!AC$4,'Data(perCrop)'!$H:$H,'Indicators(perCrop)'!$A$3),"")</f>
        <v/>
      </c>
      <c r="AD25" s="8" t="str">
        <f>IF(AND(ISNUMBER(L25),$B25&lt;&gt;14,$B25&lt;&gt;15),(AVERAGEIFS('Data(perCrop)'!$L:$L,'Data(perCrop)'!$B:$B,'Indicators(perCrop)'!$A25,'Data(perCrop)'!$O:$O,'Indicators(perCrop)'!AD$4,'Data(perCrop)'!$H:$H,'Indicators(perCrop)'!$A$3)-AVERAGEIFS('Data(perCrop)'!$K:$K,'Data(perCrop)'!$B:$B,'Indicators(perCrop)'!$A25,'Data(perCrop)'!$O:$O,'Indicators(perCrop)'!AD$4,'Data(perCrop)'!$H:$H,'Indicators(perCrop)'!$A$3))/AVERAGEIFS('Data(perCrop)'!$L:$L,'Data(perCrop)'!$B:$B,'Indicators(perCrop)'!$A25,'Data(perCrop)'!$O:$O,'Indicators(perCrop)'!AD$4,'Data(perCrop)'!$H:$H,'Indicators(perCrop)'!$A$3),"")</f>
        <v/>
      </c>
      <c r="AE25" s="8" t="str">
        <f>IF(AND(ISNUMBER(M25),$B25&lt;&gt;14,$B25&lt;&gt;15),(AVERAGEIFS('Data(perCrop)'!$L:$L,'Data(perCrop)'!$B:$B,'Indicators(perCrop)'!$A25,'Data(perCrop)'!$O:$O,'Indicators(perCrop)'!AE$4,'Data(perCrop)'!$H:$H,'Indicators(perCrop)'!$A$3)-AVERAGEIFS('Data(perCrop)'!$K:$K,'Data(perCrop)'!$B:$B,'Indicators(perCrop)'!$A25,'Data(perCrop)'!$O:$O,'Indicators(perCrop)'!AE$4,'Data(perCrop)'!$H:$H,'Indicators(perCrop)'!$A$3))/AVERAGEIFS('Data(perCrop)'!$L:$L,'Data(perCrop)'!$B:$B,'Indicators(perCrop)'!$A25,'Data(perCrop)'!$O:$O,'Indicators(perCrop)'!AE$4,'Data(perCrop)'!$H:$H,'Indicators(perCrop)'!$A$3),"")</f>
        <v/>
      </c>
      <c r="AF25" s="8" t="str">
        <f>IF(AND(ISNUMBER(N25),$B25&lt;&gt;14,$B25&lt;&gt;15),(AVERAGEIFS('Data(perCrop)'!$L:$L,'Data(perCrop)'!$B:$B,'Indicators(perCrop)'!$A25,'Data(perCrop)'!$O:$O,'Indicators(perCrop)'!AF$4,'Data(perCrop)'!$H:$H,'Indicators(perCrop)'!$A$3)-AVERAGEIFS('Data(perCrop)'!$K:$K,'Data(perCrop)'!$B:$B,'Indicators(perCrop)'!$A25,'Data(perCrop)'!$O:$O,'Indicators(perCrop)'!AF$4,'Data(perCrop)'!$H:$H,'Indicators(perCrop)'!$A$3))/AVERAGEIFS('Data(perCrop)'!$L:$L,'Data(perCrop)'!$B:$B,'Indicators(perCrop)'!$A25,'Data(perCrop)'!$O:$O,'Indicators(perCrop)'!AF$4,'Data(perCrop)'!$H:$H,'Indicators(perCrop)'!$A$3),"")</f>
        <v/>
      </c>
      <c r="AG25" s="8" t="e">
        <f t="shared" si="13"/>
        <v>#DIV/0!</v>
      </c>
      <c r="AH25" s="8" t="str">
        <f>IF(AND(ISNUMBER(J25),$B25&lt;&gt;14,$B25&lt;&gt;15),AVERAGEIFS('Data(perSeason,perCrop)'!$M:$M,'Data(perSeason,perCrop)'!$K:$K,'Indicators(perCrop)'!$A$3,'Data(perSeason,perCrop)'!$C:$C,'Indicators(perCrop)'!$A25,'Data(perSeason,perCrop)'!$S:$S,'Indicators(perCrop)'!AH$4,'Data(perSeason,perCrop)'!$R:$R,"IRRIGATED")-AVERAGEIFS('Data(perSeason,perCrop)'!$N:$N,'Data(perSeason,perCrop)'!$K:$K,'Indicators(perCrop)'!$A$3,'Data(perSeason,perCrop)'!$C:$C,'Indicators(perCrop)'!$A25,'Data(perSeason,perCrop)'!$S:$S,'Indicators(perCrop)'!AH$4,'Data(perSeason,perCrop)'!$R:$R,"IRRIGATED"),"")</f>
        <v/>
      </c>
      <c r="AI25" s="8" t="str">
        <f>IF(AND(ISNUMBER(K25),$B25&lt;&gt;14,$B25&lt;&gt;15),AVERAGEIFS('Data(perSeason,perCrop)'!$M:$M,'Data(perSeason,perCrop)'!$K:$K,'Indicators(perCrop)'!$A$3,'Data(perSeason,perCrop)'!$C:$C,'Indicators(perCrop)'!$A25,'Data(perSeason,perCrop)'!$S:$S,'Indicators(perCrop)'!AI$4,'Data(perSeason,perCrop)'!$R:$R,"IRRIGATED")-AVERAGEIFS('Data(perSeason,perCrop)'!$N:$N,'Data(perSeason,perCrop)'!$K:$K,'Indicators(perCrop)'!$A$3,'Data(perSeason,perCrop)'!$C:$C,'Indicators(perCrop)'!$A25,'Data(perSeason,perCrop)'!$S:$S,'Indicators(perCrop)'!AI$4,'Data(perSeason,perCrop)'!$R:$R,"IRRIGATED"),"")</f>
        <v/>
      </c>
      <c r="AJ25" s="8" t="str">
        <f>IF(AND(ISNUMBER(L25),$B25&lt;&gt;14,$B25&lt;&gt;15),AVERAGEIFS('Data(perSeason,perCrop)'!$M:$M,'Data(perSeason,perCrop)'!$K:$K,'Indicators(perCrop)'!$A$3,'Data(perSeason,perCrop)'!$C:$C,'Indicators(perCrop)'!$A25,'Data(perSeason,perCrop)'!$S:$S,'Indicators(perCrop)'!AJ$4,'Data(perSeason,perCrop)'!$R:$R,"IRRIGATED")-AVERAGEIFS('Data(perSeason,perCrop)'!$N:$N,'Data(perSeason,perCrop)'!$K:$K,'Indicators(perCrop)'!$A$3,'Data(perSeason,perCrop)'!$C:$C,'Indicators(perCrop)'!$A25,'Data(perSeason,perCrop)'!$S:$S,'Indicators(perCrop)'!AJ$4,'Data(perSeason,perCrop)'!$R:$R,"IRRIGATED"),"")</f>
        <v/>
      </c>
      <c r="AK25" s="8" t="str">
        <f>IF(AND(ISNUMBER(M25),$B25&lt;&gt;14,$B25&lt;&gt;15),AVERAGEIFS('Data(perSeason,perCrop)'!$M:$M,'Data(perSeason,perCrop)'!$K:$K,'Indicators(perCrop)'!$A$3,'Data(perSeason,perCrop)'!$C:$C,'Indicators(perCrop)'!$A25,'Data(perSeason,perCrop)'!$S:$S,'Indicators(perCrop)'!AK$4,'Data(perSeason,perCrop)'!$R:$R,"IRRIGATED")-AVERAGEIFS('Data(perSeason,perCrop)'!$N:$N,'Data(perSeason,perCrop)'!$K:$K,'Indicators(perCrop)'!$A$3,'Data(perSeason,perCrop)'!$C:$C,'Indicators(perCrop)'!$A25,'Data(perSeason,perCrop)'!$S:$S,'Indicators(perCrop)'!AK$4,'Data(perSeason,perCrop)'!$R:$R,"IRRIGATED"),"")</f>
        <v/>
      </c>
      <c r="AL25" s="8" t="str">
        <f>IF(AND(ISNUMBER(N25),$B25&lt;&gt;14,$B25&lt;&gt;15),AVERAGEIFS('Data(perSeason,perCrop)'!$M:$M,'Data(perSeason,perCrop)'!$K:$K,'Indicators(perCrop)'!$A$3,'Data(perSeason,perCrop)'!$C:$C,'Indicators(perCrop)'!$A25,'Data(perSeason,perCrop)'!$S:$S,'Indicators(perCrop)'!AL$4,'Data(perSeason,perCrop)'!$R:$R,"IRRIGATED")-AVERAGEIFS('Data(perSeason,perCrop)'!$N:$N,'Data(perSeason,perCrop)'!$K:$K,'Indicators(perCrop)'!$A$3,'Data(perSeason,perCrop)'!$C:$C,'Indicators(perCrop)'!$A25,'Data(perSeason,perCrop)'!$S:$S,'Indicators(perCrop)'!AL$4,'Data(perSeason,perCrop)'!$R:$R,"IRRIGATED"),"")</f>
        <v/>
      </c>
      <c r="AM25" s="8" t="e">
        <f t="shared" si="14"/>
        <v>#DIV/0!</v>
      </c>
      <c r="AN25" s="7" t="e">
        <f>AVERAGEIFS('Data(perCrop)'!$K:$K,'Data(perCrop)'!$B:$B,$A25,'Data(perCrop)'!$H:$H,$A$3,'Data(perCrop)'!$O:$O,'Indicators(perCrop)'!C$4)</f>
        <v>#DIV/0!</v>
      </c>
      <c r="AO25" s="7" t="e">
        <f>AVERAGEIFS('Data(perCrop)'!$K:$K,'Data(perCrop)'!$B:$B,$A25,'Data(perCrop)'!$H:$H,$A$3,'Data(perCrop)'!$O:$O,'Indicators(perCrop)'!D$4)</f>
        <v>#DIV/0!</v>
      </c>
      <c r="AP25" s="7" t="e">
        <f>AVERAGEIFS('Data(perCrop)'!$K:$K,'Data(perCrop)'!$B:$B,$A25,'Data(perCrop)'!$H:$H,$A$3,'Data(perCrop)'!$O:$O,'Indicators(perCrop)'!E$4)</f>
        <v>#DIV/0!</v>
      </c>
      <c r="AQ25" s="7" t="e">
        <f>AVERAGEIFS('Data(perCrop)'!$K:$K,'Data(perCrop)'!$B:$B,$A25,'Data(perCrop)'!$H:$H,$A$3,'Data(perCrop)'!$O:$O,'Indicators(perCrop)'!F$4)</f>
        <v>#DIV/0!</v>
      </c>
      <c r="AR25" s="7" t="e">
        <f>AVERAGEIFS('Data(perCrop)'!$K:$K,'Data(perCrop)'!$B:$B,$A25,'Data(perCrop)'!$H:$H,$A$3,'Data(perCrop)'!$O:$O,'Indicators(perCrop)'!G$4)</f>
        <v>#DIV/0!</v>
      </c>
      <c r="AS25" s="8" t="e">
        <f t="shared" si="15"/>
        <v>#DIV/0!</v>
      </c>
      <c r="AT25" s="50"/>
      <c r="AU25" s="50"/>
      <c r="AV25" s="50"/>
      <c r="AW25" s="50"/>
      <c r="AX25" s="50"/>
      <c r="AY25" s="50"/>
      <c r="AZ25" s="50"/>
      <c r="BA25" s="8"/>
      <c r="BB25" s="7">
        <f>SUMIFS('Data(perSeason,perCrop)'!$A:$A,'Data(perSeason,perCrop)'!$C:$C,'Indicators(perCrop)'!$A25,'Data(perSeason,perCrop)'!$R:$R,"IRRIGATED",'Data(perSeason,perCrop)'!$O:$O,'Indicators(perCrop)'!BB$4)/5</f>
        <v>0</v>
      </c>
      <c r="BC25" s="7">
        <f>SUMIFS('Data(perSeason,perCrop)'!$A:$A,'Data(perSeason,perCrop)'!$C:$C,'Indicators(perCrop)'!$A25,'Data(perSeason,perCrop)'!$R:$R,"IRRIGATED",'Data(perSeason,perCrop)'!$O:$O,'Indicators(perCrop)'!BC$4)/5</f>
        <v>0</v>
      </c>
      <c r="BD25" s="7">
        <f>SUMIFS('Data(perSeason,perCrop)'!$A:$A,'Data(perSeason,perCrop)'!$C:$C,'Indicators(perCrop)'!$A25,'Data(perSeason,perCrop)'!$R:$R,"IRRIGATED",'Data(perSeason,perCrop)'!$O:$O,'Indicators(perCrop)'!BD$4)/5</f>
        <v>0</v>
      </c>
      <c r="BE25" s="7" t="e">
        <f>AVERAGEIFS('Data(perSeason,perCrop)'!$G:$G,'Data(perSeason,perCrop)'!$C:$C,'Indicators(perCrop)'!$A25,'Data(perSeason,perCrop)'!$R:$R,"IRRIGATED",'Data(perSeason,perCrop)'!$O:$O,'Indicators(perCrop)'!BE$4)</f>
        <v>#DIV/0!</v>
      </c>
      <c r="BF25" s="7" t="e">
        <f>AVERAGEIFS('Data(perSeason,perCrop)'!$G:$G,'Data(perSeason,perCrop)'!$C:$C,'Indicators(perCrop)'!$A25,'Data(perSeason,perCrop)'!$R:$R,"IRRIGATED",'Data(perSeason,perCrop)'!$O:$O,'Indicators(perCrop)'!BF$4)</f>
        <v>#DIV/0!</v>
      </c>
      <c r="BG25" s="7" t="e">
        <f>AVERAGEIFS('Data(perSeason,perCrop)'!$G:$G,'Data(perSeason,perCrop)'!$C:$C,'Indicators(perCrop)'!$A25,'Data(perSeason,perCrop)'!$R:$R,"IRRIGATED",'Data(perSeason,perCrop)'!$O:$O,'Indicators(perCrop)'!BG$4)</f>
        <v>#DIV/0!</v>
      </c>
      <c r="BH25" s="7" t="str">
        <f t="shared" si="24"/>
        <v/>
      </c>
      <c r="BI25" s="7" t="str">
        <f t="shared" si="21"/>
        <v/>
      </c>
      <c r="BJ25" s="7" t="str">
        <f t="shared" si="22"/>
        <v/>
      </c>
      <c r="BK25" s="25" t="e">
        <f>AVERAGEIFS('Data(perCrop)'!F:F,'Data(perCrop)'!$B:$B,A25)</f>
        <v>#DIV/0!</v>
      </c>
      <c r="BL25" s="8" t="str">
        <f t="shared" si="2"/>
        <v/>
      </c>
      <c r="BM25" s="32" t="str">
        <f t="shared" si="3"/>
        <v/>
      </c>
    </row>
    <row r="26" spans="1:65" x14ac:dyDescent="0.25">
      <c r="A26" s="9" t="s">
        <v>140</v>
      </c>
      <c r="B26">
        <v>36</v>
      </c>
      <c r="C26" s="7" t="str">
        <f>IF(AND(ISNUMBER(AVERAGEIFS('Data(perCrop)'!$A:$A,'Data(perCrop)'!$B:$B,$A26,'Data(perCrop)'!$H:$H,$A$3,'Data(perCrop)'!$O:$O,'Indicators(perCrop)'!C$4)),$B26&lt;&gt;14,$B26&lt;&gt;15),AVERAGEIFS('Data(perCrop)'!$A:$A,'Data(perCrop)'!$B:$B,$A26,'Data(perCrop)'!$H:$H,$A$3,'Data(perCrop)'!$O:$O,'Indicators(perCrop)'!C$4),"")</f>
        <v/>
      </c>
      <c r="D26" s="7" t="str">
        <f>IF(AND(ISNUMBER(AVERAGEIFS('Data(perCrop)'!$A:$A,'Data(perCrop)'!$B:$B,$A26,'Data(perCrop)'!$H:$H,$A$3,'Data(perCrop)'!$O:$O,'Indicators(perCrop)'!D$4)),$B26&lt;&gt;14,$B26&lt;&gt;15),AVERAGEIFS('Data(perCrop)'!$A:$A,'Data(perCrop)'!$B:$B,$A26,'Data(perCrop)'!$H:$H,$A$3,'Data(perCrop)'!$O:$O,'Indicators(perCrop)'!D$4),"")</f>
        <v/>
      </c>
      <c r="E26" s="7" t="str">
        <f>IF(AND(ISNUMBER(AVERAGEIFS('Data(perCrop)'!$A:$A,'Data(perCrop)'!$B:$B,$A26,'Data(perCrop)'!$H:$H,$A$3,'Data(perCrop)'!$O:$O,'Indicators(perCrop)'!E$4)),$B26&lt;&gt;14,$B26&lt;&gt;15),AVERAGEIFS('Data(perCrop)'!$A:$A,'Data(perCrop)'!$B:$B,$A26,'Data(perCrop)'!$H:$H,$A$3,'Data(perCrop)'!$O:$O,'Indicators(perCrop)'!E$4),"")</f>
        <v/>
      </c>
      <c r="F26" s="7" t="str">
        <f>IF(AND(ISNUMBER(AVERAGEIFS('Data(perCrop)'!$A:$A,'Data(perCrop)'!$B:$B,$A26,'Data(perCrop)'!$H:$H,$A$3,'Data(perCrop)'!$O:$O,'Indicators(perCrop)'!F$4)),$B26&lt;&gt;14,$B26&lt;&gt;15),AVERAGEIFS('Data(perCrop)'!$A:$A,'Data(perCrop)'!$B:$B,$A26,'Data(perCrop)'!$H:$H,$A$3,'Data(perCrop)'!$O:$O,'Indicators(perCrop)'!F$4),"")</f>
        <v/>
      </c>
      <c r="G26" s="7" t="str">
        <f>IF(AND(ISNUMBER(AVERAGEIFS('Data(perCrop)'!$A:$A,'Data(perCrop)'!$B:$B,$A26,'Data(perCrop)'!$H:$H,$A$3,'Data(perCrop)'!$O:$O,'Indicators(perCrop)'!G$4)),$B26&lt;&gt;14,$B26&lt;&gt;15),AVERAGEIFS('Data(perCrop)'!$A:$A,'Data(perCrop)'!$B:$B,$A26,'Data(perCrop)'!$H:$H,$A$3,'Data(perCrop)'!$O:$O,'Indicators(perCrop)'!G$4),"")</f>
        <v/>
      </c>
      <c r="H26" s="7" t="str">
        <f t="shared" si="4"/>
        <v/>
      </c>
      <c r="I26" s="32" t="str">
        <f t="shared" si="5"/>
        <v/>
      </c>
      <c r="J26" s="7" t="e">
        <f>AVERAGEIFS('Data(perCrop)'!$D:$D,'Data(perCrop)'!$B:$B,$A26,'Data(perCrop)'!$H:$H,$A$3,'Data(perCrop)'!$O:$O,'Indicators(perCrop)'!C$4)</f>
        <v>#DIV/0!</v>
      </c>
      <c r="K26" s="7" t="e">
        <f>AVERAGEIFS('Data(perCrop)'!$D:$D,'Data(perCrop)'!$B:$B,$A26,'Data(perCrop)'!$H:$H,$A$3,'Data(perCrop)'!$O:$O,'Indicators(perCrop)'!D$4)</f>
        <v>#DIV/0!</v>
      </c>
      <c r="L26" s="7" t="e">
        <f>AVERAGEIFS('Data(perCrop)'!$D:$D,'Data(perCrop)'!$B:$B,$A26,'Data(perCrop)'!$H:$H,$A$3,'Data(perCrop)'!$O:$O,'Indicators(perCrop)'!E$4)</f>
        <v>#DIV/0!</v>
      </c>
      <c r="M26" s="7" t="e">
        <f>AVERAGEIFS('Data(perCrop)'!$D:$D,'Data(perCrop)'!$B:$B,$A26,'Data(perCrop)'!$H:$H,$A$3,'Data(perCrop)'!$O:$O,'Indicators(perCrop)'!F$4)</f>
        <v>#DIV/0!</v>
      </c>
      <c r="N26" s="7" t="e">
        <f>AVERAGEIFS('Data(perCrop)'!$D:$D,'Data(perCrop)'!$B:$B,$A26,'Data(perCrop)'!$H:$H,$A$3,'Data(perCrop)'!$O:$O,'Indicators(perCrop)'!G$4)</f>
        <v>#DIV/0!</v>
      </c>
      <c r="O26" s="7" t="e">
        <f t="shared" si="6"/>
        <v>#DIV/0!</v>
      </c>
      <c r="P26" s="7" t="e">
        <f>AVERAGEIFS('Data(perCrop)'!$E:$E,'Data(perCrop)'!$B:$B,$A26,'Data(perCrop)'!$H:$H,$A$3,'Data(perCrop)'!$O:$O,'Indicators(perCrop)'!J$4)</f>
        <v>#DIV/0!</v>
      </c>
      <c r="Q26" s="7" t="e">
        <f>AVERAGEIFS('Data(perCrop)'!$E:$E,'Data(perCrop)'!$B:$B,$A26,'Data(perCrop)'!$H:$H,$A$3,'Data(perCrop)'!$O:$O,'Indicators(perCrop)'!K$4)</f>
        <v>#DIV/0!</v>
      </c>
      <c r="R26" s="7" t="e">
        <f>AVERAGEIFS('Data(perCrop)'!$E:$E,'Data(perCrop)'!$B:$B,$A26,'Data(perCrop)'!$H:$H,$A$3,'Data(perCrop)'!$O:$O,'Indicators(perCrop)'!L$4)</f>
        <v>#DIV/0!</v>
      </c>
      <c r="S26" s="7" t="e">
        <f>AVERAGEIFS('Data(perCrop)'!$E:$E,'Data(perCrop)'!$B:$B,$A26,'Data(perCrop)'!$H:$H,$A$3,'Data(perCrop)'!$O:$O,'Indicators(perCrop)'!M$4)</f>
        <v>#DIV/0!</v>
      </c>
      <c r="T26" s="7" t="e">
        <f>AVERAGEIFS('Data(perCrop)'!$E:$E,'Data(perCrop)'!$B:$B,$A26,'Data(perCrop)'!$H:$H,$A$3,'Data(perCrop)'!$O:$O,'Indicators(perCrop)'!N$4)</f>
        <v>#DIV/0!</v>
      </c>
      <c r="U26" s="7" t="e">
        <f t="shared" si="7"/>
        <v>#DIV/0!</v>
      </c>
      <c r="V26" s="8" t="str">
        <f t="shared" si="8"/>
        <v/>
      </c>
      <c r="W26" s="8" t="str">
        <f t="shared" si="9"/>
        <v/>
      </c>
      <c r="X26" s="8" t="str">
        <f t="shared" si="10"/>
        <v/>
      </c>
      <c r="Y26" s="8" t="str">
        <f t="shared" si="11"/>
        <v/>
      </c>
      <c r="Z26" s="8" t="str">
        <f t="shared" si="12"/>
        <v/>
      </c>
      <c r="AA26" s="8" t="e">
        <f t="shared" si="25"/>
        <v>#DIV/0!</v>
      </c>
      <c r="AB26" s="8" t="str">
        <f>IF(AND(ISNUMBER(J26),$B26&lt;&gt;14,$B26&lt;&gt;15),(AVERAGEIFS('Data(perCrop)'!$L:$L,'Data(perCrop)'!$B:$B,'Indicators(perCrop)'!$A26,'Data(perCrop)'!$O:$O,'Indicators(perCrop)'!AB$4,'Data(perCrop)'!$H:$H,'Indicators(perCrop)'!$A$3)-AVERAGEIFS('Data(perCrop)'!$K:$K,'Data(perCrop)'!$B:$B,'Indicators(perCrop)'!$A26,'Data(perCrop)'!$O:$O,'Indicators(perCrop)'!AB$4,'Data(perCrop)'!$H:$H,'Indicators(perCrop)'!$A$3))/AVERAGEIFS('Data(perCrop)'!$L:$L,'Data(perCrop)'!$B:$B,'Indicators(perCrop)'!$A26,'Data(perCrop)'!$O:$O,'Indicators(perCrop)'!AB$4,'Data(perCrop)'!$H:$H,'Indicators(perCrop)'!$A$3),"")</f>
        <v/>
      </c>
      <c r="AC26" s="8" t="str">
        <f>IF(AND(ISNUMBER(K26),$B26&lt;&gt;14,$B26&lt;&gt;15),(AVERAGEIFS('Data(perCrop)'!$L:$L,'Data(perCrop)'!$B:$B,'Indicators(perCrop)'!$A26,'Data(perCrop)'!$O:$O,'Indicators(perCrop)'!AC$4,'Data(perCrop)'!$H:$H,'Indicators(perCrop)'!$A$3)-AVERAGEIFS('Data(perCrop)'!$K:$K,'Data(perCrop)'!$B:$B,'Indicators(perCrop)'!$A26,'Data(perCrop)'!$O:$O,'Indicators(perCrop)'!AC$4,'Data(perCrop)'!$H:$H,'Indicators(perCrop)'!$A$3))/AVERAGEIFS('Data(perCrop)'!$L:$L,'Data(perCrop)'!$B:$B,'Indicators(perCrop)'!$A26,'Data(perCrop)'!$O:$O,'Indicators(perCrop)'!AC$4,'Data(perCrop)'!$H:$H,'Indicators(perCrop)'!$A$3),"")</f>
        <v/>
      </c>
      <c r="AD26" s="8" t="str">
        <f>IF(AND(ISNUMBER(L26),$B26&lt;&gt;14,$B26&lt;&gt;15),(AVERAGEIFS('Data(perCrop)'!$L:$L,'Data(perCrop)'!$B:$B,'Indicators(perCrop)'!$A26,'Data(perCrop)'!$O:$O,'Indicators(perCrop)'!AD$4,'Data(perCrop)'!$H:$H,'Indicators(perCrop)'!$A$3)-AVERAGEIFS('Data(perCrop)'!$K:$K,'Data(perCrop)'!$B:$B,'Indicators(perCrop)'!$A26,'Data(perCrop)'!$O:$O,'Indicators(perCrop)'!AD$4,'Data(perCrop)'!$H:$H,'Indicators(perCrop)'!$A$3))/AVERAGEIFS('Data(perCrop)'!$L:$L,'Data(perCrop)'!$B:$B,'Indicators(perCrop)'!$A26,'Data(perCrop)'!$O:$O,'Indicators(perCrop)'!AD$4,'Data(perCrop)'!$H:$H,'Indicators(perCrop)'!$A$3),"")</f>
        <v/>
      </c>
      <c r="AE26" s="8" t="str">
        <f>IF(AND(ISNUMBER(M26),$B26&lt;&gt;14,$B26&lt;&gt;15),(AVERAGEIFS('Data(perCrop)'!$L:$L,'Data(perCrop)'!$B:$B,'Indicators(perCrop)'!$A26,'Data(perCrop)'!$O:$O,'Indicators(perCrop)'!AE$4,'Data(perCrop)'!$H:$H,'Indicators(perCrop)'!$A$3)-AVERAGEIFS('Data(perCrop)'!$K:$K,'Data(perCrop)'!$B:$B,'Indicators(perCrop)'!$A26,'Data(perCrop)'!$O:$O,'Indicators(perCrop)'!AE$4,'Data(perCrop)'!$H:$H,'Indicators(perCrop)'!$A$3))/AVERAGEIFS('Data(perCrop)'!$L:$L,'Data(perCrop)'!$B:$B,'Indicators(perCrop)'!$A26,'Data(perCrop)'!$O:$O,'Indicators(perCrop)'!AE$4,'Data(perCrop)'!$H:$H,'Indicators(perCrop)'!$A$3),"")</f>
        <v/>
      </c>
      <c r="AF26" s="8" t="str">
        <f>IF(AND(ISNUMBER(N26),$B26&lt;&gt;14,$B26&lt;&gt;15),(AVERAGEIFS('Data(perCrop)'!$L:$L,'Data(perCrop)'!$B:$B,'Indicators(perCrop)'!$A26,'Data(perCrop)'!$O:$O,'Indicators(perCrop)'!AF$4,'Data(perCrop)'!$H:$H,'Indicators(perCrop)'!$A$3)-AVERAGEIFS('Data(perCrop)'!$K:$K,'Data(perCrop)'!$B:$B,'Indicators(perCrop)'!$A26,'Data(perCrop)'!$O:$O,'Indicators(perCrop)'!AF$4,'Data(perCrop)'!$H:$H,'Indicators(perCrop)'!$A$3))/AVERAGEIFS('Data(perCrop)'!$L:$L,'Data(perCrop)'!$B:$B,'Indicators(perCrop)'!$A26,'Data(perCrop)'!$O:$O,'Indicators(perCrop)'!AF$4,'Data(perCrop)'!$H:$H,'Indicators(perCrop)'!$A$3),"")</f>
        <v/>
      </c>
      <c r="AG26" s="8" t="e">
        <f t="shared" si="13"/>
        <v>#DIV/0!</v>
      </c>
      <c r="AH26" s="8" t="str">
        <f>IF(AND(ISNUMBER(J26),$B26&lt;&gt;14,$B26&lt;&gt;15),AVERAGEIFS('Data(perSeason,perCrop)'!$M:$M,'Data(perSeason,perCrop)'!$K:$K,'Indicators(perCrop)'!$A$3,'Data(perSeason,perCrop)'!$C:$C,'Indicators(perCrop)'!$A26,'Data(perSeason,perCrop)'!$S:$S,'Indicators(perCrop)'!AH$4,'Data(perSeason,perCrop)'!$R:$R,"IRRIGATED")-AVERAGEIFS('Data(perSeason,perCrop)'!$N:$N,'Data(perSeason,perCrop)'!$K:$K,'Indicators(perCrop)'!$A$3,'Data(perSeason,perCrop)'!$C:$C,'Indicators(perCrop)'!$A26,'Data(perSeason,perCrop)'!$S:$S,'Indicators(perCrop)'!AH$4,'Data(perSeason,perCrop)'!$R:$R,"IRRIGATED"),"")</f>
        <v/>
      </c>
      <c r="AI26" s="8" t="str">
        <f>IF(AND(ISNUMBER(K26),$B26&lt;&gt;14,$B26&lt;&gt;15),AVERAGEIFS('Data(perSeason,perCrop)'!$M:$M,'Data(perSeason,perCrop)'!$K:$K,'Indicators(perCrop)'!$A$3,'Data(perSeason,perCrop)'!$C:$C,'Indicators(perCrop)'!$A26,'Data(perSeason,perCrop)'!$S:$S,'Indicators(perCrop)'!AI$4,'Data(perSeason,perCrop)'!$R:$R,"IRRIGATED")-AVERAGEIFS('Data(perSeason,perCrop)'!$N:$N,'Data(perSeason,perCrop)'!$K:$K,'Indicators(perCrop)'!$A$3,'Data(perSeason,perCrop)'!$C:$C,'Indicators(perCrop)'!$A26,'Data(perSeason,perCrop)'!$S:$S,'Indicators(perCrop)'!AI$4,'Data(perSeason,perCrop)'!$R:$R,"IRRIGATED"),"")</f>
        <v/>
      </c>
      <c r="AJ26" s="8" t="str">
        <f>IF(AND(ISNUMBER(L26),$B26&lt;&gt;14,$B26&lt;&gt;15),AVERAGEIFS('Data(perSeason,perCrop)'!$M:$M,'Data(perSeason,perCrop)'!$K:$K,'Indicators(perCrop)'!$A$3,'Data(perSeason,perCrop)'!$C:$C,'Indicators(perCrop)'!$A26,'Data(perSeason,perCrop)'!$S:$S,'Indicators(perCrop)'!AJ$4,'Data(perSeason,perCrop)'!$R:$R,"IRRIGATED")-AVERAGEIFS('Data(perSeason,perCrop)'!$N:$N,'Data(perSeason,perCrop)'!$K:$K,'Indicators(perCrop)'!$A$3,'Data(perSeason,perCrop)'!$C:$C,'Indicators(perCrop)'!$A26,'Data(perSeason,perCrop)'!$S:$S,'Indicators(perCrop)'!AJ$4,'Data(perSeason,perCrop)'!$R:$R,"IRRIGATED"),"")</f>
        <v/>
      </c>
      <c r="AK26" s="8" t="str">
        <f>IF(AND(ISNUMBER(M26),$B26&lt;&gt;14,$B26&lt;&gt;15),AVERAGEIFS('Data(perSeason,perCrop)'!$M:$M,'Data(perSeason,perCrop)'!$K:$K,'Indicators(perCrop)'!$A$3,'Data(perSeason,perCrop)'!$C:$C,'Indicators(perCrop)'!$A26,'Data(perSeason,perCrop)'!$S:$S,'Indicators(perCrop)'!AK$4,'Data(perSeason,perCrop)'!$R:$R,"IRRIGATED")-AVERAGEIFS('Data(perSeason,perCrop)'!$N:$N,'Data(perSeason,perCrop)'!$K:$K,'Indicators(perCrop)'!$A$3,'Data(perSeason,perCrop)'!$C:$C,'Indicators(perCrop)'!$A26,'Data(perSeason,perCrop)'!$S:$S,'Indicators(perCrop)'!AK$4,'Data(perSeason,perCrop)'!$R:$R,"IRRIGATED"),"")</f>
        <v/>
      </c>
      <c r="AL26" s="8" t="str">
        <f>IF(AND(ISNUMBER(N26),$B26&lt;&gt;14,$B26&lt;&gt;15),AVERAGEIFS('Data(perSeason,perCrop)'!$M:$M,'Data(perSeason,perCrop)'!$K:$K,'Indicators(perCrop)'!$A$3,'Data(perSeason,perCrop)'!$C:$C,'Indicators(perCrop)'!$A26,'Data(perSeason,perCrop)'!$S:$S,'Indicators(perCrop)'!AL$4,'Data(perSeason,perCrop)'!$R:$R,"IRRIGATED")-AVERAGEIFS('Data(perSeason,perCrop)'!$N:$N,'Data(perSeason,perCrop)'!$K:$K,'Indicators(perCrop)'!$A$3,'Data(perSeason,perCrop)'!$C:$C,'Indicators(perCrop)'!$A26,'Data(perSeason,perCrop)'!$S:$S,'Indicators(perCrop)'!AL$4,'Data(perSeason,perCrop)'!$R:$R,"IRRIGATED"),"")</f>
        <v/>
      </c>
      <c r="AM26" s="8" t="e">
        <f t="shared" si="14"/>
        <v>#DIV/0!</v>
      </c>
      <c r="AN26" s="7" t="e">
        <f>AVERAGEIFS('Data(perCrop)'!$K:$K,'Data(perCrop)'!$B:$B,$A26,'Data(perCrop)'!$H:$H,$A$3,'Data(perCrop)'!$O:$O,'Indicators(perCrop)'!C$4)</f>
        <v>#DIV/0!</v>
      </c>
      <c r="AO26" s="7" t="e">
        <f>AVERAGEIFS('Data(perCrop)'!$K:$K,'Data(perCrop)'!$B:$B,$A26,'Data(perCrop)'!$H:$H,$A$3,'Data(perCrop)'!$O:$O,'Indicators(perCrop)'!D$4)</f>
        <v>#DIV/0!</v>
      </c>
      <c r="AP26" s="7" t="e">
        <f>AVERAGEIFS('Data(perCrop)'!$K:$K,'Data(perCrop)'!$B:$B,$A26,'Data(perCrop)'!$H:$H,$A$3,'Data(perCrop)'!$O:$O,'Indicators(perCrop)'!E$4)</f>
        <v>#DIV/0!</v>
      </c>
      <c r="AQ26" s="7" t="e">
        <f>AVERAGEIFS('Data(perCrop)'!$K:$K,'Data(perCrop)'!$B:$B,$A26,'Data(perCrop)'!$H:$H,$A$3,'Data(perCrop)'!$O:$O,'Indicators(perCrop)'!F$4)</f>
        <v>#DIV/0!</v>
      </c>
      <c r="AR26" s="7" t="e">
        <f>AVERAGEIFS('Data(perCrop)'!$K:$K,'Data(perCrop)'!$B:$B,$A26,'Data(perCrop)'!$H:$H,$A$3,'Data(perCrop)'!$O:$O,'Indicators(perCrop)'!G$4)</f>
        <v>#DIV/0!</v>
      </c>
      <c r="AS26" s="8" t="e">
        <f t="shared" si="15"/>
        <v>#DIV/0!</v>
      </c>
      <c r="AT26" s="50"/>
      <c r="AU26" s="50"/>
      <c r="AV26" s="50"/>
      <c r="AW26" s="50"/>
      <c r="AX26" s="50"/>
      <c r="AY26" s="50"/>
      <c r="AZ26" s="50"/>
      <c r="BA26" s="8"/>
      <c r="BB26" s="7">
        <f>SUMIFS('Data(perSeason,perCrop)'!$A:$A,'Data(perSeason,perCrop)'!$C:$C,'Indicators(perCrop)'!$A26,'Data(perSeason,perCrop)'!$R:$R,"IRRIGATED",'Data(perSeason,perCrop)'!$O:$O,'Indicators(perCrop)'!BB$4)/5</f>
        <v>0</v>
      </c>
      <c r="BC26" s="7">
        <f>SUMIFS('Data(perSeason,perCrop)'!$A:$A,'Data(perSeason,perCrop)'!$C:$C,'Indicators(perCrop)'!$A26,'Data(perSeason,perCrop)'!$R:$R,"IRRIGATED",'Data(perSeason,perCrop)'!$O:$O,'Indicators(perCrop)'!BC$4)/5</f>
        <v>0</v>
      </c>
      <c r="BD26" s="7">
        <f>SUMIFS('Data(perSeason,perCrop)'!$A:$A,'Data(perSeason,perCrop)'!$C:$C,'Indicators(perCrop)'!$A26,'Data(perSeason,perCrop)'!$R:$R,"IRRIGATED",'Data(perSeason,perCrop)'!$O:$O,'Indicators(perCrop)'!BD$4)/5</f>
        <v>0</v>
      </c>
      <c r="BE26" s="7" t="e">
        <f>AVERAGEIFS('Data(perSeason,perCrop)'!$G:$G,'Data(perSeason,perCrop)'!$C:$C,'Indicators(perCrop)'!$A26,'Data(perSeason,perCrop)'!$R:$R,"IRRIGATED",'Data(perSeason,perCrop)'!$O:$O,'Indicators(perCrop)'!BE$4)</f>
        <v>#DIV/0!</v>
      </c>
      <c r="BF26" s="7" t="e">
        <f>AVERAGEIFS('Data(perSeason,perCrop)'!$G:$G,'Data(perSeason,perCrop)'!$C:$C,'Indicators(perCrop)'!$A26,'Data(perSeason,perCrop)'!$R:$R,"IRRIGATED",'Data(perSeason,perCrop)'!$O:$O,'Indicators(perCrop)'!BF$4)</f>
        <v>#DIV/0!</v>
      </c>
      <c r="BG26" s="7" t="e">
        <f>AVERAGEIFS('Data(perSeason,perCrop)'!$G:$G,'Data(perSeason,perCrop)'!$C:$C,'Indicators(perCrop)'!$A26,'Data(perSeason,perCrop)'!$R:$R,"IRRIGATED",'Data(perSeason,perCrop)'!$O:$O,'Indicators(perCrop)'!BG$4)</f>
        <v>#DIV/0!</v>
      </c>
      <c r="BH26" s="7" t="str">
        <f t="shared" si="24"/>
        <v/>
      </c>
      <c r="BI26" s="7" t="str">
        <f t="shared" si="21"/>
        <v/>
      </c>
      <c r="BJ26" s="7" t="str">
        <f t="shared" si="22"/>
        <v/>
      </c>
      <c r="BK26" s="25" t="e">
        <f>AVERAGEIFS('Data(perCrop)'!F:F,'Data(perCrop)'!$B:$B,A26)</f>
        <v>#DIV/0!</v>
      </c>
      <c r="BL26" s="8" t="str">
        <f t="shared" si="2"/>
        <v/>
      </c>
      <c r="BM26" s="32" t="str">
        <f t="shared" si="3"/>
        <v/>
      </c>
    </row>
    <row r="27" spans="1:65" x14ac:dyDescent="0.25">
      <c r="A27" s="9" t="s">
        <v>141</v>
      </c>
      <c r="B27">
        <v>37</v>
      </c>
      <c r="C27" s="7" t="str">
        <f>IF(AND(ISNUMBER(AVERAGEIFS('Data(perCrop)'!$A:$A,'Data(perCrop)'!$B:$B,$A27,'Data(perCrop)'!$H:$H,$A$3,'Data(perCrop)'!$O:$O,'Indicators(perCrop)'!C$4)),$B27&lt;&gt;14,$B27&lt;&gt;15),AVERAGEIFS('Data(perCrop)'!$A:$A,'Data(perCrop)'!$B:$B,$A27,'Data(perCrop)'!$H:$H,$A$3,'Data(perCrop)'!$O:$O,'Indicators(perCrop)'!C$4),"")</f>
        <v/>
      </c>
      <c r="D27" s="7" t="str">
        <f>IF(AND(ISNUMBER(AVERAGEIFS('Data(perCrop)'!$A:$A,'Data(perCrop)'!$B:$B,$A27,'Data(perCrop)'!$H:$H,$A$3,'Data(perCrop)'!$O:$O,'Indicators(perCrop)'!D$4)),$B27&lt;&gt;14,$B27&lt;&gt;15),AVERAGEIFS('Data(perCrop)'!$A:$A,'Data(perCrop)'!$B:$B,$A27,'Data(perCrop)'!$H:$H,$A$3,'Data(perCrop)'!$O:$O,'Indicators(perCrop)'!D$4),"")</f>
        <v/>
      </c>
      <c r="E27" s="7" t="str">
        <f>IF(AND(ISNUMBER(AVERAGEIFS('Data(perCrop)'!$A:$A,'Data(perCrop)'!$B:$B,$A27,'Data(perCrop)'!$H:$H,$A$3,'Data(perCrop)'!$O:$O,'Indicators(perCrop)'!E$4)),$B27&lt;&gt;14,$B27&lt;&gt;15),AVERAGEIFS('Data(perCrop)'!$A:$A,'Data(perCrop)'!$B:$B,$A27,'Data(perCrop)'!$H:$H,$A$3,'Data(perCrop)'!$O:$O,'Indicators(perCrop)'!E$4),"")</f>
        <v/>
      </c>
      <c r="F27" s="7" t="str">
        <f>IF(AND(ISNUMBER(AVERAGEIFS('Data(perCrop)'!$A:$A,'Data(perCrop)'!$B:$B,$A27,'Data(perCrop)'!$H:$H,$A$3,'Data(perCrop)'!$O:$O,'Indicators(perCrop)'!F$4)),$B27&lt;&gt;14,$B27&lt;&gt;15),AVERAGEIFS('Data(perCrop)'!$A:$A,'Data(perCrop)'!$B:$B,$A27,'Data(perCrop)'!$H:$H,$A$3,'Data(perCrop)'!$O:$O,'Indicators(perCrop)'!F$4),"")</f>
        <v/>
      </c>
      <c r="G27" s="7" t="str">
        <f>IF(AND(ISNUMBER(AVERAGEIFS('Data(perCrop)'!$A:$A,'Data(perCrop)'!$B:$B,$A27,'Data(perCrop)'!$H:$H,$A$3,'Data(perCrop)'!$O:$O,'Indicators(perCrop)'!G$4)),$B27&lt;&gt;14,$B27&lt;&gt;15),AVERAGEIFS('Data(perCrop)'!$A:$A,'Data(perCrop)'!$B:$B,$A27,'Data(perCrop)'!$H:$H,$A$3,'Data(perCrop)'!$O:$O,'Indicators(perCrop)'!G$4),"")</f>
        <v/>
      </c>
      <c r="H27" s="7" t="str">
        <f t="shared" si="4"/>
        <v/>
      </c>
      <c r="I27" s="32" t="str">
        <f t="shared" si="5"/>
        <v/>
      </c>
      <c r="J27" s="7" t="e">
        <f>AVERAGEIFS('Data(perCrop)'!$D:$D,'Data(perCrop)'!$B:$B,$A27,'Data(perCrop)'!$H:$H,$A$3,'Data(perCrop)'!$O:$O,'Indicators(perCrop)'!C$4)</f>
        <v>#DIV/0!</v>
      </c>
      <c r="K27" s="7" t="e">
        <f>AVERAGEIFS('Data(perCrop)'!$D:$D,'Data(perCrop)'!$B:$B,$A27,'Data(perCrop)'!$H:$H,$A$3,'Data(perCrop)'!$O:$O,'Indicators(perCrop)'!D$4)</f>
        <v>#DIV/0!</v>
      </c>
      <c r="L27" s="7" t="e">
        <f>AVERAGEIFS('Data(perCrop)'!$D:$D,'Data(perCrop)'!$B:$B,$A27,'Data(perCrop)'!$H:$H,$A$3,'Data(perCrop)'!$O:$O,'Indicators(perCrop)'!E$4)</f>
        <v>#DIV/0!</v>
      </c>
      <c r="M27" s="7" t="e">
        <f>AVERAGEIFS('Data(perCrop)'!$D:$D,'Data(perCrop)'!$B:$B,$A27,'Data(perCrop)'!$H:$H,$A$3,'Data(perCrop)'!$O:$O,'Indicators(perCrop)'!F$4)</f>
        <v>#DIV/0!</v>
      </c>
      <c r="N27" s="7" t="e">
        <f>AVERAGEIFS('Data(perCrop)'!$D:$D,'Data(perCrop)'!$B:$B,$A27,'Data(perCrop)'!$H:$H,$A$3,'Data(perCrop)'!$O:$O,'Indicators(perCrop)'!G$4)</f>
        <v>#DIV/0!</v>
      </c>
      <c r="O27" s="7" t="e">
        <f t="shared" si="6"/>
        <v>#DIV/0!</v>
      </c>
      <c r="P27" s="7" t="e">
        <f>AVERAGEIFS('Data(perCrop)'!$E:$E,'Data(perCrop)'!$B:$B,$A27,'Data(perCrop)'!$H:$H,$A$3,'Data(perCrop)'!$O:$O,'Indicators(perCrop)'!J$4)</f>
        <v>#DIV/0!</v>
      </c>
      <c r="Q27" s="7" t="e">
        <f>AVERAGEIFS('Data(perCrop)'!$E:$E,'Data(perCrop)'!$B:$B,$A27,'Data(perCrop)'!$H:$H,$A$3,'Data(perCrop)'!$O:$O,'Indicators(perCrop)'!K$4)</f>
        <v>#DIV/0!</v>
      </c>
      <c r="R27" s="7" t="e">
        <f>AVERAGEIFS('Data(perCrop)'!$E:$E,'Data(perCrop)'!$B:$B,$A27,'Data(perCrop)'!$H:$H,$A$3,'Data(perCrop)'!$O:$O,'Indicators(perCrop)'!L$4)</f>
        <v>#DIV/0!</v>
      </c>
      <c r="S27" s="7" t="e">
        <f>AVERAGEIFS('Data(perCrop)'!$E:$E,'Data(perCrop)'!$B:$B,$A27,'Data(perCrop)'!$H:$H,$A$3,'Data(perCrop)'!$O:$O,'Indicators(perCrop)'!M$4)</f>
        <v>#DIV/0!</v>
      </c>
      <c r="T27" s="7" t="e">
        <f>AVERAGEIFS('Data(perCrop)'!$E:$E,'Data(perCrop)'!$B:$B,$A27,'Data(perCrop)'!$H:$H,$A$3,'Data(perCrop)'!$O:$O,'Indicators(perCrop)'!N$4)</f>
        <v>#DIV/0!</v>
      </c>
      <c r="U27" s="7" t="e">
        <f t="shared" si="7"/>
        <v>#DIV/0!</v>
      </c>
      <c r="V27" s="8" t="str">
        <f t="shared" si="8"/>
        <v/>
      </c>
      <c r="W27" s="8" t="str">
        <f t="shared" si="9"/>
        <v/>
      </c>
      <c r="X27" s="8" t="str">
        <f t="shared" si="10"/>
        <v/>
      </c>
      <c r="Y27" s="8" t="str">
        <f t="shared" si="11"/>
        <v/>
      </c>
      <c r="Z27" s="8" t="str">
        <f t="shared" si="12"/>
        <v/>
      </c>
      <c r="AA27" s="8" t="e">
        <f t="shared" si="25"/>
        <v>#DIV/0!</v>
      </c>
      <c r="AB27" s="8" t="str">
        <f>IF(AND(ISNUMBER(J27),$B27&lt;&gt;14,$B27&lt;&gt;15),(AVERAGEIFS('Data(perCrop)'!$L:$L,'Data(perCrop)'!$B:$B,'Indicators(perCrop)'!$A27,'Data(perCrop)'!$O:$O,'Indicators(perCrop)'!AB$4,'Data(perCrop)'!$H:$H,'Indicators(perCrop)'!$A$3)-AVERAGEIFS('Data(perCrop)'!$K:$K,'Data(perCrop)'!$B:$B,'Indicators(perCrop)'!$A27,'Data(perCrop)'!$O:$O,'Indicators(perCrop)'!AB$4,'Data(perCrop)'!$H:$H,'Indicators(perCrop)'!$A$3))/AVERAGEIFS('Data(perCrop)'!$L:$L,'Data(perCrop)'!$B:$B,'Indicators(perCrop)'!$A27,'Data(perCrop)'!$O:$O,'Indicators(perCrop)'!AB$4,'Data(perCrop)'!$H:$H,'Indicators(perCrop)'!$A$3),"")</f>
        <v/>
      </c>
      <c r="AC27" s="8" t="str">
        <f>IF(AND(ISNUMBER(K27),$B27&lt;&gt;14,$B27&lt;&gt;15),(AVERAGEIFS('Data(perCrop)'!$L:$L,'Data(perCrop)'!$B:$B,'Indicators(perCrop)'!$A27,'Data(perCrop)'!$O:$O,'Indicators(perCrop)'!AC$4,'Data(perCrop)'!$H:$H,'Indicators(perCrop)'!$A$3)-AVERAGEIFS('Data(perCrop)'!$K:$K,'Data(perCrop)'!$B:$B,'Indicators(perCrop)'!$A27,'Data(perCrop)'!$O:$O,'Indicators(perCrop)'!AC$4,'Data(perCrop)'!$H:$H,'Indicators(perCrop)'!$A$3))/AVERAGEIFS('Data(perCrop)'!$L:$L,'Data(perCrop)'!$B:$B,'Indicators(perCrop)'!$A27,'Data(perCrop)'!$O:$O,'Indicators(perCrop)'!AC$4,'Data(perCrop)'!$H:$H,'Indicators(perCrop)'!$A$3),"")</f>
        <v/>
      </c>
      <c r="AD27" s="8" t="str">
        <f>IF(AND(ISNUMBER(L27),$B27&lt;&gt;14,$B27&lt;&gt;15),(AVERAGEIFS('Data(perCrop)'!$L:$L,'Data(perCrop)'!$B:$B,'Indicators(perCrop)'!$A27,'Data(perCrop)'!$O:$O,'Indicators(perCrop)'!AD$4,'Data(perCrop)'!$H:$H,'Indicators(perCrop)'!$A$3)-AVERAGEIFS('Data(perCrop)'!$K:$K,'Data(perCrop)'!$B:$B,'Indicators(perCrop)'!$A27,'Data(perCrop)'!$O:$O,'Indicators(perCrop)'!AD$4,'Data(perCrop)'!$H:$H,'Indicators(perCrop)'!$A$3))/AVERAGEIFS('Data(perCrop)'!$L:$L,'Data(perCrop)'!$B:$B,'Indicators(perCrop)'!$A27,'Data(perCrop)'!$O:$O,'Indicators(perCrop)'!AD$4,'Data(perCrop)'!$H:$H,'Indicators(perCrop)'!$A$3),"")</f>
        <v/>
      </c>
      <c r="AE27" s="8" t="str">
        <f>IF(AND(ISNUMBER(M27),$B27&lt;&gt;14,$B27&lt;&gt;15),(AVERAGEIFS('Data(perCrop)'!$L:$L,'Data(perCrop)'!$B:$B,'Indicators(perCrop)'!$A27,'Data(perCrop)'!$O:$O,'Indicators(perCrop)'!AE$4,'Data(perCrop)'!$H:$H,'Indicators(perCrop)'!$A$3)-AVERAGEIFS('Data(perCrop)'!$K:$K,'Data(perCrop)'!$B:$B,'Indicators(perCrop)'!$A27,'Data(perCrop)'!$O:$O,'Indicators(perCrop)'!AE$4,'Data(perCrop)'!$H:$H,'Indicators(perCrop)'!$A$3))/AVERAGEIFS('Data(perCrop)'!$L:$L,'Data(perCrop)'!$B:$B,'Indicators(perCrop)'!$A27,'Data(perCrop)'!$O:$O,'Indicators(perCrop)'!AE$4,'Data(perCrop)'!$H:$H,'Indicators(perCrop)'!$A$3),"")</f>
        <v/>
      </c>
      <c r="AF27" s="8" t="str">
        <f>IF(AND(ISNUMBER(N27),$B27&lt;&gt;14,$B27&lt;&gt;15),(AVERAGEIFS('Data(perCrop)'!$L:$L,'Data(perCrop)'!$B:$B,'Indicators(perCrop)'!$A27,'Data(perCrop)'!$O:$O,'Indicators(perCrop)'!AF$4,'Data(perCrop)'!$H:$H,'Indicators(perCrop)'!$A$3)-AVERAGEIFS('Data(perCrop)'!$K:$K,'Data(perCrop)'!$B:$B,'Indicators(perCrop)'!$A27,'Data(perCrop)'!$O:$O,'Indicators(perCrop)'!AF$4,'Data(perCrop)'!$H:$H,'Indicators(perCrop)'!$A$3))/AVERAGEIFS('Data(perCrop)'!$L:$L,'Data(perCrop)'!$B:$B,'Indicators(perCrop)'!$A27,'Data(perCrop)'!$O:$O,'Indicators(perCrop)'!AF$4,'Data(perCrop)'!$H:$H,'Indicators(perCrop)'!$A$3),"")</f>
        <v/>
      </c>
      <c r="AG27" s="8" t="e">
        <f t="shared" si="13"/>
        <v>#DIV/0!</v>
      </c>
      <c r="AH27" s="8" t="str">
        <f>IF(AND(ISNUMBER(J27),$B27&lt;&gt;14,$B27&lt;&gt;15),AVERAGEIFS('Data(perSeason,perCrop)'!$M:$M,'Data(perSeason,perCrop)'!$K:$K,'Indicators(perCrop)'!$A$3,'Data(perSeason,perCrop)'!$C:$C,'Indicators(perCrop)'!$A27,'Data(perSeason,perCrop)'!$S:$S,'Indicators(perCrop)'!AH$4,'Data(perSeason,perCrop)'!$R:$R,"IRRIGATED")-AVERAGEIFS('Data(perSeason,perCrop)'!$N:$N,'Data(perSeason,perCrop)'!$K:$K,'Indicators(perCrop)'!$A$3,'Data(perSeason,perCrop)'!$C:$C,'Indicators(perCrop)'!$A27,'Data(perSeason,perCrop)'!$S:$S,'Indicators(perCrop)'!AH$4,'Data(perSeason,perCrop)'!$R:$R,"IRRIGATED"),"")</f>
        <v/>
      </c>
      <c r="AI27" s="8" t="str">
        <f>IF(AND(ISNUMBER(K27),$B27&lt;&gt;14,$B27&lt;&gt;15),AVERAGEIFS('Data(perSeason,perCrop)'!$M:$M,'Data(perSeason,perCrop)'!$K:$K,'Indicators(perCrop)'!$A$3,'Data(perSeason,perCrop)'!$C:$C,'Indicators(perCrop)'!$A27,'Data(perSeason,perCrop)'!$S:$S,'Indicators(perCrop)'!AI$4,'Data(perSeason,perCrop)'!$R:$R,"IRRIGATED")-AVERAGEIFS('Data(perSeason,perCrop)'!$N:$N,'Data(perSeason,perCrop)'!$K:$K,'Indicators(perCrop)'!$A$3,'Data(perSeason,perCrop)'!$C:$C,'Indicators(perCrop)'!$A27,'Data(perSeason,perCrop)'!$S:$S,'Indicators(perCrop)'!AI$4,'Data(perSeason,perCrop)'!$R:$R,"IRRIGATED"),"")</f>
        <v/>
      </c>
      <c r="AJ27" s="8" t="str">
        <f>IF(AND(ISNUMBER(L27),$B27&lt;&gt;14,$B27&lt;&gt;15),AVERAGEIFS('Data(perSeason,perCrop)'!$M:$M,'Data(perSeason,perCrop)'!$K:$K,'Indicators(perCrop)'!$A$3,'Data(perSeason,perCrop)'!$C:$C,'Indicators(perCrop)'!$A27,'Data(perSeason,perCrop)'!$S:$S,'Indicators(perCrop)'!AJ$4,'Data(perSeason,perCrop)'!$R:$R,"IRRIGATED")-AVERAGEIFS('Data(perSeason,perCrop)'!$N:$N,'Data(perSeason,perCrop)'!$K:$K,'Indicators(perCrop)'!$A$3,'Data(perSeason,perCrop)'!$C:$C,'Indicators(perCrop)'!$A27,'Data(perSeason,perCrop)'!$S:$S,'Indicators(perCrop)'!AJ$4,'Data(perSeason,perCrop)'!$R:$R,"IRRIGATED"),"")</f>
        <v/>
      </c>
      <c r="AK27" s="8" t="str">
        <f>IF(AND(ISNUMBER(M27),$B27&lt;&gt;14,$B27&lt;&gt;15),AVERAGEIFS('Data(perSeason,perCrop)'!$M:$M,'Data(perSeason,perCrop)'!$K:$K,'Indicators(perCrop)'!$A$3,'Data(perSeason,perCrop)'!$C:$C,'Indicators(perCrop)'!$A27,'Data(perSeason,perCrop)'!$S:$S,'Indicators(perCrop)'!AK$4,'Data(perSeason,perCrop)'!$R:$R,"IRRIGATED")-AVERAGEIFS('Data(perSeason,perCrop)'!$N:$N,'Data(perSeason,perCrop)'!$K:$K,'Indicators(perCrop)'!$A$3,'Data(perSeason,perCrop)'!$C:$C,'Indicators(perCrop)'!$A27,'Data(perSeason,perCrop)'!$S:$S,'Indicators(perCrop)'!AK$4,'Data(perSeason,perCrop)'!$R:$R,"IRRIGATED"),"")</f>
        <v/>
      </c>
      <c r="AL27" s="8" t="str">
        <f>IF(AND(ISNUMBER(N27),$B27&lt;&gt;14,$B27&lt;&gt;15),AVERAGEIFS('Data(perSeason,perCrop)'!$M:$M,'Data(perSeason,perCrop)'!$K:$K,'Indicators(perCrop)'!$A$3,'Data(perSeason,perCrop)'!$C:$C,'Indicators(perCrop)'!$A27,'Data(perSeason,perCrop)'!$S:$S,'Indicators(perCrop)'!AL$4,'Data(perSeason,perCrop)'!$R:$R,"IRRIGATED")-AVERAGEIFS('Data(perSeason,perCrop)'!$N:$N,'Data(perSeason,perCrop)'!$K:$K,'Indicators(perCrop)'!$A$3,'Data(perSeason,perCrop)'!$C:$C,'Indicators(perCrop)'!$A27,'Data(perSeason,perCrop)'!$S:$S,'Indicators(perCrop)'!AL$4,'Data(perSeason,perCrop)'!$R:$R,"IRRIGATED"),"")</f>
        <v/>
      </c>
      <c r="AM27" s="8" t="e">
        <f t="shared" si="14"/>
        <v>#DIV/0!</v>
      </c>
      <c r="AN27" s="7" t="e">
        <f>AVERAGEIFS('Data(perCrop)'!$K:$K,'Data(perCrop)'!$B:$B,$A27,'Data(perCrop)'!$H:$H,$A$3,'Data(perCrop)'!$O:$O,'Indicators(perCrop)'!C$4)</f>
        <v>#DIV/0!</v>
      </c>
      <c r="AO27" s="7" t="e">
        <f>AVERAGEIFS('Data(perCrop)'!$K:$K,'Data(perCrop)'!$B:$B,$A27,'Data(perCrop)'!$H:$H,$A$3,'Data(perCrop)'!$O:$O,'Indicators(perCrop)'!D$4)</f>
        <v>#DIV/0!</v>
      </c>
      <c r="AP27" s="7" t="e">
        <f>AVERAGEIFS('Data(perCrop)'!$K:$K,'Data(perCrop)'!$B:$B,$A27,'Data(perCrop)'!$H:$H,$A$3,'Data(perCrop)'!$O:$O,'Indicators(perCrop)'!E$4)</f>
        <v>#DIV/0!</v>
      </c>
      <c r="AQ27" s="7" t="e">
        <f>AVERAGEIFS('Data(perCrop)'!$K:$K,'Data(perCrop)'!$B:$B,$A27,'Data(perCrop)'!$H:$H,$A$3,'Data(perCrop)'!$O:$O,'Indicators(perCrop)'!F$4)</f>
        <v>#DIV/0!</v>
      </c>
      <c r="AR27" s="7" t="e">
        <f>AVERAGEIFS('Data(perCrop)'!$K:$K,'Data(perCrop)'!$B:$B,$A27,'Data(perCrop)'!$H:$H,$A$3,'Data(perCrop)'!$O:$O,'Indicators(perCrop)'!G$4)</f>
        <v>#DIV/0!</v>
      </c>
      <c r="AS27" s="8" t="e">
        <f t="shared" si="15"/>
        <v>#DIV/0!</v>
      </c>
      <c r="AT27" s="50"/>
      <c r="AU27" s="50"/>
      <c r="AV27" s="50"/>
      <c r="AW27" s="50"/>
      <c r="AX27" s="50"/>
      <c r="AY27" s="50"/>
      <c r="AZ27" s="50"/>
      <c r="BA27" s="8"/>
      <c r="BB27" s="7">
        <f>SUMIFS('Data(perSeason,perCrop)'!$A:$A,'Data(perSeason,perCrop)'!$C:$C,'Indicators(perCrop)'!$A27,'Data(perSeason,perCrop)'!$R:$R,"IRRIGATED",'Data(perSeason,perCrop)'!$O:$O,'Indicators(perCrop)'!BB$4)/5</f>
        <v>0</v>
      </c>
      <c r="BC27" s="7">
        <f>SUMIFS('Data(perSeason,perCrop)'!$A:$A,'Data(perSeason,perCrop)'!$C:$C,'Indicators(perCrop)'!$A27,'Data(perSeason,perCrop)'!$R:$R,"IRRIGATED",'Data(perSeason,perCrop)'!$O:$O,'Indicators(perCrop)'!BC$4)/5</f>
        <v>0</v>
      </c>
      <c r="BD27" s="7">
        <f>SUMIFS('Data(perSeason,perCrop)'!$A:$A,'Data(perSeason,perCrop)'!$C:$C,'Indicators(perCrop)'!$A27,'Data(perSeason,perCrop)'!$R:$R,"IRRIGATED",'Data(perSeason,perCrop)'!$O:$O,'Indicators(perCrop)'!BD$4)/5</f>
        <v>0</v>
      </c>
      <c r="BE27" s="7" t="e">
        <f>AVERAGEIFS('Data(perSeason,perCrop)'!$G:$G,'Data(perSeason,perCrop)'!$C:$C,'Indicators(perCrop)'!$A27,'Data(perSeason,perCrop)'!$R:$R,"IRRIGATED",'Data(perSeason,perCrop)'!$O:$O,'Indicators(perCrop)'!BE$4)</f>
        <v>#DIV/0!</v>
      </c>
      <c r="BF27" s="7" t="e">
        <f>AVERAGEIFS('Data(perSeason,perCrop)'!$G:$G,'Data(perSeason,perCrop)'!$C:$C,'Indicators(perCrop)'!$A27,'Data(perSeason,perCrop)'!$R:$R,"IRRIGATED",'Data(perSeason,perCrop)'!$O:$O,'Indicators(perCrop)'!BF$4)</f>
        <v>#DIV/0!</v>
      </c>
      <c r="BG27" s="7" t="e">
        <f>AVERAGEIFS('Data(perSeason,perCrop)'!$G:$G,'Data(perSeason,perCrop)'!$C:$C,'Indicators(perCrop)'!$A27,'Data(perSeason,perCrop)'!$R:$R,"IRRIGATED",'Data(perSeason,perCrop)'!$O:$O,'Indicators(perCrop)'!BG$4)</f>
        <v>#DIV/0!</v>
      </c>
      <c r="BH27" s="7" t="str">
        <f t="shared" si="24"/>
        <v/>
      </c>
      <c r="BI27" s="7" t="str">
        <f t="shared" si="21"/>
        <v/>
      </c>
      <c r="BJ27" s="7" t="str">
        <f t="shared" si="22"/>
        <v/>
      </c>
      <c r="BK27" s="25" t="e">
        <f>AVERAGEIFS('Data(perCrop)'!F:F,'Data(perCrop)'!$B:$B,A27)</f>
        <v>#DIV/0!</v>
      </c>
      <c r="BL27" s="8" t="str">
        <f t="shared" si="2"/>
        <v/>
      </c>
      <c r="BM27" s="32" t="str">
        <f t="shared" si="3"/>
        <v/>
      </c>
    </row>
    <row r="28" spans="1:65" x14ac:dyDescent="0.25">
      <c r="A28" s="9" t="s">
        <v>142</v>
      </c>
      <c r="B28">
        <v>38</v>
      </c>
      <c r="C28" s="7" t="str">
        <f>IF(AND(ISNUMBER(AVERAGEIFS('Data(perCrop)'!$A:$A,'Data(perCrop)'!$B:$B,$A28,'Data(perCrop)'!$H:$H,$A$3,'Data(perCrop)'!$O:$O,'Indicators(perCrop)'!C$4)),$B28&lt;&gt;14,$B28&lt;&gt;15),AVERAGEIFS('Data(perCrop)'!$A:$A,'Data(perCrop)'!$B:$B,$A28,'Data(perCrop)'!$H:$H,$A$3,'Data(perCrop)'!$O:$O,'Indicators(perCrop)'!C$4),"")</f>
        <v/>
      </c>
      <c r="D28" s="7" t="str">
        <f>IF(AND(ISNUMBER(AVERAGEIFS('Data(perCrop)'!$A:$A,'Data(perCrop)'!$B:$B,$A28,'Data(perCrop)'!$H:$H,$A$3,'Data(perCrop)'!$O:$O,'Indicators(perCrop)'!D$4)),$B28&lt;&gt;14,$B28&lt;&gt;15),AVERAGEIFS('Data(perCrop)'!$A:$A,'Data(perCrop)'!$B:$B,$A28,'Data(perCrop)'!$H:$H,$A$3,'Data(perCrop)'!$O:$O,'Indicators(perCrop)'!D$4),"")</f>
        <v/>
      </c>
      <c r="E28" s="7" t="str">
        <f>IF(AND(ISNUMBER(AVERAGEIFS('Data(perCrop)'!$A:$A,'Data(perCrop)'!$B:$B,$A28,'Data(perCrop)'!$H:$H,$A$3,'Data(perCrop)'!$O:$O,'Indicators(perCrop)'!E$4)),$B28&lt;&gt;14,$B28&lt;&gt;15),AVERAGEIFS('Data(perCrop)'!$A:$A,'Data(perCrop)'!$B:$B,$A28,'Data(perCrop)'!$H:$H,$A$3,'Data(perCrop)'!$O:$O,'Indicators(perCrop)'!E$4),"")</f>
        <v/>
      </c>
      <c r="F28" s="7" t="str">
        <f>IF(AND(ISNUMBER(AVERAGEIFS('Data(perCrop)'!$A:$A,'Data(perCrop)'!$B:$B,$A28,'Data(perCrop)'!$H:$H,$A$3,'Data(perCrop)'!$O:$O,'Indicators(perCrop)'!F$4)),$B28&lt;&gt;14,$B28&lt;&gt;15),AVERAGEIFS('Data(perCrop)'!$A:$A,'Data(perCrop)'!$B:$B,$A28,'Data(perCrop)'!$H:$H,$A$3,'Data(perCrop)'!$O:$O,'Indicators(perCrop)'!F$4),"")</f>
        <v/>
      </c>
      <c r="G28" s="7" t="str">
        <f>IF(AND(ISNUMBER(AVERAGEIFS('Data(perCrop)'!$A:$A,'Data(perCrop)'!$B:$B,$A28,'Data(perCrop)'!$H:$H,$A$3,'Data(perCrop)'!$O:$O,'Indicators(perCrop)'!G$4)),$B28&lt;&gt;14,$B28&lt;&gt;15),AVERAGEIFS('Data(perCrop)'!$A:$A,'Data(perCrop)'!$B:$B,$A28,'Data(perCrop)'!$H:$H,$A$3,'Data(perCrop)'!$O:$O,'Indicators(perCrop)'!G$4),"")</f>
        <v/>
      </c>
      <c r="H28" s="7" t="str">
        <f t="shared" si="4"/>
        <v/>
      </c>
      <c r="I28" s="32" t="str">
        <f t="shared" si="5"/>
        <v/>
      </c>
      <c r="J28" s="7" t="e">
        <f>AVERAGEIFS('Data(perCrop)'!$D:$D,'Data(perCrop)'!$B:$B,$A28,'Data(perCrop)'!$H:$H,$A$3,'Data(perCrop)'!$O:$O,'Indicators(perCrop)'!C$4)</f>
        <v>#DIV/0!</v>
      </c>
      <c r="K28" s="7" t="e">
        <f>AVERAGEIFS('Data(perCrop)'!$D:$D,'Data(perCrop)'!$B:$B,$A28,'Data(perCrop)'!$H:$H,$A$3,'Data(perCrop)'!$O:$O,'Indicators(perCrop)'!D$4)</f>
        <v>#DIV/0!</v>
      </c>
      <c r="L28" s="7" t="e">
        <f>AVERAGEIFS('Data(perCrop)'!$D:$D,'Data(perCrop)'!$B:$B,$A28,'Data(perCrop)'!$H:$H,$A$3,'Data(perCrop)'!$O:$O,'Indicators(perCrop)'!E$4)</f>
        <v>#DIV/0!</v>
      </c>
      <c r="M28" s="7" t="e">
        <f>AVERAGEIFS('Data(perCrop)'!$D:$D,'Data(perCrop)'!$B:$B,$A28,'Data(perCrop)'!$H:$H,$A$3,'Data(perCrop)'!$O:$O,'Indicators(perCrop)'!F$4)</f>
        <v>#DIV/0!</v>
      </c>
      <c r="N28" s="7" t="e">
        <f>AVERAGEIFS('Data(perCrop)'!$D:$D,'Data(perCrop)'!$B:$B,$A28,'Data(perCrop)'!$H:$H,$A$3,'Data(perCrop)'!$O:$O,'Indicators(perCrop)'!G$4)</f>
        <v>#DIV/0!</v>
      </c>
      <c r="O28" s="7" t="e">
        <f t="shared" si="6"/>
        <v>#DIV/0!</v>
      </c>
      <c r="P28" s="7" t="e">
        <f>AVERAGEIFS('Data(perCrop)'!$E:$E,'Data(perCrop)'!$B:$B,$A28,'Data(perCrop)'!$H:$H,$A$3,'Data(perCrop)'!$O:$O,'Indicators(perCrop)'!J$4)</f>
        <v>#DIV/0!</v>
      </c>
      <c r="Q28" s="7" t="e">
        <f>AVERAGEIFS('Data(perCrop)'!$E:$E,'Data(perCrop)'!$B:$B,$A28,'Data(perCrop)'!$H:$H,$A$3,'Data(perCrop)'!$O:$O,'Indicators(perCrop)'!K$4)</f>
        <v>#DIV/0!</v>
      </c>
      <c r="R28" s="7" t="e">
        <f>AVERAGEIFS('Data(perCrop)'!$E:$E,'Data(perCrop)'!$B:$B,$A28,'Data(perCrop)'!$H:$H,$A$3,'Data(perCrop)'!$O:$O,'Indicators(perCrop)'!L$4)</f>
        <v>#DIV/0!</v>
      </c>
      <c r="S28" s="7" t="e">
        <f>AVERAGEIFS('Data(perCrop)'!$E:$E,'Data(perCrop)'!$B:$B,$A28,'Data(perCrop)'!$H:$H,$A$3,'Data(perCrop)'!$O:$O,'Indicators(perCrop)'!M$4)</f>
        <v>#DIV/0!</v>
      </c>
      <c r="T28" s="7" t="e">
        <f>AVERAGEIFS('Data(perCrop)'!$E:$E,'Data(perCrop)'!$B:$B,$A28,'Data(perCrop)'!$H:$H,$A$3,'Data(perCrop)'!$O:$O,'Indicators(perCrop)'!N$4)</f>
        <v>#DIV/0!</v>
      </c>
      <c r="U28" s="7" t="e">
        <f t="shared" si="7"/>
        <v>#DIV/0!</v>
      </c>
      <c r="V28" s="8" t="str">
        <f t="shared" si="8"/>
        <v/>
      </c>
      <c r="W28" s="8" t="str">
        <f t="shared" si="9"/>
        <v/>
      </c>
      <c r="X28" s="8" t="str">
        <f t="shared" si="10"/>
        <v/>
      </c>
      <c r="Y28" s="8" t="str">
        <f t="shared" si="11"/>
        <v/>
      </c>
      <c r="Z28" s="8" t="str">
        <f t="shared" si="12"/>
        <v/>
      </c>
      <c r="AA28" s="8" t="e">
        <f t="shared" si="25"/>
        <v>#DIV/0!</v>
      </c>
      <c r="AB28" s="8" t="str">
        <f>IF(AND(ISNUMBER(J28),$B28&lt;&gt;14,$B28&lt;&gt;15),(AVERAGEIFS('Data(perCrop)'!$L:$L,'Data(perCrop)'!$B:$B,'Indicators(perCrop)'!$A28,'Data(perCrop)'!$O:$O,'Indicators(perCrop)'!AB$4,'Data(perCrop)'!$H:$H,'Indicators(perCrop)'!$A$3)-AVERAGEIFS('Data(perCrop)'!$K:$K,'Data(perCrop)'!$B:$B,'Indicators(perCrop)'!$A28,'Data(perCrop)'!$O:$O,'Indicators(perCrop)'!AB$4,'Data(perCrop)'!$H:$H,'Indicators(perCrop)'!$A$3))/AVERAGEIFS('Data(perCrop)'!$L:$L,'Data(perCrop)'!$B:$B,'Indicators(perCrop)'!$A28,'Data(perCrop)'!$O:$O,'Indicators(perCrop)'!AB$4,'Data(perCrop)'!$H:$H,'Indicators(perCrop)'!$A$3),"")</f>
        <v/>
      </c>
      <c r="AC28" s="8" t="str">
        <f>IF(AND(ISNUMBER(K28),$B28&lt;&gt;14,$B28&lt;&gt;15),(AVERAGEIFS('Data(perCrop)'!$L:$L,'Data(perCrop)'!$B:$B,'Indicators(perCrop)'!$A28,'Data(perCrop)'!$O:$O,'Indicators(perCrop)'!AC$4,'Data(perCrop)'!$H:$H,'Indicators(perCrop)'!$A$3)-AVERAGEIFS('Data(perCrop)'!$K:$K,'Data(perCrop)'!$B:$B,'Indicators(perCrop)'!$A28,'Data(perCrop)'!$O:$O,'Indicators(perCrop)'!AC$4,'Data(perCrop)'!$H:$H,'Indicators(perCrop)'!$A$3))/AVERAGEIFS('Data(perCrop)'!$L:$L,'Data(perCrop)'!$B:$B,'Indicators(perCrop)'!$A28,'Data(perCrop)'!$O:$O,'Indicators(perCrop)'!AC$4,'Data(perCrop)'!$H:$H,'Indicators(perCrop)'!$A$3),"")</f>
        <v/>
      </c>
      <c r="AD28" s="8" t="str">
        <f>IF(AND(ISNUMBER(L28),$B28&lt;&gt;14,$B28&lt;&gt;15),(AVERAGEIFS('Data(perCrop)'!$L:$L,'Data(perCrop)'!$B:$B,'Indicators(perCrop)'!$A28,'Data(perCrop)'!$O:$O,'Indicators(perCrop)'!AD$4,'Data(perCrop)'!$H:$H,'Indicators(perCrop)'!$A$3)-AVERAGEIFS('Data(perCrop)'!$K:$K,'Data(perCrop)'!$B:$B,'Indicators(perCrop)'!$A28,'Data(perCrop)'!$O:$O,'Indicators(perCrop)'!AD$4,'Data(perCrop)'!$H:$H,'Indicators(perCrop)'!$A$3))/AVERAGEIFS('Data(perCrop)'!$L:$L,'Data(perCrop)'!$B:$B,'Indicators(perCrop)'!$A28,'Data(perCrop)'!$O:$O,'Indicators(perCrop)'!AD$4,'Data(perCrop)'!$H:$H,'Indicators(perCrop)'!$A$3),"")</f>
        <v/>
      </c>
      <c r="AE28" s="8" t="str">
        <f>IF(AND(ISNUMBER(M28),$B28&lt;&gt;14,$B28&lt;&gt;15),(AVERAGEIFS('Data(perCrop)'!$L:$L,'Data(perCrop)'!$B:$B,'Indicators(perCrop)'!$A28,'Data(perCrop)'!$O:$O,'Indicators(perCrop)'!AE$4,'Data(perCrop)'!$H:$H,'Indicators(perCrop)'!$A$3)-AVERAGEIFS('Data(perCrop)'!$K:$K,'Data(perCrop)'!$B:$B,'Indicators(perCrop)'!$A28,'Data(perCrop)'!$O:$O,'Indicators(perCrop)'!AE$4,'Data(perCrop)'!$H:$H,'Indicators(perCrop)'!$A$3))/AVERAGEIFS('Data(perCrop)'!$L:$L,'Data(perCrop)'!$B:$B,'Indicators(perCrop)'!$A28,'Data(perCrop)'!$O:$O,'Indicators(perCrop)'!AE$4,'Data(perCrop)'!$H:$H,'Indicators(perCrop)'!$A$3),"")</f>
        <v/>
      </c>
      <c r="AF28" s="8" t="str">
        <f>IF(AND(ISNUMBER(N28),$B28&lt;&gt;14,$B28&lt;&gt;15),(AVERAGEIFS('Data(perCrop)'!$L:$L,'Data(perCrop)'!$B:$B,'Indicators(perCrop)'!$A28,'Data(perCrop)'!$O:$O,'Indicators(perCrop)'!AF$4,'Data(perCrop)'!$H:$H,'Indicators(perCrop)'!$A$3)-AVERAGEIFS('Data(perCrop)'!$K:$K,'Data(perCrop)'!$B:$B,'Indicators(perCrop)'!$A28,'Data(perCrop)'!$O:$O,'Indicators(perCrop)'!AF$4,'Data(perCrop)'!$H:$H,'Indicators(perCrop)'!$A$3))/AVERAGEIFS('Data(perCrop)'!$L:$L,'Data(perCrop)'!$B:$B,'Indicators(perCrop)'!$A28,'Data(perCrop)'!$O:$O,'Indicators(perCrop)'!AF$4,'Data(perCrop)'!$H:$H,'Indicators(perCrop)'!$A$3),"")</f>
        <v/>
      </c>
      <c r="AG28" s="8" t="e">
        <f t="shared" si="13"/>
        <v>#DIV/0!</v>
      </c>
      <c r="AH28" s="8" t="str">
        <f>IF(AND(ISNUMBER(J28),$B28&lt;&gt;14,$B28&lt;&gt;15),AVERAGEIFS('Data(perSeason,perCrop)'!$M:$M,'Data(perSeason,perCrop)'!$K:$K,'Indicators(perCrop)'!$A$3,'Data(perSeason,perCrop)'!$C:$C,'Indicators(perCrop)'!$A28,'Data(perSeason,perCrop)'!$S:$S,'Indicators(perCrop)'!AH$4,'Data(perSeason,perCrop)'!$R:$R,"IRRIGATED")-AVERAGEIFS('Data(perSeason,perCrop)'!$N:$N,'Data(perSeason,perCrop)'!$K:$K,'Indicators(perCrop)'!$A$3,'Data(perSeason,perCrop)'!$C:$C,'Indicators(perCrop)'!$A28,'Data(perSeason,perCrop)'!$S:$S,'Indicators(perCrop)'!AH$4,'Data(perSeason,perCrop)'!$R:$R,"IRRIGATED"),"")</f>
        <v/>
      </c>
      <c r="AI28" s="8" t="str">
        <f>IF(AND(ISNUMBER(K28),$B28&lt;&gt;14,$B28&lt;&gt;15),AVERAGEIFS('Data(perSeason,perCrop)'!$M:$M,'Data(perSeason,perCrop)'!$K:$K,'Indicators(perCrop)'!$A$3,'Data(perSeason,perCrop)'!$C:$C,'Indicators(perCrop)'!$A28,'Data(perSeason,perCrop)'!$S:$S,'Indicators(perCrop)'!AI$4,'Data(perSeason,perCrop)'!$R:$R,"IRRIGATED")-AVERAGEIFS('Data(perSeason,perCrop)'!$N:$N,'Data(perSeason,perCrop)'!$K:$K,'Indicators(perCrop)'!$A$3,'Data(perSeason,perCrop)'!$C:$C,'Indicators(perCrop)'!$A28,'Data(perSeason,perCrop)'!$S:$S,'Indicators(perCrop)'!AI$4,'Data(perSeason,perCrop)'!$R:$R,"IRRIGATED"),"")</f>
        <v/>
      </c>
      <c r="AJ28" s="8" t="str">
        <f>IF(AND(ISNUMBER(L28),$B28&lt;&gt;14,$B28&lt;&gt;15),AVERAGEIFS('Data(perSeason,perCrop)'!$M:$M,'Data(perSeason,perCrop)'!$K:$K,'Indicators(perCrop)'!$A$3,'Data(perSeason,perCrop)'!$C:$C,'Indicators(perCrop)'!$A28,'Data(perSeason,perCrop)'!$S:$S,'Indicators(perCrop)'!AJ$4,'Data(perSeason,perCrop)'!$R:$R,"IRRIGATED")-AVERAGEIFS('Data(perSeason,perCrop)'!$N:$N,'Data(perSeason,perCrop)'!$K:$K,'Indicators(perCrop)'!$A$3,'Data(perSeason,perCrop)'!$C:$C,'Indicators(perCrop)'!$A28,'Data(perSeason,perCrop)'!$S:$S,'Indicators(perCrop)'!AJ$4,'Data(perSeason,perCrop)'!$R:$R,"IRRIGATED"),"")</f>
        <v/>
      </c>
      <c r="AK28" s="8" t="str">
        <f>IF(AND(ISNUMBER(M28),$B28&lt;&gt;14,$B28&lt;&gt;15),AVERAGEIFS('Data(perSeason,perCrop)'!$M:$M,'Data(perSeason,perCrop)'!$K:$K,'Indicators(perCrop)'!$A$3,'Data(perSeason,perCrop)'!$C:$C,'Indicators(perCrop)'!$A28,'Data(perSeason,perCrop)'!$S:$S,'Indicators(perCrop)'!AK$4,'Data(perSeason,perCrop)'!$R:$R,"IRRIGATED")-AVERAGEIFS('Data(perSeason,perCrop)'!$N:$N,'Data(perSeason,perCrop)'!$K:$K,'Indicators(perCrop)'!$A$3,'Data(perSeason,perCrop)'!$C:$C,'Indicators(perCrop)'!$A28,'Data(perSeason,perCrop)'!$S:$S,'Indicators(perCrop)'!AK$4,'Data(perSeason,perCrop)'!$R:$R,"IRRIGATED"),"")</f>
        <v/>
      </c>
      <c r="AL28" s="8" t="str">
        <f>IF(AND(ISNUMBER(N28),$B28&lt;&gt;14,$B28&lt;&gt;15),AVERAGEIFS('Data(perSeason,perCrop)'!$M:$M,'Data(perSeason,perCrop)'!$K:$K,'Indicators(perCrop)'!$A$3,'Data(perSeason,perCrop)'!$C:$C,'Indicators(perCrop)'!$A28,'Data(perSeason,perCrop)'!$S:$S,'Indicators(perCrop)'!AL$4,'Data(perSeason,perCrop)'!$R:$R,"IRRIGATED")-AVERAGEIFS('Data(perSeason,perCrop)'!$N:$N,'Data(perSeason,perCrop)'!$K:$K,'Indicators(perCrop)'!$A$3,'Data(perSeason,perCrop)'!$C:$C,'Indicators(perCrop)'!$A28,'Data(perSeason,perCrop)'!$S:$S,'Indicators(perCrop)'!AL$4,'Data(perSeason,perCrop)'!$R:$R,"IRRIGATED"),"")</f>
        <v/>
      </c>
      <c r="AM28" s="8" t="e">
        <f t="shared" si="14"/>
        <v>#DIV/0!</v>
      </c>
      <c r="AN28" s="7" t="e">
        <f>AVERAGEIFS('Data(perCrop)'!$K:$K,'Data(perCrop)'!$B:$B,$A28,'Data(perCrop)'!$H:$H,$A$3,'Data(perCrop)'!$O:$O,'Indicators(perCrop)'!C$4)</f>
        <v>#DIV/0!</v>
      </c>
      <c r="AO28" s="7" t="e">
        <f>AVERAGEIFS('Data(perCrop)'!$K:$K,'Data(perCrop)'!$B:$B,$A28,'Data(perCrop)'!$H:$H,$A$3,'Data(perCrop)'!$O:$O,'Indicators(perCrop)'!D$4)</f>
        <v>#DIV/0!</v>
      </c>
      <c r="AP28" s="7" t="e">
        <f>AVERAGEIFS('Data(perCrop)'!$K:$K,'Data(perCrop)'!$B:$B,$A28,'Data(perCrop)'!$H:$H,$A$3,'Data(perCrop)'!$O:$O,'Indicators(perCrop)'!E$4)</f>
        <v>#DIV/0!</v>
      </c>
      <c r="AQ28" s="7" t="e">
        <f>AVERAGEIFS('Data(perCrop)'!$K:$K,'Data(perCrop)'!$B:$B,$A28,'Data(perCrop)'!$H:$H,$A$3,'Data(perCrop)'!$O:$O,'Indicators(perCrop)'!F$4)</f>
        <v>#DIV/0!</v>
      </c>
      <c r="AR28" s="7" t="e">
        <f>AVERAGEIFS('Data(perCrop)'!$K:$K,'Data(perCrop)'!$B:$B,$A28,'Data(perCrop)'!$H:$H,$A$3,'Data(perCrop)'!$O:$O,'Indicators(perCrop)'!G$4)</f>
        <v>#DIV/0!</v>
      </c>
      <c r="AS28" s="8" t="e">
        <f t="shared" si="15"/>
        <v>#DIV/0!</v>
      </c>
      <c r="AT28" s="50"/>
      <c r="AU28" s="50"/>
      <c r="AV28" s="50"/>
      <c r="AW28" s="50"/>
      <c r="AX28" s="50"/>
      <c r="AY28" s="50"/>
      <c r="AZ28" s="50"/>
      <c r="BA28" s="8"/>
      <c r="BB28" s="7">
        <f>SUMIFS('Data(perSeason,perCrop)'!$A:$A,'Data(perSeason,perCrop)'!$C:$C,'Indicators(perCrop)'!$A28,'Data(perSeason,perCrop)'!$R:$R,"IRRIGATED",'Data(perSeason,perCrop)'!$O:$O,'Indicators(perCrop)'!BB$4)/5</f>
        <v>0</v>
      </c>
      <c r="BC28" s="7">
        <f>SUMIFS('Data(perSeason,perCrop)'!$A:$A,'Data(perSeason,perCrop)'!$C:$C,'Indicators(perCrop)'!$A28,'Data(perSeason,perCrop)'!$R:$R,"IRRIGATED",'Data(perSeason,perCrop)'!$O:$O,'Indicators(perCrop)'!BC$4)/5</f>
        <v>0</v>
      </c>
      <c r="BD28" s="7">
        <f>SUMIFS('Data(perSeason,perCrop)'!$A:$A,'Data(perSeason,perCrop)'!$C:$C,'Indicators(perCrop)'!$A28,'Data(perSeason,perCrop)'!$R:$R,"IRRIGATED",'Data(perSeason,perCrop)'!$O:$O,'Indicators(perCrop)'!BD$4)/5</f>
        <v>0</v>
      </c>
      <c r="BE28" s="7" t="e">
        <f>AVERAGEIFS('Data(perSeason,perCrop)'!$G:$G,'Data(perSeason,perCrop)'!$C:$C,'Indicators(perCrop)'!$A28,'Data(perSeason,perCrop)'!$R:$R,"IRRIGATED",'Data(perSeason,perCrop)'!$O:$O,'Indicators(perCrop)'!BE$4)</f>
        <v>#DIV/0!</v>
      </c>
      <c r="BF28" s="7" t="e">
        <f>AVERAGEIFS('Data(perSeason,perCrop)'!$G:$G,'Data(perSeason,perCrop)'!$C:$C,'Indicators(perCrop)'!$A28,'Data(perSeason,perCrop)'!$R:$R,"IRRIGATED",'Data(perSeason,perCrop)'!$O:$O,'Indicators(perCrop)'!BF$4)</f>
        <v>#DIV/0!</v>
      </c>
      <c r="BG28" s="7" t="e">
        <f>AVERAGEIFS('Data(perSeason,perCrop)'!$G:$G,'Data(perSeason,perCrop)'!$C:$C,'Indicators(perCrop)'!$A28,'Data(perSeason,perCrop)'!$R:$R,"IRRIGATED",'Data(perSeason,perCrop)'!$O:$O,'Indicators(perCrop)'!BG$4)</f>
        <v>#DIV/0!</v>
      </c>
      <c r="BH28" s="7" t="str">
        <f t="shared" si="24"/>
        <v/>
      </c>
      <c r="BI28" s="7" t="str">
        <f t="shared" si="21"/>
        <v/>
      </c>
      <c r="BJ28" s="7" t="str">
        <f t="shared" si="22"/>
        <v/>
      </c>
      <c r="BK28" s="25" t="e">
        <f>AVERAGEIFS('Data(perCrop)'!F:F,'Data(perCrop)'!$B:$B,A28)</f>
        <v>#DIV/0!</v>
      </c>
      <c r="BL28" s="8" t="str">
        <f t="shared" si="2"/>
        <v/>
      </c>
      <c r="BM28" s="32" t="str">
        <f t="shared" si="3"/>
        <v/>
      </c>
    </row>
    <row r="29" spans="1:65" x14ac:dyDescent="0.25">
      <c r="A29" s="9" t="s">
        <v>133</v>
      </c>
      <c r="B29">
        <v>39</v>
      </c>
      <c r="C29" s="7" t="str">
        <f>IF(AND(ISNUMBER(AVERAGEIFS('Data(perCrop)'!$A:$A,'Data(perCrop)'!$B:$B,$A29,'Data(perCrop)'!$H:$H,$A$3,'Data(perCrop)'!$O:$O,'Indicators(perCrop)'!C$4)),$B29&lt;&gt;14,$B29&lt;&gt;15),AVERAGEIFS('Data(perCrop)'!$A:$A,'Data(perCrop)'!$B:$B,$A29,'Data(perCrop)'!$H:$H,$A$3,'Data(perCrop)'!$O:$O,'Indicators(perCrop)'!C$4),"")</f>
        <v/>
      </c>
      <c r="D29" s="7" t="str">
        <f>IF(AND(ISNUMBER(AVERAGEIFS('Data(perCrop)'!$A:$A,'Data(perCrop)'!$B:$B,$A29,'Data(perCrop)'!$H:$H,$A$3,'Data(perCrop)'!$O:$O,'Indicators(perCrop)'!D$4)),$B29&lt;&gt;14,$B29&lt;&gt;15),AVERAGEIFS('Data(perCrop)'!$A:$A,'Data(perCrop)'!$B:$B,$A29,'Data(perCrop)'!$H:$H,$A$3,'Data(perCrop)'!$O:$O,'Indicators(perCrop)'!D$4),"")</f>
        <v/>
      </c>
      <c r="E29" s="7" t="str">
        <f>IF(AND(ISNUMBER(AVERAGEIFS('Data(perCrop)'!$A:$A,'Data(perCrop)'!$B:$B,$A29,'Data(perCrop)'!$H:$H,$A$3,'Data(perCrop)'!$O:$O,'Indicators(perCrop)'!E$4)),$B29&lt;&gt;14,$B29&lt;&gt;15),AVERAGEIFS('Data(perCrop)'!$A:$A,'Data(perCrop)'!$B:$B,$A29,'Data(perCrop)'!$H:$H,$A$3,'Data(perCrop)'!$O:$O,'Indicators(perCrop)'!E$4),"")</f>
        <v/>
      </c>
      <c r="F29" s="7" t="str">
        <f>IF(AND(ISNUMBER(AVERAGEIFS('Data(perCrop)'!$A:$A,'Data(perCrop)'!$B:$B,$A29,'Data(perCrop)'!$H:$H,$A$3,'Data(perCrop)'!$O:$O,'Indicators(perCrop)'!F$4)),$B29&lt;&gt;14,$B29&lt;&gt;15),AVERAGEIFS('Data(perCrop)'!$A:$A,'Data(perCrop)'!$B:$B,$A29,'Data(perCrop)'!$H:$H,$A$3,'Data(perCrop)'!$O:$O,'Indicators(perCrop)'!F$4),"")</f>
        <v/>
      </c>
      <c r="G29" s="7" t="str">
        <f>IF(AND(ISNUMBER(AVERAGEIFS('Data(perCrop)'!$A:$A,'Data(perCrop)'!$B:$B,$A29,'Data(perCrop)'!$H:$H,$A$3,'Data(perCrop)'!$O:$O,'Indicators(perCrop)'!G$4)),$B29&lt;&gt;14,$B29&lt;&gt;15),AVERAGEIFS('Data(perCrop)'!$A:$A,'Data(perCrop)'!$B:$B,$A29,'Data(perCrop)'!$H:$H,$A$3,'Data(perCrop)'!$O:$O,'Indicators(perCrop)'!G$4),"")</f>
        <v/>
      </c>
      <c r="H29" s="7" t="str">
        <f t="shared" si="4"/>
        <v/>
      </c>
      <c r="I29" s="32" t="str">
        <f t="shared" si="5"/>
        <v/>
      </c>
      <c r="J29" s="7" t="e">
        <f>AVERAGEIFS('Data(perCrop)'!$D:$D,'Data(perCrop)'!$B:$B,$A29,'Data(perCrop)'!$H:$H,$A$3,'Data(perCrop)'!$O:$O,'Indicators(perCrop)'!C$4)</f>
        <v>#DIV/0!</v>
      </c>
      <c r="K29" s="7" t="e">
        <f>AVERAGEIFS('Data(perCrop)'!$D:$D,'Data(perCrop)'!$B:$B,$A29,'Data(perCrop)'!$H:$H,$A$3,'Data(perCrop)'!$O:$O,'Indicators(perCrop)'!D$4)</f>
        <v>#DIV/0!</v>
      </c>
      <c r="L29" s="7" t="e">
        <f>AVERAGEIFS('Data(perCrop)'!$D:$D,'Data(perCrop)'!$B:$B,$A29,'Data(perCrop)'!$H:$H,$A$3,'Data(perCrop)'!$O:$O,'Indicators(perCrop)'!E$4)</f>
        <v>#DIV/0!</v>
      </c>
      <c r="M29" s="7" t="e">
        <f>AVERAGEIFS('Data(perCrop)'!$D:$D,'Data(perCrop)'!$B:$B,$A29,'Data(perCrop)'!$H:$H,$A$3,'Data(perCrop)'!$O:$O,'Indicators(perCrop)'!F$4)</f>
        <v>#DIV/0!</v>
      </c>
      <c r="N29" s="7" t="e">
        <f>AVERAGEIFS('Data(perCrop)'!$D:$D,'Data(perCrop)'!$B:$B,$A29,'Data(perCrop)'!$H:$H,$A$3,'Data(perCrop)'!$O:$O,'Indicators(perCrop)'!G$4)</f>
        <v>#DIV/0!</v>
      </c>
      <c r="O29" s="7" t="e">
        <f t="shared" si="6"/>
        <v>#DIV/0!</v>
      </c>
      <c r="P29" s="7" t="e">
        <f>AVERAGEIFS('Data(perCrop)'!$E:$E,'Data(perCrop)'!$B:$B,$A29,'Data(perCrop)'!$H:$H,$A$3,'Data(perCrop)'!$O:$O,'Indicators(perCrop)'!J$4)</f>
        <v>#DIV/0!</v>
      </c>
      <c r="Q29" s="7" t="e">
        <f>AVERAGEIFS('Data(perCrop)'!$E:$E,'Data(perCrop)'!$B:$B,$A29,'Data(perCrop)'!$H:$H,$A$3,'Data(perCrop)'!$O:$O,'Indicators(perCrop)'!K$4)</f>
        <v>#DIV/0!</v>
      </c>
      <c r="R29" s="7" t="e">
        <f>AVERAGEIFS('Data(perCrop)'!$E:$E,'Data(perCrop)'!$B:$B,$A29,'Data(perCrop)'!$H:$H,$A$3,'Data(perCrop)'!$O:$O,'Indicators(perCrop)'!L$4)</f>
        <v>#DIV/0!</v>
      </c>
      <c r="S29" s="7" t="e">
        <f>AVERAGEIFS('Data(perCrop)'!$E:$E,'Data(perCrop)'!$B:$B,$A29,'Data(perCrop)'!$H:$H,$A$3,'Data(perCrop)'!$O:$O,'Indicators(perCrop)'!M$4)</f>
        <v>#DIV/0!</v>
      </c>
      <c r="T29" s="7" t="e">
        <f>AVERAGEIFS('Data(perCrop)'!$E:$E,'Data(perCrop)'!$B:$B,$A29,'Data(perCrop)'!$H:$H,$A$3,'Data(perCrop)'!$O:$O,'Indicators(perCrop)'!N$4)</f>
        <v>#DIV/0!</v>
      </c>
      <c r="U29" s="7" t="e">
        <f t="shared" si="7"/>
        <v>#DIV/0!</v>
      </c>
      <c r="V29" s="8" t="str">
        <f t="shared" si="8"/>
        <v/>
      </c>
      <c r="W29" s="8" t="str">
        <f t="shared" si="9"/>
        <v/>
      </c>
      <c r="X29" s="8" t="str">
        <f t="shared" si="10"/>
        <v/>
      </c>
      <c r="Y29" s="8" t="str">
        <f t="shared" si="11"/>
        <v/>
      </c>
      <c r="Z29" s="8" t="str">
        <f t="shared" si="12"/>
        <v/>
      </c>
      <c r="AA29" s="8" t="e">
        <f t="shared" si="25"/>
        <v>#DIV/0!</v>
      </c>
      <c r="AB29" s="8" t="str">
        <f>IF(AND(ISNUMBER(J29),$B29&lt;&gt;14,$B29&lt;&gt;15),(AVERAGEIFS('Data(perCrop)'!$L:$L,'Data(perCrop)'!$B:$B,'Indicators(perCrop)'!$A29,'Data(perCrop)'!$O:$O,'Indicators(perCrop)'!AB$4,'Data(perCrop)'!$H:$H,'Indicators(perCrop)'!$A$3)-AVERAGEIFS('Data(perCrop)'!$K:$K,'Data(perCrop)'!$B:$B,'Indicators(perCrop)'!$A29,'Data(perCrop)'!$O:$O,'Indicators(perCrop)'!AB$4,'Data(perCrop)'!$H:$H,'Indicators(perCrop)'!$A$3))/AVERAGEIFS('Data(perCrop)'!$L:$L,'Data(perCrop)'!$B:$B,'Indicators(perCrop)'!$A29,'Data(perCrop)'!$O:$O,'Indicators(perCrop)'!AB$4,'Data(perCrop)'!$H:$H,'Indicators(perCrop)'!$A$3),"")</f>
        <v/>
      </c>
      <c r="AC29" s="8" t="str">
        <f>IF(AND(ISNUMBER(K29),$B29&lt;&gt;14,$B29&lt;&gt;15),(AVERAGEIFS('Data(perCrop)'!$L:$L,'Data(perCrop)'!$B:$B,'Indicators(perCrop)'!$A29,'Data(perCrop)'!$O:$O,'Indicators(perCrop)'!AC$4,'Data(perCrop)'!$H:$H,'Indicators(perCrop)'!$A$3)-AVERAGEIFS('Data(perCrop)'!$K:$K,'Data(perCrop)'!$B:$B,'Indicators(perCrop)'!$A29,'Data(perCrop)'!$O:$O,'Indicators(perCrop)'!AC$4,'Data(perCrop)'!$H:$H,'Indicators(perCrop)'!$A$3))/AVERAGEIFS('Data(perCrop)'!$L:$L,'Data(perCrop)'!$B:$B,'Indicators(perCrop)'!$A29,'Data(perCrop)'!$O:$O,'Indicators(perCrop)'!AC$4,'Data(perCrop)'!$H:$H,'Indicators(perCrop)'!$A$3),"")</f>
        <v/>
      </c>
      <c r="AD29" s="8" t="str">
        <f>IF(AND(ISNUMBER(L29),$B29&lt;&gt;14,$B29&lt;&gt;15),(AVERAGEIFS('Data(perCrop)'!$L:$L,'Data(perCrop)'!$B:$B,'Indicators(perCrop)'!$A29,'Data(perCrop)'!$O:$O,'Indicators(perCrop)'!AD$4,'Data(perCrop)'!$H:$H,'Indicators(perCrop)'!$A$3)-AVERAGEIFS('Data(perCrop)'!$K:$K,'Data(perCrop)'!$B:$B,'Indicators(perCrop)'!$A29,'Data(perCrop)'!$O:$O,'Indicators(perCrop)'!AD$4,'Data(perCrop)'!$H:$H,'Indicators(perCrop)'!$A$3))/AVERAGEIFS('Data(perCrop)'!$L:$L,'Data(perCrop)'!$B:$B,'Indicators(perCrop)'!$A29,'Data(perCrop)'!$O:$O,'Indicators(perCrop)'!AD$4,'Data(perCrop)'!$H:$H,'Indicators(perCrop)'!$A$3),"")</f>
        <v/>
      </c>
      <c r="AE29" s="8" t="str">
        <f>IF(AND(ISNUMBER(M29),$B29&lt;&gt;14,$B29&lt;&gt;15),(AVERAGEIFS('Data(perCrop)'!$L:$L,'Data(perCrop)'!$B:$B,'Indicators(perCrop)'!$A29,'Data(perCrop)'!$O:$O,'Indicators(perCrop)'!AE$4,'Data(perCrop)'!$H:$H,'Indicators(perCrop)'!$A$3)-AVERAGEIFS('Data(perCrop)'!$K:$K,'Data(perCrop)'!$B:$B,'Indicators(perCrop)'!$A29,'Data(perCrop)'!$O:$O,'Indicators(perCrop)'!AE$4,'Data(perCrop)'!$H:$H,'Indicators(perCrop)'!$A$3))/AVERAGEIFS('Data(perCrop)'!$L:$L,'Data(perCrop)'!$B:$B,'Indicators(perCrop)'!$A29,'Data(perCrop)'!$O:$O,'Indicators(perCrop)'!AE$4,'Data(perCrop)'!$H:$H,'Indicators(perCrop)'!$A$3),"")</f>
        <v/>
      </c>
      <c r="AF29" s="8" t="str">
        <f>IF(AND(ISNUMBER(N29),$B29&lt;&gt;14,$B29&lt;&gt;15),(AVERAGEIFS('Data(perCrop)'!$L:$L,'Data(perCrop)'!$B:$B,'Indicators(perCrop)'!$A29,'Data(perCrop)'!$O:$O,'Indicators(perCrop)'!AF$4,'Data(perCrop)'!$H:$H,'Indicators(perCrop)'!$A$3)-AVERAGEIFS('Data(perCrop)'!$K:$K,'Data(perCrop)'!$B:$B,'Indicators(perCrop)'!$A29,'Data(perCrop)'!$O:$O,'Indicators(perCrop)'!AF$4,'Data(perCrop)'!$H:$H,'Indicators(perCrop)'!$A$3))/AVERAGEIFS('Data(perCrop)'!$L:$L,'Data(perCrop)'!$B:$B,'Indicators(perCrop)'!$A29,'Data(perCrop)'!$O:$O,'Indicators(perCrop)'!AF$4,'Data(perCrop)'!$H:$H,'Indicators(perCrop)'!$A$3),"")</f>
        <v/>
      </c>
      <c r="AG29" s="8" t="e">
        <f t="shared" si="13"/>
        <v>#DIV/0!</v>
      </c>
      <c r="AH29" s="8" t="str">
        <f>IF(AND(ISNUMBER(J29),$B29&lt;&gt;14,$B29&lt;&gt;15),AVERAGEIFS('Data(perSeason,perCrop)'!$M:$M,'Data(perSeason,perCrop)'!$K:$K,'Indicators(perCrop)'!$A$3,'Data(perSeason,perCrop)'!$C:$C,'Indicators(perCrop)'!$A29,'Data(perSeason,perCrop)'!$S:$S,'Indicators(perCrop)'!AH$4,'Data(perSeason,perCrop)'!$R:$R,"IRRIGATED")-AVERAGEIFS('Data(perSeason,perCrop)'!$N:$N,'Data(perSeason,perCrop)'!$K:$K,'Indicators(perCrop)'!$A$3,'Data(perSeason,perCrop)'!$C:$C,'Indicators(perCrop)'!$A29,'Data(perSeason,perCrop)'!$S:$S,'Indicators(perCrop)'!AH$4,'Data(perSeason,perCrop)'!$R:$R,"IRRIGATED"),"")</f>
        <v/>
      </c>
      <c r="AI29" s="8" t="str">
        <f>IF(AND(ISNUMBER(K29),$B29&lt;&gt;14,$B29&lt;&gt;15),AVERAGEIFS('Data(perSeason,perCrop)'!$M:$M,'Data(perSeason,perCrop)'!$K:$K,'Indicators(perCrop)'!$A$3,'Data(perSeason,perCrop)'!$C:$C,'Indicators(perCrop)'!$A29,'Data(perSeason,perCrop)'!$S:$S,'Indicators(perCrop)'!AI$4,'Data(perSeason,perCrop)'!$R:$R,"IRRIGATED")-AVERAGEIFS('Data(perSeason,perCrop)'!$N:$N,'Data(perSeason,perCrop)'!$K:$K,'Indicators(perCrop)'!$A$3,'Data(perSeason,perCrop)'!$C:$C,'Indicators(perCrop)'!$A29,'Data(perSeason,perCrop)'!$S:$S,'Indicators(perCrop)'!AI$4,'Data(perSeason,perCrop)'!$R:$R,"IRRIGATED"),"")</f>
        <v/>
      </c>
      <c r="AJ29" s="8" t="str">
        <f>IF(AND(ISNUMBER(L29),$B29&lt;&gt;14,$B29&lt;&gt;15),AVERAGEIFS('Data(perSeason,perCrop)'!$M:$M,'Data(perSeason,perCrop)'!$K:$K,'Indicators(perCrop)'!$A$3,'Data(perSeason,perCrop)'!$C:$C,'Indicators(perCrop)'!$A29,'Data(perSeason,perCrop)'!$S:$S,'Indicators(perCrop)'!AJ$4,'Data(perSeason,perCrop)'!$R:$R,"IRRIGATED")-AVERAGEIFS('Data(perSeason,perCrop)'!$N:$N,'Data(perSeason,perCrop)'!$K:$K,'Indicators(perCrop)'!$A$3,'Data(perSeason,perCrop)'!$C:$C,'Indicators(perCrop)'!$A29,'Data(perSeason,perCrop)'!$S:$S,'Indicators(perCrop)'!AJ$4,'Data(perSeason,perCrop)'!$R:$R,"IRRIGATED"),"")</f>
        <v/>
      </c>
      <c r="AK29" s="8" t="str">
        <f>IF(AND(ISNUMBER(M29),$B29&lt;&gt;14,$B29&lt;&gt;15),AVERAGEIFS('Data(perSeason,perCrop)'!$M:$M,'Data(perSeason,perCrop)'!$K:$K,'Indicators(perCrop)'!$A$3,'Data(perSeason,perCrop)'!$C:$C,'Indicators(perCrop)'!$A29,'Data(perSeason,perCrop)'!$S:$S,'Indicators(perCrop)'!AK$4,'Data(perSeason,perCrop)'!$R:$R,"IRRIGATED")-AVERAGEIFS('Data(perSeason,perCrop)'!$N:$N,'Data(perSeason,perCrop)'!$K:$K,'Indicators(perCrop)'!$A$3,'Data(perSeason,perCrop)'!$C:$C,'Indicators(perCrop)'!$A29,'Data(perSeason,perCrop)'!$S:$S,'Indicators(perCrop)'!AK$4,'Data(perSeason,perCrop)'!$R:$R,"IRRIGATED"),"")</f>
        <v/>
      </c>
      <c r="AL29" s="8" t="str">
        <f>IF(AND(ISNUMBER(N29),$B29&lt;&gt;14,$B29&lt;&gt;15),AVERAGEIFS('Data(perSeason,perCrop)'!$M:$M,'Data(perSeason,perCrop)'!$K:$K,'Indicators(perCrop)'!$A$3,'Data(perSeason,perCrop)'!$C:$C,'Indicators(perCrop)'!$A29,'Data(perSeason,perCrop)'!$S:$S,'Indicators(perCrop)'!AL$4,'Data(perSeason,perCrop)'!$R:$R,"IRRIGATED")-AVERAGEIFS('Data(perSeason,perCrop)'!$N:$N,'Data(perSeason,perCrop)'!$K:$K,'Indicators(perCrop)'!$A$3,'Data(perSeason,perCrop)'!$C:$C,'Indicators(perCrop)'!$A29,'Data(perSeason,perCrop)'!$S:$S,'Indicators(perCrop)'!AL$4,'Data(perSeason,perCrop)'!$R:$R,"IRRIGATED"),"")</f>
        <v/>
      </c>
      <c r="AM29" s="8" t="e">
        <f t="shared" si="14"/>
        <v>#DIV/0!</v>
      </c>
      <c r="AN29" s="7" t="e">
        <f>AVERAGEIFS('Data(perCrop)'!$K:$K,'Data(perCrop)'!$B:$B,$A29,'Data(perCrop)'!$H:$H,$A$3,'Data(perCrop)'!$O:$O,'Indicators(perCrop)'!C$4)</f>
        <v>#DIV/0!</v>
      </c>
      <c r="AO29" s="7" t="e">
        <f>AVERAGEIFS('Data(perCrop)'!$K:$K,'Data(perCrop)'!$B:$B,$A29,'Data(perCrop)'!$H:$H,$A$3,'Data(perCrop)'!$O:$O,'Indicators(perCrop)'!D$4)</f>
        <v>#DIV/0!</v>
      </c>
      <c r="AP29" s="7" t="e">
        <f>AVERAGEIFS('Data(perCrop)'!$K:$K,'Data(perCrop)'!$B:$B,$A29,'Data(perCrop)'!$H:$H,$A$3,'Data(perCrop)'!$O:$O,'Indicators(perCrop)'!E$4)</f>
        <v>#DIV/0!</v>
      </c>
      <c r="AQ29" s="7" t="e">
        <f>AVERAGEIFS('Data(perCrop)'!$K:$K,'Data(perCrop)'!$B:$B,$A29,'Data(perCrop)'!$H:$H,$A$3,'Data(perCrop)'!$O:$O,'Indicators(perCrop)'!F$4)</f>
        <v>#DIV/0!</v>
      </c>
      <c r="AR29" s="7" t="e">
        <f>AVERAGEIFS('Data(perCrop)'!$K:$K,'Data(perCrop)'!$B:$B,$A29,'Data(perCrop)'!$H:$H,$A$3,'Data(perCrop)'!$O:$O,'Indicators(perCrop)'!G$4)</f>
        <v>#DIV/0!</v>
      </c>
      <c r="AS29" s="8" t="e">
        <f t="shared" si="15"/>
        <v>#DIV/0!</v>
      </c>
      <c r="AT29" s="50"/>
      <c r="AU29" s="50"/>
      <c r="AV29" s="50"/>
      <c r="AW29" s="50"/>
      <c r="AX29" s="50"/>
      <c r="AY29" s="50"/>
      <c r="AZ29" s="50"/>
      <c r="BA29" s="8"/>
      <c r="BB29" s="7">
        <f>SUMIFS('Data(perSeason,perCrop)'!$A:$A,'Data(perSeason,perCrop)'!$C:$C,'Indicators(perCrop)'!$A29,'Data(perSeason,perCrop)'!$R:$R,"IRRIGATED",'Data(perSeason,perCrop)'!$O:$O,'Indicators(perCrop)'!BB$4)/5</f>
        <v>0</v>
      </c>
      <c r="BC29" s="7">
        <f>SUMIFS('Data(perSeason,perCrop)'!$A:$A,'Data(perSeason,perCrop)'!$C:$C,'Indicators(perCrop)'!$A29,'Data(perSeason,perCrop)'!$R:$R,"IRRIGATED",'Data(perSeason,perCrop)'!$O:$O,'Indicators(perCrop)'!BC$4)/5</f>
        <v>0</v>
      </c>
      <c r="BD29" s="7">
        <f>SUMIFS('Data(perSeason,perCrop)'!$A:$A,'Data(perSeason,perCrop)'!$C:$C,'Indicators(perCrop)'!$A29,'Data(perSeason,perCrop)'!$R:$R,"IRRIGATED",'Data(perSeason,perCrop)'!$O:$O,'Indicators(perCrop)'!BD$4)/5</f>
        <v>0</v>
      </c>
      <c r="BE29" s="7" t="e">
        <f>AVERAGEIFS('Data(perSeason,perCrop)'!$G:$G,'Data(perSeason,perCrop)'!$C:$C,'Indicators(perCrop)'!$A29,'Data(perSeason,perCrop)'!$R:$R,"IRRIGATED",'Data(perSeason,perCrop)'!$O:$O,'Indicators(perCrop)'!BE$4)</f>
        <v>#DIV/0!</v>
      </c>
      <c r="BF29" s="7" t="e">
        <f>AVERAGEIFS('Data(perSeason,perCrop)'!$G:$G,'Data(perSeason,perCrop)'!$C:$C,'Indicators(perCrop)'!$A29,'Data(perSeason,perCrop)'!$R:$R,"IRRIGATED",'Data(perSeason,perCrop)'!$O:$O,'Indicators(perCrop)'!BF$4)</f>
        <v>#DIV/0!</v>
      </c>
      <c r="BG29" s="7" t="e">
        <f>AVERAGEIFS('Data(perSeason,perCrop)'!$G:$G,'Data(perSeason,perCrop)'!$C:$C,'Indicators(perCrop)'!$A29,'Data(perSeason,perCrop)'!$R:$R,"IRRIGATED",'Data(perSeason,perCrop)'!$O:$O,'Indicators(perCrop)'!BG$4)</f>
        <v>#DIV/0!</v>
      </c>
      <c r="BH29" s="7" t="str">
        <f t="shared" si="24"/>
        <v/>
      </c>
      <c r="BI29" s="7" t="str">
        <f t="shared" si="21"/>
        <v/>
      </c>
      <c r="BJ29" s="7" t="str">
        <f t="shared" si="22"/>
        <v/>
      </c>
      <c r="BK29" s="25" t="e">
        <f>AVERAGEIFS('Data(perCrop)'!F:F,'Data(perCrop)'!$B:$B,A29)</f>
        <v>#DIV/0!</v>
      </c>
      <c r="BL29" s="8" t="str">
        <f t="shared" si="2"/>
        <v/>
      </c>
      <c r="BM29" s="32" t="str">
        <f t="shared" si="3"/>
        <v/>
      </c>
    </row>
    <row r="30" spans="1:65" x14ac:dyDescent="0.25">
      <c r="A30" s="9" t="s">
        <v>130</v>
      </c>
      <c r="B30">
        <v>40</v>
      </c>
      <c r="C30" s="7" t="str">
        <f>IF(AND(ISNUMBER(AVERAGEIFS('Data(perCrop)'!$A:$A,'Data(perCrop)'!$B:$B,$A30,'Data(perCrop)'!$H:$H,$A$3,'Data(perCrop)'!$O:$O,'Indicators(perCrop)'!C$4)),$B30&lt;&gt;14,$B30&lt;&gt;15),AVERAGEIFS('Data(perCrop)'!$A:$A,'Data(perCrop)'!$B:$B,$A30,'Data(perCrop)'!$H:$H,$A$3,'Data(perCrop)'!$O:$O,'Indicators(perCrop)'!C$4),"")</f>
        <v/>
      </c>
      <c r="D30" s="7" t="str">
        <f>IF(AND(ISNUMBER(AVERAGEIFS('Data(perCrop)'!$A:$A,'Data(perCrop)'!$B:$B,$A30,'Data(perCrop)'!$H:$H,$A$3,'Data(perCrop)'!$O:$O,'Indicators(perCrop)'!D$4)),$B30&lt;&gt;14,$B30&lt;&gt;15),AVERAGEIFS('Data(perCrop)'!$A:$A,'Data(perCrop)'!$B:$B,$A30,'Data(perCrop)'!$H:$H,$A$3,'Data(perCrop)'!$O:$O,'Indicators(perCrop)'!D$4),"")</f>
        <v/>
      </c>
      <c r="E30" s="7" t="str">
        <f>IF(AND(ISNUMBER(AVERAGEIFS('Data(perCrop)'!$A:$A,'Data(perCrop)'!$B:$B,$A30,'Data(perCrop)'!$H:$H,$A$3,'Data(perCrop)'!$O:$O,'Indicators(perCrop)'!E$4)),$B30&lt;&gt;14,$B30&lt;&gt;15),AVERAGEIFS('Data(perCrop)'!$A:$A,'Data(perCrop)'!$B:$B,$A30,'Data(perCrop)'!$H:$H,$A$3,'Data(perCrop)'!$O:$O,'Indicators(perCrop)'!E$4),"")</f>
        <v/>
      </c>
      <c r="F30" s="7" t="str">
        <f>IF(AND(ISNUMBER(AVERAGEIFS('Data(perCrop)'!$A:$A,'Data(perCrop)'!$B:$B,$A30,'Data(perCrop)'!$H:$H,$A$3,'Data(perCrop)'!$O:$O,'Indicators(perCrop)'!F$4)),$B30&lt;&gt;14,$B30&lt;&gt;15),AVERAGEIFS('Data(perCrop)'!$A:$A,'Data(perCrop)'!$B:$B,$A30,'Data(perCrop)'!$H:$H,$A$3,'Data(perCrop)'!$O:$O,'Indicators(perCrop)'!F$4),"")</f>
        <v/>
      </c>
      <c r="G30" s="7" t="str">
        <f>IF(AND(ISNUMBER(AVERAGEIFS('Data(perCrop)'!$A:$A,'Data(perCrop)'!$B:$B,$A30,'Data(perCrop)'!$H:$H,$A$3,'Data(perCrop)'!$O:$O,'Indicators(perCrop)'!G$4)),$B30&lt;&gt;14,$B30&lt;&gt;15),AVERAGEIFS('Data(perCrop)'!$A:$A,'Data(perCrop)'!$B:$B,$A30,'Data(perCrop)'!$H:$H,$A$3,'Data(perCrop)'!$O:$O,'Indicators(perCrop)'!G$4),"")</f>
        <v/>
      </c>
      <c r="H30" s="7" t="str">
        <f t="shared" si="4"/>
        <v/>
      </c>
      <c r="I30" s="32" t="str">
        <f t="shared" si="5"/>
        <v/>
      </c>
      <c r="J30" s="7" t="e">
        <f>AVERAGEIFS('Data(perCrop)'!$D:$D,'Data(perCrop)'!$B:$B,$A30,'Data(perCrop)'!$H:$H,$A$3,'Data(perCrop)'!$O:$O,'Indicators(perCrop)'!C$4)</f>
        <v>#DIV/0!</v>
      </c>
      <c r="K30" s="7" t="e">
        <f>AVERAGEIFS('Data(perCrop)'!$D:$D,'Data(perCrop)'!$B:$B,$A30,'Data(perCrop)'!$H:$H,$A$3,'Data(perCrop)'!$O:$O,'Indicators(perCrop)'!D$4)</f>
        <v>#DIV/0!</v>
      </c>
      <c r="L30" s="7" t="e">
        <f>AVERAGEIFS('Data(perCrop)'!$D:$D,'Data(perCrop)'!$B:$B,$A30,'Data(perCrop)'!$H:$H,$A$3,'Data(perCrop)'!$O:$O,'Indicators(perCrop)'!E$4)</f>
        <v>#DIV/0!</v>
      </c>
      <c r="M30" s="7" t="e">
        <f>AVERAGEIFS('Data(perCrop)'!$D:$D,'Data(perCrop)'!$B:$B,$A30,'Data(perCrop)'!$H:$H,$A$3,'Data(perCrop)'!$O:$O,'Indicators(perCrop)'!F$4)</f>
        <v>#DIV/0!</v>
      </c>
      <c r="N30" s="7" t="e">
        <f>AVERAGEIFS('Data(perCrop)'!$D:$D,'Data(perCrop)'!$B:$B,$A30,'Data(perCrop)'!$H:$H,$A$3,'Data(perCrop)'!$O:$O,'Indicators(perCrop)'!G$4)</f>
        <v>#DIV/0!</v>
      </c>
      <c r="O30" s="7" t="e">
        <f t="shared" si="6"/>
        <v>#DIV/0!</v>
      </c>
      <c r="P30" s="7" t="e">
        <f>AVERAGEIFS('Data(perCrop)'!$E:$E,'Data(perCrop)'!$B:$B,$A30,'Data(perCrop)'!$H:$H,$A$3,'Data(perCrop)'!$O:$O,'Indicators(perCrop)'!J$4)</f>
        <v>#DIV/0!</v>
      </c>
      <c r="Q30" s="7" t="e">
        <f>AVERAGEIFS('Data(perCrop)'!$E:$E,'Data(perCrop)'!$B:$B,$A30,'Data(perCrop)'!$H:$H,$A$3,'Data(perCrop)'!$O:$O,'Indicators(perCrop)'!K$4)</f>
        <v>#DIV/0!</v>
      </c>
      <c r="R30" s="7" t="e">
        <f>AVERAGEIFS('Data(perCrop)'!$E:$E,'Data(perCrop)'!$B:$B,$A30,'Data(perCrop)'!$H:$H,$A$3,'Data(perCrop)'!$O:$O,'Indicators(perCrop)'!L$4)</f>
        <v>#DIV/0!</v>
      </c>
      <c r="S30" s="7" t="e">
        <f>AVERAGEIFS('Data(perCrop)'!$E:$E,'Data(perCrop)'!$B:$B,$A30,'Data(perCrop)'!$H:$H,$A$3,'Data(perCrop)'!$O:$O,'Indicators(perCrop)'!M$4)</f>
        <v>#DIV/0!</v>
      </c>
      <c r="T30" s="7" t="e">
        <f>AVERAGEIFS('Data(perCrop)'!$E:$E,'Data(perCrop)'!$B:$B,$A30,'Data(perCrop)'!$H:$H,$A$3,'Data(perCrop)'!$O:$O,'Indicators(perCrop)'!N$4)</f>
        <v>#DIV/0!</v>
      </c>
      <c r="U30" s="7" t="e">
        <f t="shared" si="7"/>
        <v>#DIV/0!</v>
      </c>
      <c r="V30" s="8" t="str">
        <f t="shared" si="8"/>
        <v/>
      </c>
      <c r="W30" s="8" t="str">
        <f t="shared" si="9"/>
        <v/>
      </c>
      <c r="X30" s="8" t="str">
        <f t="shared" si="10"/>
        <v/>
      </c>
      <c r="Y30" s="8" t="str">
        <f t="shared" si="11"/>
        <v/>
      </c>
      <c r="Z30" s="8" t="str">
        <f t="shared" si="12"/>
        <v/>
      </c>
      <c r="AA30" s="8" t="e">
        <f t="shared" si="25"/>
        <v>#DIV/0!</v>
      </c>
      <c r="AB30" s="8" t="str">
        <f>IF(AND(ISNUMBER(J30),$B30&lt;&gt;14,$B30&lt;&gt;15),(AVERAGEIFS('Data(perCrop)'!$L:$L,'Data(perCrop)'!$B:$B,'Indicators(perCrop)'!$A30,'Data(perCrop)'!$O:$O,'Indicators(perCrop)'!AB$4,'Data(perCrop)'!$H:$H,'Indicators(perCrop)'!$A$3)-AVERAGEIFS('Data(perCrop)'!$K:$K,'Data(perCrop)'!$B:$B,'Indicators(perCrop)'!$A30,'Data(perCrop)'!$O:$O,'Indicators(perCrop)'!AB$4,'Data(perCrop)'!$H:$H,'Indicators(perCrop)'!$A$3))/AVERAGEIFS('Data(perCrop)'!$L:$L,'Data(perCrop)'!$B:$B,'Indicators(perCrop)'!$A30,'Data(perCrop)'!$O:$O,'Indicators(perCrop)'!AB$4,'Data(perCrop)'!$H:$H,'Indicators(perCrop)'!$A$3),"")</f>
        <v/>
      </c>
      <c r="AC30" s="8" t="str">
        <f>IF(AND(ISNUMBER(K30),$B30&lt;&gt;14,$B30&lt;&gt;15),(AVERAGEIFS('Data(perCrop)'!$L:$L,'Data(perCrop)'!$B:$B,'Indicators(perCrop)'!$A30,'Data(perCrop)'!$O:$O,'Indicators(perCrop)'!AC$4,'Data(perCrop)'!$H:$H,'Indicators(perCrop)'!$A$3)-AVERAGEIFS('Data(perCrop)'!$K:$K,'Data(perCrop)'!$B:$B,'Indicators(perCrop)'!$A30,'Data(perCrop)'!$O:$O,'Indicators(perCrop)'!AC$4,'Data(perCrop)'!$H:$H,'Indicators(perCrop)'!$A$3))/AVERAGEIFS('Data(perCrop)'!$L:$L,'Data(perCrop)'!$B:$B,'Indicators(perCrop)'!$A30,'Data(perCrop)'!$O:$O,'Indicators(perCrop)'!AC$4,'Data(perCrop)'!$H:$H,'Indicators(perCrop)'!$A$3),"")</f>
        <v/>
      </c>
      <c r="AD30" s="8" t="str">
        <f>IF(AND(ISNUMBER(L30),$B30&lt;&gt;14,$B30&lt;&gt;15),(AVERAGEIFS('Data(perCrop)'!$L:$L,'Data(perCrop)'!$B:$B,'Indicators(perCrop)'!$A30,'Data(perCrop)'!$O:$O,'Indicators(perCrop)'!AD$4,'Data(perCrop)'!$H:$H,'Indicators(perCrop)'!$A$3)-AVERAGEIFS('Data(perCrop)'!$K:$K,'Data(perCrop)'!$B:$B,'Indicators(perCrop)'!$A30,'Data(perCrop)'!$O:$O,'Indicators(perCrop)'!AD$4,'Data(perCrop)'!$H:$H,'Indicators(perCrop)'!$A$3))/AVERAGEIFS('Data(perCrop)'!$L:$L,'Data(perCrop)'!$B:$B,'Indicators(perCrop)'!$A30,'Data(perCrop)'!$O:$O,'Indicators(perCrop)'!AD$4,'Data(perCrop)'!$H:$H,'Indicators(perCrop)'!$A$3),"")</f>
        <v/>
      </c>
      <c r="AE30" s="8" t="str">
        <f>IF(AND(ISNUMBER(M30),$B30&lt;&gt;14,$B30&lt;&gt;15),(AVERAGEIFS('Data(perCrop)'!$L:$L,'Data(perCrop)'!$B:$B,'Indicators(perCrop)'!$A30,'Data(perCrop)'!$O:$O,'Indicators(perCrop)'!AE$4,'Data(perCrop)'!$H:$H,'Indicators(perCrop)'!$A$3)-AVERAGEIFS('Data(perCrop)'!$K:$K,'Data(perCrop)'!$B:$B,'Indicators(perCrop)'!$A30,'Data(perCrop)'!$O:$O,'Indicators(perCrop)'!AE$4,'Data(perCrop)'!$H:$H,'Indicators(perCrop)'!$A$3))/AVERAGEIFS('Data(perCrop)'!$L:$L,'Data(perCrop)'!$B:$B,'Indicators(perCrop)'!$A30,'Data(perCrop)'!$O:$O,'Indicators(perCrop)'!AE$4,'Data(perCrop)'!$H:$H,'Indicators(perCrop)'!$A$3),"")</f>
        <v/>
      </c>
      <c r="AF30" s="8" t="str">
        <f>IF(AND(ISNUMBER(N30),$B30&lt;&gt;14,$B30&lt;&gt;15),(AVERAGEIFS('Data(perCrop)'!$L:$L,'Data(perCrop)'!$B:$B,'Indicators(perCrop)'!$A30,'Data(perCrop)'!$O:$O,'Indicators(perCrop)'!AF$4,'Data(perCrop)'!$H:$H,'Indicators(perCrop)'!$A$3)-AVERAGEIFS('Data(perCrop)'!$K:$K,'Data(perCrop)'!$B:$B,'Indicators(perCrop)'!$A30,'Data(perCrop)'!$O:$O,'Indicators(perCrop)'!AF$4,'Data(perCrop)'!$H:$H,'Indicators(perCrop)'!$A$3))/AVERAGEIFS('Data(perCrop)'!$L:$L,'Data(perCrop)'!$B:$B,'Indicators(perCrop)'!$A30,'Data(perCrop)'!$O:$O,'Indicators(perCrop)'!AF$4,'Data(perCrop)'!$H:$H,'Indicators(perCrop)'!$A$3),"")</f>
        <v/>
      </c>
      <c r="AG30" s="8" t="e">
        <f t="shared" si="13"/>
        <v>#DIV/0!</v>
      </c>
      <c r="AH30" s="8" t="str">
        <f>IF(AND(ISNUMBER(J30),$B30&lt;&gt;14,$B30&lt;&gt;15),AVERAGEIFS('Data(perSeason,perCrop)'!$M:$M,'Data(perSeason,perCrop)'!$K:$K,'Indicators(perCrop)'!$A$3,'Data(perSeason,perCrop)'!$C:$C,'Indicators(perCrop)'!$A30,'Data(perSeason,perCrop)'!$S:$S,'Indicators(perCrop)'!AH$4,'Data(perSeason,perCrop)'!$R:$R,"IRRIGATED")-AVERAGEIFS('Data(perSeason,perCrop)'!$N:$N,'Data(perSeason,perCrop)'!$K:$K,'Indicators(perCrop)'!$A$3,'Data(perSeason,perCrop)'!$C:$C,'Indicators(perCrop)'!$A30,'Data(perSeason,perCrop)'!$S:$S,'Indicators(perCrop)'!AH$4,'Data(perSeason,perCrop)'!$R:$R,"IRRIGATED"),"")</f>
        <v/>
      </c>
      <c r="AI30" s="8" t="str">
        <f>IF(AND(ISNUMBER(K30),$B30&lt;&gt;14,$B30&lt;&gt;15),AVERAGEIFS('Data(perSeason,perCrop)'!$M:$M,'Data(perSeason,perCrop)'!$K:$K,'Indicators(perCrop)'!$A$3,'Data(perSeason,perCrop)'!$C:$C,'Indicators(perCrop)'!$A30,'Data(perSeason,perCrop)'!$S:$S,'Indicators(perCrop)'!AI$4,'Data(perSeason,perCrop)'!$R:$R,"IRRIGATED")-AVERAGEIFS('Data(perSeason,perCrop)'!$N:$N,'Data(perSeason,perCrop)'!$K:$K,'Indicators(perCrop)'!$A$3,'Data(perSeason,perCrop)'!$C:$C,'Indicators(perCrop)'!$A30,'Data(perSeason,perCrop)'!$S:$S,'Indicators(perCrop)'!AI$4,'Data(perSeason,perCrop)'!$R:$R,"IRRIGATED"),"")</f>
        <v/>
      </c>
      <c r="AJ30" s="8" t="str">
        <f>IF(AND(ISNUMBER(L30),$B30&lt;&gt;14,$B30&lt;&gt;15),AVERAGEIFS('Data(perSeason,perCrop)'!$M:$M,'Data(perSeason,perCrop)'!$K:$K,'Indicators(perCrop)'!$A$3,'Data(perSeason,perCrop)'!$C:$C,'Indicators(perCrop)'!$A30,'Data(perSeason,perCrop)'!$S:$S,'Indicators(perCrop)'!AJ$4,'Data(perSeason,perCrop)'!$R:$R,"IRRIGATED")-AVERAGEIFS('Data(perSeason,perCrop)'!$N:$N,'Data(perSeason,perCrop)'!$K:$K,'Indicators(perCrop)'!$A$3,'Data(perSeason,perCrop)'!$C:$C,'Indicators(perCrop)'!$A30,'Data(perSeason,perCrop)'!$S:$S,'Indicators(perCrop)'!AJ$4,'Data(perSeason,perCrop)'!$R:$R,"IRRIGATED"),"")</f>
        <v/>
      </c>
      <c r="AK30" s="8" t="str">
        <f>IF(AND(ISNUMBER(M30),$B30&lt;&gt;14,$B30&lt;&gt;15),AVERAGEIFS('Data(perSeason,perCrop)'!$M:$M,'Data(perSeason,perCrop)'!$K:$K,'Indicators(perCrop)'!$A$3,'Data(perSeason,perCrop)'!$C:$C,'Indicators(perCrop)'!$A30,'Data(perSeason,perCrop)'!$S:$S,'Indicators(perCrop)'!AK$4,'Data(perSeason,perCrop)'!$R:$R,"IRRIGATED")-AVERAGEIFS('Data(perSeason,perCrop)'!$N:$N,'Data(perSeason,perCrop)'!$K:$K,'Indicators(perCrop)'!$A$3,'Data(perSeason,perCrop)'!$C:$C,'Indicators(perCrop)'!$A30,'Data(perSeason,perCrop)'!$S:$S,'Indicators(perCrop)'!AK$4,'Data(perSeason,perCrop)'!$R:$R,"IRRIGATED"),"")</f>
        <v/>
      </c>
      <c r="AL30" s="8" t="str">
        <f>IF(AND(ISNUMBER(N30),$B30&lt;&gt;14,$B30&lt;&gt;15),AVERAGEIFS('Data(perSeason,perCrop)'!$M:$M,'Data(perSeason,perCrop)'!$K:$K,'Indicators(perCrop)'!$A$3,'Data(perSeason,perCrop)'!$C:$C,'Indicators(perCrop)'!$A30,'Data(perSeason,perCrop)'!$S:$S,'Indicators(perCrop)'!AL$4,'Data(perSeason,perCrop)'!$R:$R,"IRRIGATED")-AVERAGEIFS('Data(perSeason,perCrop)'!$N:$N,'Data(perSeason,perCrop)'!$K:$K,'Indicators(perCrop)'!$A$3,'Data(perSeason,perCrop)'!$C:$C,'Indicators(perCrop)'!$A30,'Data(perSeason,perCrop)'!$S:$S,'Indicators(perCrop)'!AL$4,'Data(perSeason,perCrop)'!$R:$R,"IRRIGATED"),"")</f>
        <v/>
      </c>
      <c r="AM30" s="8" t="e">
        <f t="shared" si="14"/>
        <v>#DIV/0!</v>
      </c>
      <c r="AN30" s="7" t="e">
        <f>AVERAGEIFS('Data(perCrop)'!$K:$K,'Data(perCrop)'!$B:$B,$A30,'Data(perCrop)'!$H:$H,$A$3,'Data(perCrop)'!$O:$O,'Indicators(perCrop)'!C$4)</f>
        <v>#DIV/0!</v>
      </c>
      <c r="AO30" s="7" t="e">
        <f>AVERAGEIFS('Data(perCrop)'!$K:$K,'Data(perCrop)'!$B:$B,$A30,'Data(perCrop)'!$H:$H,$A$3,'Data(perCrop)'!$O:$O,'Indicators(perCrop)'!D$4)</f>
        <v>#DIV/0!</v>
      </c>
      <c r="AP30" s="7" t="e">
        <f>AVERAGEIFS('Data(perCrop)'!$K:$K,'Data(perCrop)'!$B:$B,$A30,'Data(perCrop)'!$H:$H,$A$3,'Data(perCrop)'!$O:$O,'Indicators(perCrop)'!E$4)</f>
        <v>#DIV/0!</v>
      </c>
      <c r="AQ30" s="7" t="e">
        <f>AVERAGEIFS('Data(perCrop)'!$K:$K,'Data(perCrop)'!$B:$B,$A30,'Data(perCrop)'!$H:$H,$A$3,'Data(perCrop)'!$O:$O,'Indicators(perCrop)'!F$4)</f>
        <v>#DIV/0!</v>
      </c>
      <c r="AR30" s="7" t="e">
        <f>AVERAGEIFS('Data(perCrop)'!$K:$K,'Data(perCrop)'!$B:$B,$A30,'Data(perCrop)'!$H:$H,$A$3,'Data(perCrop)'!$O:$O,'Indicators(perCrop)'!G$4)</f>
        <v>#DIV/0!</v>
      </c>
      <c r="AS30" s="8" t="e">
        <f t="shared" si="15"/>
        <v>#DIV/0!</v>
      </c>
      <c r="AT30" s="50"/>
      <c r="AU30" s="50"/>
      <c r="AV30" s="50"/>
      <c r="AW30" s="50"/>
      <c r="AX30" s="50"/>
      <c r="AY30" s="50"/>
      <c r="AZ30" s="50"/>
      <c r="BA30" s="8"/>
      <c r="BB30" s="7">
        <f>SUMIFS('Data(perSeason,perCrop)'!$A:$A,'Data(perSeason,perCrop)'!$C:$C,'Indicators(perCrop)'!$A30,'Data(perSeason,perCrop)'!$R:$R,"IRRIGATED",'Data(perSeason,perCrop)'!$O:$O,'Indicators(perCrop)'!BB$4)/5</f>
        <v>0</v>
      </c>
      <c r="BC30" s="7">
        <f>SUMIFS('Data(perSeason,perCrop)'!$A:$A,'Data(perSeason,perCrop)'!$C:$C,'Indicators(perCrop)'!$A30,'Data(perSeason,perCrop)'!$R:$R,"IRRIGATED",'Data(perSeason,perCrop)'!$O:$O,'Indicators(perCrop)'!BC$4)/5</f>
        <v>0</v>
      </c>
      <c r="BD30" s="7">
        <f>SUMIFS('Data(perSeason,perCrop)'!$A:$A,'Data(perSeason,perCrop)'!$C:$C,'Indicators(perCrop)'!$A30,'Data(perSeason,perCrop)'!$R:$R,"IRRIGATED",'Data(perSeason,perCrop)'!$O:$O,'Indicators(perCrop)'!BD$4)/5</f>
        <v>0</v>
      </c>
      <c r="BE30" s="7" t="e">
        <f>AVERAGEIFS('Data(perSeason,perCrop)'!$G:$G,'Data(perSeason,perCrop)'!$C:$C,'Indicators(perCrop)'!$A30,'Data(perSeason,perCrop)'!$R:$R,"IRRIGATED",'Data(perSeason,perCrop)'!$O:$O,'Indicators(perCrop)'!BE$4)</f>
        <v>#DIV/0!</v>
      </c>
      <c r="BF30" s="7" t="e">
        <f>AVERAGEIFS('Data(perSeason,perCrop)'!$G:$G,'Data(perSeason,perCrop)'!$C:$C,'Indicators(perCrop)'!$A30,'Data(perSeason,perCrop)'!$R:$R,"IRRIGATED",'Data(perSeason,perCrop)'!$O:$O,'Indicators(perCrop)'!BF$4)</f>
        <v>#DIV/0!</v>
      </c>
      <c r="BG30" s="7" t="e">
        <f>AVERAGEIFS('Data(perSeason,perCrop)'!$G:$G,'Data(perSeason,perCrop)'!$C:$C,'Indicators(perCrop)'!$A30,'Data(perSeason,perCrop)'!$R:$R,"IRRIGATED",'Data(perSeason,perCrop)'!$O:$O,'Indicators(perCrop)'!BG$4)</f>
        <v>#DIV/0!</v>
      </c>
      <c r="BH30" s="7" t="str">
        <f t="shared" si="24"/>
        <v/>
      </c>
      <c r="BI30" s="7" t="str">
        <f t="shared" si="21"/>
        <v/>
      </c>
      <c r="BJ30" s="7" t="str">
        <f t="shared" si="22"/>
        <v/>
      </c>
      <c r="BK30" s="25" t="e">
        <f>AVERAGEIFS('Data(perCrop)'!F:F,'Data(perCrop)'!$B:$B,A30)</f>
        <v>#DIV/0!</v>
      </c>
      <c r="BL30" s="8" t="str">
        <f t="shared" si="2"/>
        <v/>
      </c>
      <c r="BM30" s="32" t="str">
        <f t="shared" si="3"/>
        <v/>
      </c>
    </row>
    <row r="31" spans="1:65" x14ac:dyDescent="0.25">
      <c r="A31" s="9" t="s">
        <v>143</v>
      </c>
      <c r="B31">
        <v>41</v>
      </c>
      <c r="C31" s="7" t="str">
        <f>IF(AND(ISNUMBER(AVERAGEIFS('Data(perCrop)'!$A:$A,'Data(perCrop)'!$B:$B,$A31,'Data(perCrop)'!$H:$H,$A$3,'Data(perCrop)'!$O:$O,'Indicators(perCrop)'!C$4)),$B31&lt;&gt;14,$B31&lt;&gt;15),AVERAGEIFS('Data(perCrop)'!$A:$A,'Data(perCrop)'!$B:$B,$A31,'Data(perCrop)'!$H:$H,$A$3,'Data(perCrop)'!$O:$O,'Indicators(perCrop)'!C$4),"")</f>
        <v/>
      </c>
      <c r="D31" s="7" t="str">
        <f>IF(AND(ISNUMBER(AVERAGEIFS('Data(perCrop)'!$A:$A,'Data(perCrop)'!$B:$B,$A31,'Data(perCrop)'!$H:$H,$A$3,'Data(perCrop)'!$O:$O,'Indicators(perCrop)'!D$4)),$B31&lt;&gt;14,$B31&lt;&gt;15),AVERAGEIFS('Data(perCrop)'!$A:$A,'Data(perCrop)'!$B:$B,$A31,'Data(perCrop)'!$H:$H,$A$3,'Data(perCrop)'!$O:$O,'Indicators(perCrop)'!D$4),"")</f>
        <v/>
      </c>
      <c r="E31" s="7" t="str">
        <f>IF(AND(ISNUMBER(AVERAGEIFS('Data(perCrop)'!$A:$A,'Data(perCrop)'!$B:$B,$A31,'Data(perCrop)'!$H:$H,$A$3,'Data(perCrop)'!$O:$O,'Indicators(perCrop)'!E$4)),$B31&lt;&gt;14,$B31&lt;&gt;15),AVERAGEIFS('Data(perCrop)'!$A:$A,'Data(perCrop)'!$B:$B,$A31,'Data(perCrop)'!$H:$H,$A$3,'Data(perCrop)'!$O:$O,'Indicators(perCrop)'!E$4),"")</f>
        <v/>
      </c>
      <c r="F31" s="7" t="str">
        <f>IF(AND(ISNUMBER(AVERAGEIFS('Data(perCrop)'!$A:$A,'Data(perCrop)'!$B:$B,$A31,'Data(perCrop)'!$H:$H,$A$3,'Data(perCrop)'!$O:$O,'Indicators(perCrop)'!F$4)),$B31&lt;&gt;14,$B31&lt;&gt;15),AVERAGEIFS('Data(perCrop)'!$A:$A,'Data(perCrop)'!$B:$B,$A31,'Data(perCrop)'!$H:$H,$A$3,'Data(perCrop)'!$O:$O,'Indicators(perCrop)'!F$4),"")</f>
        <v/>
      </c>
      <c r="G31" s="7" t="str">
        <f>IF(AND(ISNUMBER(AVERAGEIFS('Data(perCrop)'!$A:$A,'Data(perCrop)'!$B:$B,$A31,'Data(perCrop)'!$H:$H,$A$3,'Data(perCrop)'!$O:$O,'Indicators(perCrop)'!G$4)),$B31&lt;&gt;14,$B31&lt;&gt;15),AVERAGEIFS('Data(perCrop)'!$A:$A,'Data(perCrop)'!$B:$B,$A31,'Data(perCrop)'!$H:$H,$A$3,'Data(perCrop)'!$O:$O,'Indicators(perCrop)'!G$4),"")</f>
        <v/>
      </c>
      <c r="H31" s="7" t="str">
        <f t="shared" si="4"/>
        <v/>
      </c>
      <c r="I31" s="32" t="str">
        <f t="shared" si="5"/>
        <v/>
      </c>
      <c r="J31" s="7" t="e">
        <f>AVERAGEIFS('Data(perCrop)'!$D:$D,'Data(perCrop)'!$B:$B,$A31,'Data(perCrop)'!$H:$H,$A$3,'Data(perCrop)'!$O:$O,'Indicators(perCrop)'!C$4)</f>
        <v>#DIV/0!</v>
      </c>
      <c r="K31" s="7" t="e">
        <f>AVERAGEIFS('Data(perCrop)'!$D:$D,'Data(perCrop)'!$B:$B,$A31,'Data(perCrop)'!$H:$H,$A$3,'Data(perCrop)'!$O:$O,'Indicators(perCrop)'!D$4)</f>
        <v>#DIV/0!</v>
      </c>
      <c r="L31" s="7" t="e">
        <f>AVERAGEIFS('Data(perCrop)'!$D:$D,'Data(perCrop)'!$B:$B,$A31,'Data(perCrop)'!$H:$H,$A$3,'Data(perCrop)'!$O:$O,'Indicators(perCrop)'!E$4)</f>
        <v>#DIV/0!</v>
      </c>
      <c r="M31" s="7" t="e">
        <f>AVERAGEIFS('Data(perCrop)'!$D:$D,'Data(perCrop)'!$B:$B,$A31,'Data(perCrop)'!$H:$H,$A$3,'Data(perCrop)'!$O:$O,'Indicators(perCrop)'!F$4)</f>
        <v>#DIV/0!</v>
      </c>
      <c r="N31" s="7" t="e">
        <f>AVERAGEIFS('Data(perCrop)'!$D:$D,'Data(perCrop)'!$B:$B,$A31,'Data(perCrop)'!$H:$H,$A$3,'Data(perCrop)'!$O:$O,'Indicators(perCrop)'!G$4)</f>
        <v>#DIV/0!</v>
      </c>
      <c r="O31" s="7" t="e">
        <f t="shared" si="6"/>
        <v>#DIV/0!</v>
      </c>
      <c r="P31" s="7" t="e">
        <f>AVERAGEIFS('Data(perCrop)'!$E:$E,'Data(perCrop)'!$B:$B,$A31,'Data(perCrop)'!$H:$H,$A$3,'Data(perCrop)'!$O:$O,'Indicators(perCrop)'!J$4)</f>
        <v>#DIV/0!</v>
      </c>
      <c r="Q31" s="7" t="e">
        <f>AVERAGEIFS('Data(perCrop)'!$E:$E,'Data(perCrop)'!$B:$B,$A31,'Data(perCrop)'!$H:$H,$A$3,'Data(perCrop)'!$O:$O,'Indicators(perCrop)'!K$4)</f>
        <v>#DIV/0!</v>
      </c>
      <c r="R31" s="7" t="e">
        <f>AVERAGEIFS('Data(perCrop)'!$E:$E,'Data(perCrop)'!$B:$B,$A31,'Data(perCrop)'!$H:$H,$A$3,'Data(perCrop)'!$O:$O,'Indicators(perCrop)'!L$4)</f>
        <v>#DIV/0!</v>
      </c>
      <c r="S31" s="7" t="e">
        <f>AVERAGEIFS('Data(perCrop)'!$E:$E,'Data(perCrop)'!$B:$B,$A31,'Data(perCrop)'!$H:$H,$A$3,'Data(perCrop)'!$O:$O,'Indicators(perCrop)'!M$4)</f>
        <v>#DIV/0!</v>
      </c>
      <c r="T31" s="7" t="e">
        <f>AVERAGEIFS('Data(perCrop)'!$E:$E,'Data(perCrop)'!$B:$B,$A31,'Data(perCrop)'!$H:$H,$A$3,'Data(perCrop)'!$O:$O,'Indicators(perCrop)'!N$4)</f>
        <v>#DIV/0!</v>
      </c>
      <c r="U31" s="7" t="e">
        <f t="shared" si="7"/>
        <v>#DIV/0!</v>
      </c>
      <c r="V31" s="8" t="str">
        <f t="shared" si="8"/>
        <v/>
      </c>
      <c r="W31" s="8" t="str">
        <f t="shared" si="9"/>
        <v/>
      </c>
      <c r="X31" s="8" t="str">
        <f t="shared" si="10"/>
        <v/>
      </c>
      <c r="Y31" s="8" t="str">
        <f t="shared" si="11"/>
        <v/>
      </c>
      <c r="Z31" s="8" t="str">
        <f t="shared" si="12"/>
        <v/>
      </c>
      <c r="AA31" s="8" t="e">
        <f t="shared" si="25"/>
        <v>#DIV/0!</v>
      </c>
      <c r="AB31" s="8" t="str">
        <f>IF(AND(ISNUMBER(J31),$B31&lt;&gt;14,$B31&lt;&gt;15),(AVERAGEIFS('Data(perCrop)'!$L:$L,'Data(perCrop)'!$B:$B,'Indicators(perCrop)'!$A31,'Data(perCrop)'!$O:$O,'Indicators(perCrop)'!AB$4,'Data(perCrop)'!$H:$H,'Indicators(perCrop)'!$A$3)-AVERAGEIFS('Data(perCrop)'!$K:$K,'Data(perCrop)'!$B:$B,'Indicators(perCrop)'!$A31,'Data(perCrop)'!$O:$O,'Indicators(perCrop)'!AB$4,'Data(perCrop)'!$H:$H,'Indicators(perCrop)'!$A$3))/AVERAGEIFS('Data(perCrop)'!$L:$L,'Data(perCrop)'!$B:$B,'Indicators(perCrop)'!$A31,'Data(perCrop)'!$O:$O,'Indicators(perCrop)'!AB$4,'Data(perCrop)'!$H:$H,'Indicators(perCrop)'!$A$3),"")</f>
        <v/>
      </c>
      <c r="AC31" s="8" t="str">
        <f>IF(AND(ISNUMBER(K31),$B31&lt;&gt;14,$B31&lt;&gt;15),(AVERAGEIFS('Data(perCrop)'!$L:$L,'Data(perCrop)'!$B:$B,'Indicators(perCrop)'!$A31,'Data(perCrop)'!$O:$O,'Indicators(perCrop)'!AC$4,'Data(perCrop)'!$H:$H,'Indicators(perCrop)'!$A$3)-AVERAGEIFS('Data(perCrop)'!$K:$K,'Data(perCrop)'!$B:$B,'Indicators(perCrop)'!$A31,'Data(perCrop)'!$O:$O,'Indicators(perCrop)'!AC$4,'Data(perCrop)'!$H:$H,'Indicators(perCrop)'!$A$3))/AVERAGEIFS('Data(perCrop)'!$L:$L,'Data(perCrop)'!$B:$B,'Indicators(perCrop)'!$A31,'Data(perCrop)'!$O:$O,'Indicators(perCrop)'!AC$4,'Data(perCrop)'!$H:$H,'Indicators(perCrop)'!$A$3),"")</f>
        <v/>
      </c>
      <c r="AD31" s="8" t="str">
        <f>IF(AND(ISNUMBER(L31),$B31&lt;&gt;14,$B31&lt;&gt;15),(AVERAGEIFS('Data(perCrop)'!$L:$L,'Data(perCrop)'!$B:$B,'Indicators(perCrop)'!$A31,'Data(perCrop)'!$O:$O,'Indicators(perCrop)'!AD$4,'Data(perCrop)'!$H:$H,'Indicators(perCrop)'!$A$3)-AVERAGEIFS('Data(perCrop)'!$K:$K,'Data(perCrop)'!$B:$B,'Indicators(perCrop)'!$A31,'Data(perCrop)'!$O:$O,'Indicators(perCrop)'!AD$4,'Data(perCrop)'!$H:$H,'Indicators(perCrop)'!$A$3))/AVERAGEIFS('Data(perCrop)'!$L:$L,'Data(perCrop)'!$B:$B,'Indicators(perCrop)'!$A31,'Data(perCrop)'!$O:$O,'Indicators(perCrop)'!AD$4,'Data(perCrop)'!$H:$H,'Indicators(perCrop)'!$A$3),"")</f>
        <v/>
      </c>
      <c r="AE31" s="8" t="str">
        <f>IF(AND(ISNUMBER(M31),$B31&lt;&gt;14,$B31&lt;&gt;15),(AVERAGEIFS('Data(perCrop)'!$L:$L,'Data(perCrop)'!$B:$B,'Indicators(perCrop)'!$A31,'Data(perCrop)'!$O:$O,'Indicators(perCrop)'!AE$4,'Data(perCrop)'!$H:$H,'Indicators(perCrop)'!$A$3)-AVERAGEIFS('Data(perCrop)'!$K:$K,'Data(perCrop)'!$B:$B,'Indicators(perCrop)'!$A31,'Data(perCrop)'!$O:$O,'Indicators(perCrop)'!AE$4,'Data(perCrop)'!$H:$H,'Indicators(perCrop)'!$A$3))/AVERAGEIFS('Data(perCrop)'!$L:$L,'Data(perCrop)'!$B:$B,'Indicators(perCrop)'!$A31,'Data(perCrop)'!$O:$O,'Indicators(perCrop)'!AE$4,'Data(perCrop)'!$H:$H,'Indicators(perCrop)'!$A$3),"")</f>
        <v/>
      </c>
      <c r="AF31" s="8" t="str">
        <f>IF(AND(ISNUMBER(N31),$B31&lt;&gt;14,$B31&lt;&gt;15),(AVERAGEIFS('Data(perCrop)'!$L:$L,'Data(perCrop)'!$B:$B,'Indicators(perCrop)'!$A31,'Data(perCrop)'!$O:$O,'Indicators(perCrop)'!AF$4,'Data(perCrop)'!$H:$H,'Indicators(perCrop)'!$A$3)-AVERAGEIFS('Data(perCrop)'!$K:$K,'Data(perCrop)'!$B:$B,'Indicators(perCrop)'!$A31,'Data(perCrop)'!$O:$O,'Indicators(perCrop)'!AF$4,'Data(perCrop)'!$H:$H,'Indicators(perCrop)'!$A$3))/AVERAGEIFS('Data(perCrop)'!$L:$L,'Data(perCrop)'!$B:$B,'Indicators(perCrop)'!$A31,'Data(perCrop)'!$O:$O,'Indicators(perCrop)'!AF$4,'Data(perCrop)'!$H:$H,'Indicators(perCrop)'!$A$3),"")</f>
        <v/>
      </c>
      <c r="AG31" s="8" t="e">
        <f t="shared" si="13"/>
        <v>#DIV/0!</v>
      </c>
      <c r="AH31" s="8" t="str">
        <f>IF(AND(ISNUMBER(J31),$B31&lt;&gt;14,$B31&lt;&gt;15),AVERAGEIFS('Data(perSeason,perCrop)'!$M:$M,'Data(perSeason,perCrop)'!$K:$K,'Indicators(perCrop)'!$A$3,'Data(perSeason,perCrop)'!$C:$C,'Indicators(perCrop)'!$A31,'Data(perSeason,perCrop)'!$S:$S,'Indicators(perCrop)'!AH$4,'Data(perSeason,perCrop)'!$R:$R,"IRRIGATED")-AVERAGEIFS('Data(perSeason,perCrop)'!$N:$N,'Data(perSeason,perCrop)'!$K:$K,'Indicators(perCrop)'!$A$3,'Data(perSeason,perCrop)'!$C:$C,'Indicators(perCrop)'!$A31,'Data(perSeason,perCrop)'!$S:$S,'Indicators(perCrop)'!AH$4,'Data(perSeason,perCrop)'!$R:$R,"IRRIGATED"),"")</f>
        <v/>
      </c>
      <c r="AI31" s="8" t="str">
        <f>IF(AND(ISNUMBER(K31),$B31&lt;&gt;14,$B31&lt;&gt;15),AVERAGEIFS('Data(perSeason,perCrop)'!$M:$M,'Data(perSeason,perCrop)'!$K:$K,'Indicators(perCrop)'!$A$3,'Data(perSeason,perCrop)'!$C:$C,'Indicators(perCrop)'!$A31,'Data(perSeason,perCrop)'!$S:$S,'Indicators(perCrop)'!AI$4,'Data(perSeason,perCrop)'!$R:$R,"IRRIGATED")-AVERAGEIFS('Data(perSeason,perCrop)'!$N:$N,'Data(perSeason,perCrop)'!$K:$K,'Indicators(perCrop)'!$A$3,'Data(perSeason,perCrop)'!$C:$C,'Indicators(perCrop)'!$A31,'Data(perSeason,perCrop)'!$S:$S,'Indicators(perCrop)'!AI$4,'Data(perSeason,perCrop)'!$R:$R,"IRRIGATED"),"")</f>
        <v/>
      </c>
      <c r="AJ31" s="8" t="str">
        <f>IF(AND(ISNUMBER(L31),$B31&lt;&gt;14,$B31&lt;&gt;15),AVERAGEIFS('Data(perSeason,perCrop)'!$M:$M,'Data(perSeason,perCrop)'!$K:$K,'Indicators(perCrop)'!$A$3,'Data(perSeason,perCrop)'!$C:$C,'Indicators(perCrop)'!$A31,'Data(perSeason,perCrop)'!$S:$S,'Indicators(perCrop)'!AJ$4,'Data(perSeason,perCrop)'!$R:$R,"IRRIGATED")-AVERAGEIFS('Data(perSeason,perCrop)'!$N:$N,'Data(perSeason,perCrop)'!$K:$K,'Indicators(perCrop)'!$A$3,'Data(perSeason,perCrop)'!$C:$C,'Indicators(perCrop)'!$A31,'Data(perSeason,perCrop)'!$S:$S,'Indicators(perCrop)'!AJ$4,'Data(perSeason,perCrop)'!$R:$R,"IRRIGATED"),"")</f>
        <v/>
      </c>
      <c r="AK31" s="8" t="str">
        <f>IF(AND(ISNUMBER(M31),$B31&lt;&gt;14,$B31&lt;&gt;15),AVERAGEIFS('Data(perSeason,perCrop)'!$M:$M,'Data(perSeason,perCrop)'!$K:$K,'Indicators(perCrop)'!$A$3,'Data(perSeason,perCrop)'!$C:$C,'Indicators(perCrop)'!$A31,'Data(perSeason,perCrop)'!$S:$S,'Indicators(perCrop)'!AK$4,'Data(perSeason,perCrop)'!$R:$R,"IRRIGATED")-AVERAGEIFS('Data(perSeason,perCrop)'!$N:$N,'Data(perSeason,perCrop)'!$K:$K,'Indicators(perCrop)'!$A$3,'Data(perSeason,perCrop)'!$C:$C,'Indicators(perCrop)'!$A31,'Data(perSeason,perCrop)'!$S:$S,'Indicators(perCrop)'!AK$4,'Data(perSeason,perCrop)'!$R:$R,"IRRIGATED"),"")</f>
        <v/>
      </c>
      <c r="AL31" s="8" t="str">
        <f>IF(AND(ISNUMBER(N31),$B31&lt;&gt;14,$B31&lt;&gt;15),AVERAGEIFS('Data(perSeason,perCrop)'!$M:$M,'Data(perSeason,perCrop)'!$K:$K,'Indicators(perCrop)'!$A$3,'Data(perSeason,perCrop)'!$C:$C,'Indicators(perCrop)'!$A31,'Data(perSeason,perCrop)'!$S:$S,'Indicators(perCrop)'!AL$4,'Data(perSeason,perCrop)'!$R:$R,"IRRIGATED")-AVERAGEIFS('Data(perSeason,perCrop)'!$N:$N,'Data(perSeason,perCrop)'!$K:$K,'Indicators(perCrop)'!$A$3,'Data(perSeason,perCrop)'!$C:$C,'Indicators(perCrop)'!$A31,'Data(perSeason,perCrop)'!$S:$S,'Indicators(perCrop)'!AL$4,'Data(perSeason,perCrop)'!$R:$R,"IRRIGATED"),"")</f>
        <v/>
      </c>
      <c r="AM31" s="8" t="e">
        <f t="shared" si="14"/>
        <v>#DIV/0!</v>
      </c>
      <c r="AN31" s="7" t="e">
        <f>AVERAGEIFS('Data(perCrop)'!$K:$K,'Data(perCrop)'!$B:$B,$A31,'Data(perCrop)'!$H:$H,$A$3,'Data(perCrop)'!$O:$O,'Indicators(perCrop)'!C$4)</f>
        <v>#DIV/0!</v>
      </c>
      <c r="AO31" s="7" t="e">
        <f>AVERAGEIFS('Data(perCrop)'!$K:$K,'Data(perCrop)'!$B:$B,$A31,'Data(perCrop)'!$H:$H,$A$3,'Data(perCrop)'!$O:$O,'Indicators(perCrop)'!D$4)</f>
        <v>#DIV/0!</v>
      </c>
      <c r="AP31" s="7" t="e">
        <f>AVERAGEIFS('Data(perCrop)'!$K:$K,'Data(perCrop)'!$B:$B,$A31,'Data(perCrop)'!$H:$H,$A$3,'Data(perCrop)'!$O:$O,'Indicators(perCrop)'!E$4)</f>
        <v>#DIV/0!</v>
      </c>
      <c r="AQ31" s="7" t="e">
        <f>AVERAGEIFS('Data(perCrop)'!$K:$K,'Data(perCrop)'!$B:$B,$A31,'Data(perCrop)'!$H:$H,$A$3,'Data(perCrop)'!$O:$O,'Indicators(perCrop)'!F$4)</f>
        <v>#DIV/0!</v>
      </c>
      <c r="AR31" s="7" t="e">
        <f>AVERAGEIFS('Data(perCrop)'!$K:$K,'Data(perCrop)'!$B:$B,$A31,'Data(perCrop)'!$H:$H,$A$3,'Data(perCrop)'!$O:$O,'Indicators(perCrop)'!G$4)</f>
        <v>#DIV/0!</v>
      </c>
      <c r="AS31" s="8" t="e">
        <f t="shared" si="15"/>
        <v>#DIV/0!</v>
      </c>
      <c r="AT31" s="50"/>
      <c r="AU31" s="50"/>
      <c r="AV31" s="50"/>
      <c r="AW31" s="50"/>
      <c r="AX31" s="50"/>
      <c r="AY31" s="50"/>
      <c r="AZ31" s="50"/>
      <c r="BA31" s="8"/>
      <c r="BB31" s="7">
        <f>SUMIFS('Data(perSeason,perCrop)'!$A:$A,'Data(perSeason,perCrop)'!$C:$C,'Indicators(perCrop)'!$A31,'Data(perSeason,perCrop)'!$R:$R,"IRRIGATED",'Data(perSeason,perCrop)'!$O:$O,'Indicators(perCrop)'!BB$4)/5</f>
        <v>0</v>
      </c>
      <c r="BC31" s="7">
        <f>SUMIFS('Data(perSeason,perCrop)'!$A:$A,'Data(perSeason,perCrop)'!$C:$C,'Indicators(perCrop)'!$A31,'Data(perSeason,perCrop)'!$R:$R,"IRRIGATED",'Data(perSeason,perCrop)'!$O:$O,'Indicators(perCrop)'!BC$4)/5</f>
        <v>0</v>
      </c>
      <c r="BD31" s="7">
        <f>SUMIFS('Data(perSeason,perCrop)'!$A:$A,'Data(perSeason,perCrop)'!$C:$C,'Indicators(perCrop)'!$A31,'Data(perSeason,perCrop)'!$R:$R,"IRRIGATED",'Data(perSeason,perCrop)'!$O:$O,'Indicators(perCrop)'!BD$4)/5</f>
        <v>0</v>
      </c>
      <c r="BE31" s="7" t="e">
        <f>AVERAGEIFS('Data(perSeason,perCrop)'!$G:$G,'Data(perSeason,perCrop)'!$C:$C,'Indicators(perCrop)'!$A31,'Data(perSeason,perCrop)'!$R:$R,"IRRIGATED",'Data(perSeason,perCrop)'!$O:$O,'Indicators(perCrop)'!BE$4)</f>
        <v>#DIV/0!</v>
      </c>
      <c r="BF31" s="7" t="e">
        <f>AVERAGEIFS('Data(perSeason,perCrop)'!$G:$G,'Data(perSeason,perCrop)'!$C:$C,'Indicators(perCrop)'!$A31,'Data(perSeason,perCrop)'!$R:$R,"IRRIGATED",'Data(perSeason,perCrop)'!$O:$O,'Indicators(perCrop)'!BF$4)</f>
        <v>#DIV/0!</v>
      </c>
      <c r="BG31" s="7" t="e">
        <f>AVERAGEIFS('Data(perSeason,perCrop)'!$G:$G,'Data(perSeason,perCrop)'!$C:$C,'Indicators(perCrop)'!$A31,'Data(perSeason,perCrop)'!$R:$R,"IRRIGATED",'Data(perSeason,perCrop)'!$O:$O,'Indicators(perCrop)'!BG$4)</f>
        <v>#DIV/0!</v>
      </c>
      <c r="BH31" s="7" t="str">
        <f t="shared" si="24"/>
        <v/>
      </c>
      <c r="BI31" s="7" t="str">
        <f t="shared" si="21"/>
        <v/>
      </c>
      <c r="BJ31" s="7" t="str">
        <f t="shared" si="22"/>
        <v/>
      </c>
      <c r="BK31" s="25" t="e">
        <f>AVERAGEIFS('Data(perCrop)'!F:F,'Data(perCrop)'!$B:$B,A31)</f>
        <v>#DIV/0!</v>
      </c>
      <c r="BL31" s="8" t="str">
        <f t="shared" si="2"/>
        <v/>
      </c>
      <c r="BM31" s="32" t="str">
        <f t="shared" si="3"/>
        <v/>
      </c>
    </row>
    <row r="32" spans="1:65" x14ac:dyDescent="0.25">
      <c r="A32" s="9" t="s">
        <v>144</v>
      </c>
      <c r="B32">
        <v>42</v>
      </c>
      <c r="C32" s="7" t="str">
        <f>IF(AND(ISNUMBER(AVERAGEIFS('Data(perCrop)'!$A:$A,'Data(perCrop)'!$B:$B,$A32,'Data(perCrop)'!$H:$H,$A$3,'Data(perCrop)'!$O:$O,'Indicators(perCrop)'!C$4)),$B32&lt;&gt;14,$B32&lt;&gt;15),AVERAGEIFS('Data(perCrop)'!$A:$A,'Data(perCrop)'!$B:$B,$A32,'Data(perCrop)'!$H:$H,$A$3,'Data(perCrop)'!$O:$O,'Indicators(perCrop)'!C$4),"")</f>
        <v/>
      </c>
      <c r="D32" s="7" t="str">
        <f>IF(AND(ISNUMBER(AVERAGEIFS('Data(perCrop)'!$A:$A,'Data(perCrop)'!$B:$B,$A32,'Data(perCrop)'!$H:$H,$A$3,'Data(perCrop)'!$O:$O,'Indicators(perCrop)'!D$4)),$B32&lt;&gt;14,$B32&lt;&gt;15),AVERAGEIFS('Data(perCrop)'!$A:$A,'Data(perCrop)'!$B:$B,$A32,'Data(perCrop)'!$H:$H,$A$3,'Data(perCrop)'!$O:$O,'Indicators(perCrop)'!D$4),"")</f>
        <v/>
      </c>
      <c r="E32" s="7" t="str">
        <f>IF(AND(ISNUMBER(AVERAGEIFS('Data(perCrop)'!$A:$A,'Data(perCrop)'!$B:$B,$A32,'Data(perCrop)'!$H:$H,$A$3,'Data(perCrop)'!$O:$O,'Indicators(perCrop)'!E$4)),$B32&lt;&gt;14,$B32&lt;&gt;15),AVERAGEIFS('Data(perCrop)'!$A:$A,'Data(perCrop)'!$B:$B,$A32,'Data(perCrop)'!$H:$H,$A$3,'Data(perCrop)'!$O:$O,'Indicators(perCrop)'!E$4),"")</f>
        <v/>
      </c>
      <c r="F32" s="7" t="str">
        <f>IF(AND(ISNUMBER(AVERAGEIFS('Data(perCrop)'!$A:$A,'Data(perCrop)'!$B:$B,$A32,'Data(perCrop)'!$H:$H,$A$3,'Data(perCrop)'!$O:$O,'Indicators(perCrop)'!F$4)),$B32&lt;&gt;14,$B32&lt;&gt;15),AVERAGEIFS('Data(perCrop)'!$A:$A,'Data(perCrop)'!$B:$B,$A32,'Data(perCrop)'!$H:$H,$A$3,'Data(perCrop)'!$O:$O,'Indicators(perCrop)'!F$4),"")</f>
        <v/>
      </c>
      <c r="G32" s="7" t="str">
        <f>IF(AND(ISNUMBER(AVERAGEIFS('Data(perCrop)'!$A:$A,'Data(perCrop)'!$B:$B,$A32,'Data(perCrop)'!$H:$H,$A$3,'Data(perCrop)'!$O:$O,'Indicators(perCrop)'!G$4)),$B32&lt;&gt;14,$B32&lt;&gt;15),AVERAGEIFS('Data(perCrop)'!$A:$A,'Data(perCrop)'!$B:$B,$A32,'Data(perCrop)'!$H:$H,$A$3,'Data(perCrop)'!$O:$O,'Indicators(perCrop)'!G$4),"")</f>
        <v/>
      </c>
      <c r="H32" s="7" t="str">
        <f t="shared" si="4"/>
        <v/>
      </c>
      <c r="I32" s="32" t="str">
        <f t="shared" si="5"/>
        <v/>
      </c>
      <c r="J32" s="7" t="e">
        <f>AVERAGEIFS('Data(perCrop)'!$D:$D,'Data(perCrop)'!$B:$B,$A32,'Data(perCrop)'!$H:$H,$A$3,'Data(perCrop)'!$O:$O,'Indicators(perCrop)'!C$4)</f>
        <v>#DIV/0!</v>
      </c>
      <c r="K32" s="7" t="e">
        <f>AVERAGEIFS('Data(perCrop)'!$D:$D,'Data(perCrop)'!$B:$B,$A32,'Data(perCrop)'!$H:$H,$A$3,'Data(perCrop)'!$O:$O,'Indicators(perCrop)'!D$4)</f>
        <v>#DIV/0!</v>
      </c>
      <c r="L32" s="7" t="e">
        <f>AVERAGEIFS('Data(perCrop)'!$D:$D,'Data(perCrop)'!$B:$B,$A32,'Data(perCrop)'!$H:$H,$A$3,'Data(perCrop)'!$O:$O,'Indicators(perCrop)'!E$4)</f>
        <v>#DIV/0!</v>
      </c>
      <c r="M32" s="7" t="e">
        <f>AVERAGEIFS('Data(perCrop)'!$D:$D,'Data(perCrop)'!$B:$B,$A32,'Data(perCrop)'!$H:$H,$A$3,'Data(perCrop)'!$O:$O,'Indicators(perCrop)'!F$4)</f>
        <v>#DIV/0!</v>
      </c>
      <c r="N32" s="7" t="e">
        <f>AVERAGEIFS('Data(perCrop)'!$D:$D,'Data(perCrop)'!$B:$B,$A32,'Data(perCrop)'!$H:$H,$A$3,'Data(perCrop)'!$O:$O,'Indicators(perCrop)'!G$4)</f>
        <v>#DIV/0!</v>
      </c>
      <c r="O32" s="7" t="e">
        <f t="shared" si="6"/>
        <v>#DIV/0!</v>
      </c>
      <c r="P32" s="7" t="e">
        <f>AVERAGEIFS('Data(perCrop)'!$E:$E,'Data(perCrop)'!$B:$B,$A32,'Data(perCrop)'!$H:$H,$A$3,'Data(perCrop)'!$O:$O,'Indicators(perCrop)'!J$4)</f>
        <v>#DIV/0!</v>
      </c>
      <c r="Q32" s="7" t="e">
        <f>AVERAGEIFS('Data(perCrop)'!$E:$E,'Data(perCrop)'!$B:$B,$A32,'Data(perCrop)'!$H:$H,$A$3,'Data(perCrop)'!$O:$O,'Indicators(perCrop)'!K$4)</f>
        <v>#DIV/0!</v>
      </c>
      <c r="R32" s="7" t="e">
        <f>AVERAGEIFS('Data(perCrop)'!$E:$E,'Data(perCrop)'!$B:$B,$A32,'Data(perCrop)'!$H:$H,$A$3,'Data(perCrop)'!$O:$O,'Indicators(perCrop)'!L$4)</f>
        <v>#DIV/0!</v>
      </c>
      <c r="S32" s="7" t="e">
        <f>AVERAGEIFS('Data(perCrop)'!$E:$E,'Data(perCrop)'!$B:$B,$A32,'Data(perCrop)'!$H:$H,$A$3,'Data(perCrop)'!$O:$O,'Indicators(perCrop)'!M$4)</f>
        <v>#DIV/0!</v>
      </c>
      <c r="T32" s="7" t="e">
        <f>AVERAGEIFS('Data(perCrop)'!$E:$E,'Data(perCrop)'!$B:$B,$A32,'Data(perCrop)'!$H:$H,$A$3,'Data(perCrop)'!$O:$O,'Indicators(perCrop)'!N$4)</f>
        <v>#DIV/0!</v>
      </c>
      <c r="U32" s="7" t="e">
        <f t="shared" si="7"/>
        <v>#DIV/0!</v>
      </c>
      <c r="V32" s="8" t="str">
        <f t="shared" si="8"/>
        <v/>
      </c>
      <c r="W32" s="8" t="str">
        <f t="shared" si="9"/>
        <v/>
      </c>
      <c r="X32" s="8" t="str">
        <f t="shared" si="10"/>
        <v/>
      </c>
      <c r="Y32" s="8" t="str">
        <f t="shared" si="11"/>
        <v/>
      </c>
      <c r="Z32" s="8" t="str">
        <f t="shared" si="12"/>
        <v/>
      </c>
      <c r="AA32" s="8" t="e">
        <f t="shared" si="25"/>
        <v>#DIV/0!</v>
      </c>
      <c r="AB32" s="8" t="str">
        <f>IF(AND(ISNUMBER(J32),$B32&lt;&gt;14,$B32&lt;&gt;15),(AVERAGEIFS('Data(perCrop)'!$L:$L,'Data(perCrop)'!$B:$B,'Indicators(perCrop)'!$A32,'Data(perCrop)'!$O:$O,'Indicators(perCrop)'!AB$4,'Data(perCrop)'!$H:$H,'Indicators(perCrop)'!$A$3)-AVERAGEIFS('Data(perCrop)'!$K:$K,'Data(perCrop)'!$B:$B,'Indicators(perCrop)'!$A32,'Data(perCrop)'!$O:$O,'Indicators(perCrop)'!AB$4,'Data(perCrop)'!$H:$H,'Indicators(perCrop)'!$A$3))/AVERAGEIFS('Data(perCrop)'!$L:$L,'Data(perCrop)'!$B:$B,'Indicators(perCrop)'!$A32,'Data(perCrop)'!$O:$O,'Indicators(perCrop)'!AB$4,'Data(perCrop)'!$H:$H,'Indicators(perCrop)'!$A$3),"")</f>
        <v/>
      </c>
      <c r="AC32" s="8" t="str">
        <f>IF(AND(ISNUMBER(K32),$B32&lt;&gt;14,$B32&lt;&gt;15),(AVERAGEIFS('Data(perCrop)'!$L:$L,'Data(perCrop)'!$B:$B,'Indicators(perCrop)'!$A32,'Data(perCrop)'!$O:$O,'Indicators(perCrop)'!AC$4,'Data(perCrop)'!$H:$H,'Indicators(perCrop)'!$A$3)-AVERAGEIFS('Data(perCrop)'!$K:$K,'Data(perCrop)'!$B:$B,'Indicators(perCrop)'!$A32,'Data(perCrop)'!$O:$O,'Indicators(perCrop)'!AC$4,'Data(perCrop)'!$H:$H,'Indicators(perCrop)'!$A$3))/AVERAGEIFS('Data(perCrop)'!$L:$L,'Data(perCrop)'!$B:$B,'Indicators(perCrop)'!$A32,'Data(perCrop)'!$O:$O,'Indicators(perCrop)'!AC$4,'Data(perCrop)'!$H:$H,'Indicators(perCrop)'!$A$3),"")</f>
        <v/>
      </c>
      <c r="AD32" s="8" t="str">
        <f>IF(AND(ISNUMBER(L32),$B32&lt;&gt;14,$B32&lt;&gt;15),(AVERAGEIFS('Data(perCrop)'!$L:$L,'Data(perCrop)'!$B:$B,'Indicators(perCrop)'!$A32,'Data(perCrop)'!$O:$O,'Indicators(perCrop)'!AD$4,'Data(perCrop)'!$H:$H,'Indicators(perCrop)'!$A$3)-AVERAGEIFS('Data(perCrop)'!$K:$K,'Data(perCrop)'!$B:$B,'Indicators(perCrop)'!$A32,'Data(perCrop)'!$O:$O,'Indicators(perCrop)'!AD$4,'Data(perCrop)'!$H:$H,'Indicators(perCrop)'!$A$3))/AVERAGEIFS('Data(perCrop)'!$L:$L,'Data(perCrop)'!$B:$B,'Indicators(perCrop)'!$A32,'Data(perCrop)'!$O:$O,'Indicators(perCrop)'!AD$4,'Data(perCrop)'!$H:$H,'Indicators(perCrop)'!$A$3),"")</f>
        <v/>
      </c>
      <c r="AE32" s="8" t="str">
        <f>IF(AND(ISNUMBER(M32),$B32&lt;&gt;14,$B32&lt;&gt;15),(AVERAGEIFS('Data(perCrop)'!$L:$L,'Data(perCrop)'!$B:$B,'Indicators(perCrop)'!$A32,'Data(perCrop)'!$O:$O,'Indicators(perCrop)'!AE$4,'Data(perCrop)'!$H:$H,'Indicators(perCrop)'!$A$3)-AVERAGEIFS('Data(perCrop)'!$K:$K,'Data(perCrop)'!$B:$B,'Indicators(perCrop)'!$A32,'Data(perCrop)'!$O:$O,'Indicators(perCrop)'!AE$4,'Data(perCrop)'!$H:$H,'Indicators(perCrop)'!$A$3))/AVERAGEIFS('Data(perCrop)'!$L:$L,'Data(perCrop)'!$B:$B,'Indicators(perCrop)'!$A32,'Data(perCrop)'!$O:$O,'Indicators(perCrop)'!AE$4,'Data(perCrop)'!$H:$H,'Indicators(perCrop)'!$A$3),"")</f>
        <v/>
      </c>
      <c r="AF32" s="8" t="str">
        <f>IF(AND(ISNUMBER(N32),$B32&lt;&gt;14,$B32&lt;&gt;15),(AVERAGEIFS('Data(perCrop)'!$L:$L,'Data(perCrop)'!$B:$B,'Indicators(perCrop)'!$A32,'Data(perCrop)'!$O:$O,'Indicators(perCrop)'!AF$4,'Data(perCrop)'!$H:$H,'Indicators(perCrop)'!$A$3)-AVERAGEIFS('Data(perCrop)'!$K:$K,'Data(perCrop)'!$B:$B,'Indicators(perCrop)'!$A32,'Data(perCrop)'!$O:$O,'Indicators(perCrop)'!AF$4,'Data(perCrop)'!$H:$H,'Indicators(perCrop)'!$A$3))/AVERAGEIFS('Data(perCrop)'!$L:$L,'Data(perCrop)'!$B:$B,'Indicators(perCrop)'!$A32,'Data(perCrop)'!$O:$O,'Indicators(perCrop)'!AF$4,'Data(perCrop)'!$H:$H,'Indicators(perCrop)'!$A$3),"")</f>
        <v/>
      </c>
      <c r="AG32" s="8" t="e">
        <f t="shared" si="13"/>
        <v>#DIV/0!</v>
      </c>
      <c r="AH32" s="8" t="str">
        <f>IF(AND(ISNUMBER(J32),$B32&lt;&gt;14,$B32&lt;&gt;15),AVERAGEIFS('Data(perSeason,perCrop)'!$M:$M,'Data(perSeason,perCrop)'!$K:$K,'Indicators(perCrop)'!$A$3,'Data(perSeason,perCrop)'!$C:$C,'Indicators(perCrop)'!$A32,'Data(perSeason,perCrop)'!$S:$S,'Indicators(perCrop)'!AH$4,'Data(perSeason,perCrop)'!$R:$R,"IRRIGATED")-AVERAGEIFS('Data(perSeason,perCrop)'!$N:$N,'Data(perSeason,perCrop)'!$K:$K,'Indicators(perCrop)'!$A$3,'Data(perSeason,perCrop)'!$C:$C,'Indicators(perCrop)'!$A32,'Data(perSeason,perCrop)'!$S:$S,'Indicators(perCrop)'!AH$4,'Data(perSeason,perCrop)'!$R:$R,"IRRIGATED"),"")</f>
        <v/>
      </c>
      <c r="AI32" s="8" t="str">
        <f>IF(AND(ISNUMBER(K32),$B32&lt;&gt;14,$B32&lt;&gt;15),AVERAGEIFS('Data(perSeason,perCrop)'!$M:$M,'Data(perSeason,perCrop)'!$K:$K,'Indicators(perCrop)'!$A$3,'Data(perSeason,perCrop)'!$C:$C,'Indicators(perCrop)'!$A32,'Data(perSeason,perCrop)'!$S:$S,'Indicators(perCrop)'!AI$4,'Data(perSeason,perCrop)'!$R:$R,"IRRIGATED")-AVERAGEIFS('Data(perSeason,perCrop)'!$N:$N,'Data(perSeason,perCrop)'!$K:$K,'Indicators(perCrop)'!$A$3,'Data(perSeason,perCrop)'!$C:$C,'Indicators(perCrop)'!$A32,'Data(perSeason,perCrop)'!$S:$S,'Indicators(perCrop)'!AI$4,'Data(perSeason,perCrop)'!$R:$R,"IRRIGATED"),"")</f>
        <v/>
      </c>
      <c r="AJ32" s="8" t="str">
        <f>IF(AND(ISNUMBER(L32),$B32&lt;&gt;14,$B32&lt;&gt;15),AVERAGEIFS('Data(perSeason,perCrop)'!$M:$M,'Data(perSeason,perCrop)'!$K:$K,'Indicators(perCrop)'!$A$3,'Data(perSeason,perCrop)'!$C:$C,'Indicators(perCrop)'!$A32,'Data(perSeason,perCrop)'!$S:$S,'Indicators(perCrop)'!AJ$4,'Data(perSeason,perCrop)'!$R:$R,"IRRIGATED")-AVERAGEIFS('Data(perSeason,perCrop)'!$N:$N,'Data(perSeason,perCrop)'!$K:$K,'Indicators(perCrop)'!$A$3,'Data(perSeason,perCrop)'!$C:$C,'Indicators(perCrop)'!$A32,'Data(perSeason,perCrop)'!$S:$S,'Indicators(perCrop)'!AJ$4,'Data(perSeason,perCrop)'!$R:$R,"IRRIGATED"),"")</f>
        <v/>
      </c>
      <c r="AK32" s="8" t="str">
        <f>IF(AND(ISNUMBER(M32),$B32&lt;&gt;14,$B32&lt;&gt;15),AVERAGEIFS('Data(perSeason,perCrop)'!$M:$M,'Data(perSeason,perCrop)'!$K:$K,'Indicators(perCrop)'!$A$3,'Data(perSeason,perCrop)'!$C:$C,'Indicators(perCrop)'!$A32,'Data(perSeason,perCrop)'!$S:$S,'Indicators(perCrop)'!AK$4,'Data(perSeason,perCrop)'!$R:$R,"IRRIGATED")-AVERAGEIFS('Data(perSeason,perCrop)'!$N:$N,'Data(perSeason,perCrop)'!$K:$K,'Indicators(perCrop)'!$A$3,'Data(perSeason,perCrop)'!$C:$C,'Indicators(perCrop)'!$A32,'Data(perSeason,perCrop)'!$S:$S,'Indicators(perCrop)'!AK$4,'Data(perSeason,perCrop)'!$R:$R,"IRRIGATED"),"")</f>
        <v/>
      </c>
      <c r="AL32" s="8" t="str">
        <f>IF(AND(ISNUMBER(N32),$B32&lt;&gt;14,$B32&lt;&gt;15),AVERAGEIFS('Data(perSeason,perCrop)'!$M:$M,'Data(perSeason,perCrop)'!$K:$K,'Indicators(perCrop)'!$A$3,'Data(perSeason,perCrop)'!$C:$C,'Indicators(perCrop)'!$A32,'Data(perSeason,perCrop)'!$S:$S,'Indicators(perCrop)'!AL$4,'Data(perSeason,perCrop)'!$R:$R,"IRRIGATED")-AVERAGEIFS('Data(perSeason,perCrop)'!$N:$N,'Data(perSeason,perCrop)'!$K:$K,'Indicators(perCrop)'!$A$3,'Data(perSeason,perCrop)'!$C:$C,'Indicators(perCrop)'!$A32,'Data(perSeason,perCrop)'!$S:$S,'Indicators(perCrop)'!AL$4,'Data(perSeason,perCrop)'!$R:$R,"IRRIGATED"),"")</f>
        <v/>
      </c>
      <c r="AM32" s="8" t="e">
        <f t="shared" si="14"/>
        <v>#DIV/0!</v>
      </c>
      <c r="AN32" s="7" t="e">
        <f>AVERAGEIFS('Data(perCrop)'!$K:$K,'Data(perCrop)'!$B:$B,$A32,'Data(perCrop)'!$H:$H,$A$3,'Data(perCrop)'!$O:$O,'Indicators(perCrop)'!C$4)</f>
        <v>#DIV/0!</v>
      </c>
      <c r="AO32" s="7" t="e">
        <f>AVERAGEIFS('Data(perCrop)'!$K:$K,'Data(perCrop)'!$B:$B,$A32,'Data(perCrop)'!$H:$H,$A$3,'Data(perCrop)'!$O:$O,'Indicators(perCrop)'!D$4)</f>
        <v>#DIV/0!</v>
      </c>
      <c r="AP32" s="7" t="e">
        <f>AVERAGEIFS('Data(perCrop)'!$K:$K,'Data(perCrop)'!$B:$B,$A32,'Data(perCrop)'!$H:$H,$A$3,'Data(perCrop)'!$O:$O,'Indicators(perCrop)'!E$4)</f>
        <v>#DIV/0!</v>
      </c>
      <c r="AQ32" s="7" t="e">
        <f>AVERAGEIFS('Data(perCrop)'!$K:$K,'Data(perCrop)'!$B:$B,$A32,'Data(perCrop)'!$H:$H,$A$3,'Data(perCrop)'!$O:$O,'Indicators(perCrop)'!F$4)</f>
        <v>#DIV/0!</v>
      </c>
      <c r="AR32" s="7" t="e">
        <f>AVERAGEIFS('Data(perCrop)'!$K:$K,'Data(perCrop)'!$B:$B,$A32,'Data(perCrop)'!$H:$H,$A$3,'Data(perCrop)'!$O:$O,'Indicators(perCrop)'!G$4)</f>
        <v>#DIV/0!</v>
      </c>
      <c r="AS32" s="8" t="e">
        <f t="shared" si="15"/>
        <v>#DIV/0!</v>
      </c>
      <c r="AT32" s="50"/>
      <c r="AU32" s="50"/>
      <c r="AV32" s="50"/>
      <c r="AW32" s="50"/>
      <c r="AX32" s="50"/>
      <c r="AY32" s="50"/>
      <c r="AZ32" s="50"/>
      <c r="BA32" s="8"/>
      <c r="BB32" s="7">
        <f>SUMIFS('Data(perSeason,perCrop)'!$A:$A,'Data(perSeason,perCrop)'!$C:$C,'Indicators(perCrop)'!$A32,'Data(perSeason,perCrop)'!$R:$R,"IRRIGATED",'Data(perSeason,perCrop)'!$O:$O,'Indicators(perCrop)'!BB$4)/5</f>
        <v>0</v>
      </c>
      <c r="BC32" s="7">
        <f>SUMIFS('Data(perSeason,perCrop)'!$A:$A,'Data(perSeason,perCrop)'!$C:$C,'Indicators(perCrop)'!$A32,'Data(perSeason,perCrop)'!$R:$R,"IRRIGATED",'Data(perSeason,perCrop)'!$O:$O,'Indicators(perCrop)'!BC$4)/5</f>
        <v>0</v>
      </c>
      <c r="BD32" s="7">
        <f>SUMIFS('Data(perSeason,perCrop)'!$A:$A,'Data(perSeason,perCrop)'!$C:$C,'Indicators(perCrop)'!$A32,'Data(perSeason,perCrop)'!$R:$R,"IRRIGATED",'Data(perSeason,perCrop)'!$O:$O,'Indicators(perCrop)'!BD$4)/5</f>
        <v>0</v>
      </c>
      <c r="BE32" s="7" t="e">
        <f>AVERAGEIFS('Data(perSeason,perCrop)'!$G:$G,'Data(perSeason,perCrop)'!$C:$C,'Indicators(perCrop)'!$A32,'Data(perSeason,perCrop)'!$R:$R,"IRRIGATED",'Data(perSeason,perCrop)'!$O:$O,'Indicators(perCrop)'!BE$4)</f>
        <v>#DIV/0!</v>
      </c>
      <c r="BF32" s="7" t="e">
        <f>AVERAGEIFS('Data(perSeason,perCrop)'!$G:$G,'Data(perSeason,perCrop)'!$C:$C,'Indicators(perCrop)'!$A32,'Data(perSeason,perCrop)'!$R:$R,"IRRIGATED",'Data(perSeason,perCrop)'!$O:$O,'Indicators(perCrop)'!BF$4)</f>
        <v>#DIV/0!</v>
      </c>
      <c r="BG32" s="7" t="e">
        <f>AVERAGEIFS('Data(perSeason,perCrop)'!$G:$G,'Data(perSeason,perCrop)'!$C:$C,'Indicators(perCrop)'!$A32,'Data(perSeason,perCrop)'!$R:$R,"IRRIGATED",'Data(perSeason,perCrop)'!$O:$O,'Indicators(perCrop)'!BG$4)</f>
        <v>#DIV/0!</v>
      </c>
      <c r="BH32" s="7" t="str">
        <f t="shared" si="24"/>
        <v/>
      </c>
      <c r="BI32" s="7" t="str">
        <f t="shared" si="21"/>
        <v/>
      </c>
      <c r="BJ32" s="7" t="str">
        <f t="shared" si="22"/>
        <v/>
      </c>
      <c r="BK32" s="25" t="e">
        <f>AVERAGEIFS('Data(perCrop)'!F:F,'Data(perCrop)'!$B:$B,A32)</f>
        <v>#DIV/0!</v>
      </c>
      <c r="BL32" s="8" t="str">
        <f t="shared" si="2"/>
        <v/>
      </c>
      <c r="BM32" s="32" t="str">
        <f t="shared" si="3"/>
        <v/>
      </c>
    </row>
    <row r="33" spans="1:65" x14ac:dyDescent="0.25">
      <c r="A33" s="9" t="s">
        <v>145</v>
      </c>
      <c r="B33">
        <v>43</v>
      </c>
      <c r="C33" s="7" t="str">
        <f>IF(AND(ISNUMBER(AVERAGEIFS('Data(perCrop)'!$A:$A,'Data(perCrop)'!$B:$B,$A33,'Data(perCrop)'!$H:$H,$A$3,'Data(perCrop)'!$O:$O,'Indicators(perCrop)'!C$4)),$B33&lt;&gt;14,$B33&lt;&gt;15),AVERAGEIFS('Data(perCrop)'!$A:$A,'Data(perCrop)'!$B:$B,$A33,'Data(perCrop)'!$H:$H,$A$3,'Data(perCrop)'!$O:$O,'Indicators(perCrop)'!C$4),"")</f>
        <v/>
      </c>
      <c r="D33" s="7" t="str">
        <f>IF(AND(ISNUMBER(AVERAGEIFS('Data(perCrop)'!$A:$A,'Data(perCrop)'!$B:$B,$A33,'Data(perCrop)'!$H:$H,$A$3,'Data(perCrop)'!$O:$O,'Indicators(perCrop)'!D$4)),$B33&lt;&gt;14,$B33&lt;&gt;15),AVERAGEIFS('Data(perCrop)'!$A:$A,'Data(perCrop)'!$B:$B,$A33,'Data(perCrop)'!$H:$H,$A$3,'Data(perCrop)'!$O:$O,'Indicators(perCrop)'!D$4),"")</f>
        <v/>
      </c>
      <c r="E33" s="7" t="str">
        <f>IF(AND(ISNUMBER(AVERAGEIFS('Data(perCrop)'!$A:$A,'Data(perCrop)'!$B:$B,$A33,'Data(perCrop)'!$H:$H,$A$3,'Data(perCrop)'!$O:$O,'Indicators(perCrop)'!E$4)),$B33&lt;&gt;14,$B33&lt;&gt;15),AVERAGEIFS('Data(perCrop)'!$A:$A,'Data(perCrop)'!$B:$B,$A33,'Data(perCrop)'!$H:$H,$A$3,'Data(perCrop)'!$O:$O,'Indicators(perCrop)'!E$4),"")</f>
        <v/>
      </c>
      <c r="F33" s="7" t="str">
        <f>IF(AND(ISNUMBER(AVERAGEIFS('Data(perCrop)'!$A:$A,'Data(perCrop)'!$B:$B,$A33,'Data(perCrop)'!$H:$H,$A$3,'Data(perCrop)'!$O:$O,'Indicators(perCrop)'!F$4)),$B33&lt;&gt;14,$B33&lt;&gt;15),AVERAGEIFS('Data(perCrop)'!$A:$A,'Data(perCrop)'!$B:$B,$A33,'Data(perCrop)'!$H:$H,$A$3,'Data(perCrop)'!$O:$O,'Indicators(perCrop)'!F$4),"")</f>
        <v/>
      </c>
      <c r="G33" s="7" t="str">
        <f>IF(AND(ISNUMBER(AVERAGEIFS('Data(perCrop)'!$A:$A,'Data(perCrop)'!$B:$B,$A33,'Data(perCrop)'!$H:$H,$A$3,'Data(perCrop)'!$O:$O,'Indicators(perCrop)'!G$4)),$B33&lt;&gt;14,$B33&lt;&gt;15),AVERAGEIFS('Data(perCrop)'!$A:$A,'Data(perCrop)'!$B:$B,$A33,'Data(perCrop)'!$H:$H,$A$3,'Data(perCrop)'!$O:$O,'Indicators(perCrop)'!G$4),"")</f>
        <v/>
      </c>
      <c r="H33" s="7" t="str">
        <f t="shared" si="4"/>
        <v/>
      </c>
      <c r="I33" s="32" t="str">
        <f t="shared" si="5"/>
        <v/>
      </c>
      <c r="J33" s="7" t="e">
        <f>AVERAGEIFS('Data(perCrop)'!$D:$D,'Data(perCrop)'!$B:$B,$A33,'Data(perCrop)'!$H:$H,$A$3,'Data(perCrop)'!$O:$O,'Indicators(perCrop)'!C$4)</f>
        <v>#DIV/0!</v>
      </c>
      <c r="K33" s="7" t="e">
        <f>AVERAGEIFS('Data(perCrop)'!$D:$D,'Data(perCrop)'!$B:$B,$A33,'Data(perCrop)'!$H:$H,$A$3,'Data(perCrop)'!$O:$O,'Indicators(perCrop)'!D$4)</f>
        <v>#DIV/0!</v>
      </c>
      <c r="L33" s="7" t="e">
        <f>AVERAGEIFS('Data(perCrop)'!$D:$D,'Data(perCrop)'!$B:$B,$A33,'Data(perCrop)'!$H:$H,$A$3,'Data(perCrop)'!$O:$O,'Indicators(perCrop)'!E$4)</f>
        <v>#DIV/0!</v>
      </c>
      <c r="M33" s="7" t="e">
        <f>AVERAGEIFS('Data(perCrop)'!$D:$D,'Data(perCrop)'!$B:$B,$A33,'Data(perCrop)'!$H:$H,$A$3,'Data(perCrop)'!$O:$O,'Indicators(perCrop)'!F$4)</f>
        <v>#DIV/0!</v>
      </c>
      <c r="N33" s="7" t="e">
        <f>AVERAGEIFS('Data(perCrop)'!$D:$D,'Data(perCrop)'!$B:$B,$A33,'Data(perCrop)'!$H:$H,$A$3,'Data(perCrop)'!$O:$O,'Indicators(perCrop)'!G$4)</f>
        <v>#DIV/0!</v>
      </c>
      <c r="O33" s="7" t="e">
        <f t="shared" si="6"/>
        <v>#DIV/0!</v>
      </c>
      <c r="P33" s="7" t="e">
        <f>AVERAGEIFS('Data(perCrop)'!$E:$E,'Data(perCrop)'!$B:$B,$A33,'Data(perCrop)'!$H:$H,$A$3,'Data(perCrop)'!$O:$O,'Indicators(perCrop)'!J$4)</f>
        <v>#DIV/0!</v>
      </c>
      <c r="Q33" s="7" t="e">
        <f>AVERAGEIFS('Data(perCrop)'!$E:$E,'Data(perCrop)'!$B:$B,$A33,'Data(perCrop)'!$H:$H,$A$3,'Data(perCrop)'!$O:$O,'Indicators(perCrop)'!K$4)</f>
        <v>#DIV/0!</v>
      </c>
      <c r="R33" s="7" t="e">
        <f>AVERAGEIFS('Data(perCrop)'!$E:$E,'Data(perCrop)'!$B:$B,$A33,'Data(perCrop)'!$H:$H,$A$3,'Data(perCrop)'!$O:$O,'Indicators(perCrop)'!L$4)</f>
        <v>#DIV/0!</v>
      </c>
      <c r="S33" s="7" t="e">
        <f>AVERAGEIFS('Data(perCrop)'!$E:$E,'Data(perCrop)'!$B:$B,$A33,'Data(perCrop)'!$H:$H,$A$3,'Data(perCrop)'!$O:$O,'Indicators(perCrop)'!M$4)</f>
        <v>#DIV/0!</v>
      </c>
      <c r="T33" s="7" t="e">
        <f>AVERAGEIFS('Data(perCrop)'!$E:$E,'Data(perCrop)'!$B:$B,$A33,'Data(perCrop)'!$H:$H,$A$3,'Data(perCrop)'!$O:$O,'Indicators(perCrop)'!N$4)</f>
        <v>#DIV/0!</v>
      </c>
      <c r="U33" s="7" t="e">
        <f t="shared" si="7"/>
        <v>#DIV/0!</v>
      </c>
      <c r="V33" s="8" t="str">
        <f t="shared" si="8"/>
        <v/>
      </c>
      <c r="W33" s="8" t="str">
        <f t="shared" si="9"/>
        <v/>
      </c>
      <c r="X33" s="8" t="str">
        <f t="shared" si="10"/>
        <v/>
      </c>
      <c r="Y33" s="8" t="str">
        <f t="shared" si="11"/>
        <v/>
      </c>
      <c r="Z33" s="8" t="str">
        <f t="shared" si="12"/>
        <v/>
      </c>
      <c r="AA33" s="8" t="e">
        <f t="shared" si="25"/>
        <v>#DIV/0!</v>
      </c>
      <c r="AB33" s="8" t="str">
        <f>IF(AND(ISNUMBER(J33),$B33&lt;&gt;14,$B33&lt;&gt;15),(AVERAGEIFS('Data(perCrop)'!$L:$L,'Data(perCrop)'!$B:$B,'Indicators(perCrop)'!$A33,'Data(perCrop)'!$O:$O,'Indicators(perCrop)'!AB$4,'Data(perCrop)'!$H:$H,'Indicators(perCrop)'!$A$3)-AVERAGEIFS('Data(perCrop)'!$K:$K,'Data(perCrop)'!$B:$B,'Indicators(perCrop)'!$A33,'Data(perCrop)'!$O:$O,'Indicators(perCrop)'!AB$4,'Data(perCrop)'!$H:$H,'Indicators(perCrop)'!$A$3))/AVERAGEIFS('Data(perCrop)'!$L:$L,'Data(perCrop)'!$B:$B,'Indicators(perCrop)'!$A33,'Data(perCrop)'!$O:$O,'Indicators(perCrop)'!AB$4,'Data(perCrop)'!$H:$H,'Indicators(perCrop)'!$A$3),"")</f>
        <v/>
      </c>
      <c r="AC33" s="8" t="str">
        <f>IF(AND(ISNUMBER(K33),$B33&lt;&gt;14,$B33&lt;&gt;15),(AVERAGEIFS('Data(perCrop)'!$L:$L,'Data(perCrop)'!$B:$B,'Indicators(perCrop)'!$A33,'Data(perCrop)'!$O:$O,'Indicators(perCrop)'!AC$4,'Data(perCrop)'!$H:$H,'Indicators(perCrop)'!$A$3)-AVERAGEIFS('Data(perCrop)'!$K:$K,'Data(perCrop)'!$B:$B,'Indicators(perCrop)'!$A33,'Data(perCrop)'!$O:$O,'Indicators(perCrop)'!AC$4,'Data(perCrop)'!$H:$H,'Indicators(perCrop)'!$A$3))/AVERAGEIFS('Data(perCrop)'!$L:$L,'Data(perCrop)'!$B:$B,'Indicators(perCrop)'!$A33,'Data(perCrop)'!$O:$O,'Indicators(perCrop)'!AC$4,'Data(perCrop)'!$H:$H,'Indicators(perCrop)'!$A$3),"")</f>
        <v/>
      </c>
      <c r="AD33" s="8" t="str">
        <f>IF(AND(ISNUMBER(L33),$B33&lt;&gt;14,$B33&lt;&gt;15),(AVERAGEIFS('Data(perCrop)'!$L:$L,'Data(perCrop)'!$B:$B,'Indicators(perCrop)'!$A33,'Data(perCrop)'!$O:$O,'Indicators(perCrop)'!AD$4,'Data(perCrop)'!$H:$H,'Indicators(perCrop)'!$A$3)-AVERAGEIFS('Data(perCrop)'!$K:$K,'Data(perCrop)'!$B:$B,'Indicators(perCrop)'!$A33,'Data(perCrop)'!$O:$O,'Indicators(perCrop)'!AD$4,'Data(perCrop)'!$H:$H,'Indicators(perCrop)'!$A$3))/AVERAGEIFS('Data(perCrop)'!$L:$L,'Data(perCrop)'!$B:$B,'Indicators(perCrop)'!$A33,'Data(perCrop)'!$O:$O,'Indicators(perCrop)'!AD$4,'Data(perCrop)'!$H:$H,'Indicators(perCrop)'!$A$3),"")</f>
        <v/>
      </c>
      <c r="AE33" s="8" t="str">
        <f>IF(AND(ISNUMBER(M33),$B33&lt;&gt;14,$B33&lt;&gt;15),(AVERAGEIFS('Data(perCrop)'!$L:$L,'Data(perCrop)'!$B:$B,'Indicators(perCrop)'!$A33,'Data(perCrop)'!$O:$O,'Indicators(perCrop)'!AE$4,'Data(perCrop)'!$H:$H,'Indicators(perCrop)'!$A$3)-AVERAGEIFS('Data(perCrop)'!$K:$K,'Data(perCrop)'!$B:$B,'Indicators(perCrop)'!$A33,'Data(perCrop)'!$O:$O,'Indicators(perCrop)'!AE$4,'Data(perCrop)'!$H:$H,'Indicators(perCrop)'!$A$3))/AVERAGEIFS('Data(perCrop)'!$L:$L,'Data(perCrop)'!$B:$B,'Indicators(perCrop)'!$A33,'Data(perCrop)'!$O:$O,'Indicators(perCrop)'!AE$4,'Data(perCrop)'!$H:$H,'Indicators(perCrop)'!$A$3),"")</f>
        <v/>
      </c>
      <c r="AF33" s="8" t="str">
        <f>IF(AND(ISNUMBER(N33),$B33&lt;&gt;14,$B33&lt;&gt;15),(AVERAGEIFS('Data(perCrop)'!$L:$L,'Data(perCrop)'!$B:$B,'Indicators(perCrop)'!$A33,'Data(perCrop)'!$O:$O,'Indicators(perCrop)'!AF$4,'Data(perCrop)'!$H:$H,'Indicators(perCrop)'!$A$3)-AVERAGEIFS('Data(perCrop)'!$K:$K,'Data(perCrop)'!$B:$B,'Indicators(perCrop)'!$A33,'Data(perCrop)'!$O:$O,'Indicators(perCrop)'!AF$4,'Data(perCrop)'!$H:$H,'Indicators(perCrop)'!$A$3))/AVERAGEIFS('Data(perCrop)'!$L:$L,'Data(perCrop)'!$B:$B,'Indicators(perCrop)'!$A33,'Data(perCrop)'!$O:$O,'Indicators(perCrop)'!AF$4,'Data(perCrop)'!$H:$H,'Indicators(perCrop)'!$A$3),"")</f>
        <v/>
      </c>
      <c r="AG33" s="8" t="e">
        <f t="shared" si="13"/>
        <v>#DIV/0!</v>
      </c>
      <c r="AH33" s="8" t="str">
        <f>IF(AND(ISNUMBER(J33),$B33&lt;&gt;14,$B33&lt;&gt;15),AVERAGEIFS('Data(perSeason,perCrop)'!$M:$M,'Data(perSeason,perCrop)'!$K:$K,'Indicators(perCrop)'!$A$3,'Data(perSeason,perCrop)'!$C:$C,'Indicators(perCrop)'!$A33,'Data(perSeason,perCrop)'!$S:$S,'Indicators(perCrop)'!AH$4,'Data(perSeason,perCrop)'!$R:$R,"IRRIGATED")-AVERAGEIFS('Data(perSeason,perCrop)'!$N:$N,'Data(perSeason,perCrop)'!$K:$K,'Indicators(perCrop)'!$A$3,'Data(perSeason,perCrop)'!$C:$C,'Indicators(perCrop)'!$A33,'Data(perSeason,perCrop)'!$S:$S,'Indicators(perCrop)'!AH$4,'Data(perSeason,perCrop)'!$R:$R,"IRRIGATED"),"")</f>
        <v/>
      </c>
      <c r="AI33" s="8" t="str">
        <f>IF(AND(ISNUMBER(K33),$B33&lt;&gt;14,$B33&lt;&gt;15),AVERAGEIFS('Data(perSeason,perCrop)'!$M:$M,'Data(perSeason,perCrop)'!$K:$K,'Indicators(perCrop)'!$A$3,'Data(perSeason,perCrop)'!$C:$C,'Indicators(perCrop)'!$A33,'Data(perSeason,perCrop)'!$S:$S,'Indicators(perCrop)'!AI$4,'Data(perSeason,perCrop)'!$R:$R,"IRRIGATED")-AVERAGEIFS('Data(perSeason,perCrop)'!$N:$N,'Data(perSeason,perCrop)'!$K:$K,'Indicators(perCrop)'!$A$3,'Data(perSeason,perCrop)'!$C:$C,'Indicators(perCrop)'!$A33,'Data(perSeason,perCrop)'!$S:$S,'Indicators(perCrop)'!AI$4,'Data(perSeason,perCrop)'!$R:$R,"IRRIGATED"),"")</f>
        <v/>
      </c>
      <c r="AJ33" s="8" t="str">
        <f>IF(AND(ISNUMBER(L33),$B33&lt;&gt;14,$B33&lt;&gt;15),AVERAGEIFS('Data(perSeason,perCrop)'!$M:$M,'Data(perSeason,perCrop)'!$K:$K,'Indicators(perCrop)'!$A$3,'Data(perSeason,perCrop)'!$C:$C,'Indicators(perCrop)'!$A33,'Data(perSeason,perCrop)'!$S:$S,'Indicators(perCrop)'!AJ$4,'Data(perSeason,perCrop)'!$R:$R,"IRRIGATED")-AVERAGEIFS('Data(perSeason,perCrop)'!$N:$N,'Data(perSeason,perCrop)'!$K:$K,'Indicators(perCrop)'!$A$3,'Data(perSeason,perCrop)'!$C:$C,'Indicators(perCrop)'!$A33,'Data(perSeason,perCrop)'!$S:$S,'Indicators(perCrop)'!AJ$4,'Data(perSeason,perCrop)'!$R:$R,"IRRIGATED"),"")</f>
        <v/>
      </c>
      <c r="AK33" s="8" t="str">
        <f>IF(AND(ISNUMBER(M33),$B33&lt;&gt;14,$B33&lt;&gt;15),AVERAGEIFS('Data(perSeason,perCrop)'!$M:$M,'Data(perSeason,perCrop)'!$K:$K,'Indicators(perCrop)'!$A$3,'Data(perSeason,perCrop)'!$C:$C,'Indicators(perCrop)'!$A33,'Data(perSeason,perCrop)'!$S:$S,'Indicators(perCrop)'!AK$4,'Data(perSeason,perCrop)'!$R:$R,"IRRIGATED")-AVERAGEIFS('Data(perSeason,perCrop)'!$N:$N,'Data(perSeason,perCrop)'!$K:$K,'Indicators(perCrop)'!$A$3,'Data(perSeason,perCrop)'!$C:$C,'Indicators(perCrop)'!$A33,'Data(perSeason,perCrop)'!$S:$S,'Indicators(perCrop)'!AK$4,'Data(perSeason,perCrop)'!$R:$R,"IRRIGATED"),"")</f>
        <v/>
      </c>
      <c r="AL33" s="8" t="str">
        <f>IF(AND(ISNUMBER(N33),$B33&lt;&gt;14,$B33&lt;&gt;15),AVERAGEIFS('Data(perSeason,perCrop)'!$M:$M,'Data(perSeason,perCrop)'!$K:$K,'Indicators(perCrop)'!$A$3,'Data(perSeason,perCrop)'!$C:$C,'Indicators(perCrop)'!$A33,'Data(perSeason,perCrop)'!$S:$S,'Indicators(perCrop)'!AL$4,'Data(perSeason,perCrop)'!$R:$R,"IRRIGATED")-AVERAGEIFS('Data(perSeason,perCrop)'!$N:$N,'Data(perSeason,perCrop)'!$K:$K,'Indicators(perCrop)'!$A$3,'Data(perSeason,perCrop)'!$C:$C,'Indicators(perCrop)'!$A33,'Data(perSeason,perCrop)'!$S:$S,'Indicators(perCrop)'!AL$4,'Data(perSeason,perCrop)'!$R:$R,"IRRIGATED"),"")</f>
        <v/>
      </c>
      <c r="AM33" s="8" t="e">
        <f t="shared" si="14"/>
        <v>#DIV/0!</v>
      </c>
      <c r="AN33" s="7" t="e">
        <f>AVERAGEIFS('Data(perCrop)'!$K:$K,'Data(perCrop)'!$B:$B,$A33,'Data(perCrop)'!$H:$H,$A$3,'Data(perCrop)'!$O:$O,'Indicators(perCrop)'!C$4)</f>
        <v>#DIV/0!</v>
      </c>
      <c r="AO33" s="7" t="e">
        <f>AVERAGEIFS('Data(perCrop)'!$K:$K,'Data(perCrop)'!$B:$B,$A33,'Data(perCrop)'!$H:$H,$A$3,'Data(perCrop)'!$O:$O,'Indicators(perCrop)'!D$4)</f>
        <v>#DIV/0!</v>
      </c>
      <c r="AP33" s="7" t="e">
        <f>AVERAGEIFS('Data(perCrop)'!$K:$K,'Data(perCrop)'!$B:$B,$A33,'Data(perCrop)'!$H:$H,$A$3,'Data(perCrop)'!$O:$O,'Indicators(perCrop)'!E$4)</f>
        <v>#DIV/0!</v>
      </c>
      <c r="AQ33" s="7" t="e">
        <f>AVERAGEIFS('Data(perCrop)'!$K:$K,'Data(perCrop)'!$B:$B,$A33,'Data(perCrop)'!$H:$H,$A$3,'Data(perCrop)'!$O:$O,'Indicators(perCrop)'!F$4)</f>
        <v>#DIV/0!</v>
      </c>
      <c r="AR33" s="7" t="e">
        <f>AVERAGEIFS('Data(perCrop)'!$K:$K,'Data(perCrop)'!$B:$B,$A33,'Data(perCrop)'!$H:$H,$A$3,'Data(perCrop)'!$O:$O,'Indicators(perCrop)'!G$4)</f>
        <v>#DIV/0!</v>
      </c>
      <c r="AS33" s="8" t="e">
        <f t="shared" si="15"/>
        <v>#DIV/0!</v>
      </c>
      <c r="AT33" s="50"/>
      <c r="AU33" s="50"/>
      <c r="AV33" s="50"/>
      <c r="AW33" s="50"/>
      <c r="AX33" s="50"/>
      <c r="AY33" s="50"/>
      <c r="AZ33" s="50"/>
      <c r="BA33" s="8"/>
      <c r="BB33" s="7">
        <f>SUMIFS('Data(perSeason,perCrop)'!$A:$A,'Data(perSeason,perCrop)'!$C:$C,'Indicators(perCrop)'!$A33,'Data(perSeason,perCrop)'!$R:$R,"IRRIGATED",'Data(perSeason,perCrop)'!$O:$O,'Indicators(perCrop)'!BB$4)/5</f>
        <v>0</v>
      </c>
      <c r="BC33" s="7">
        <f>SUMIFS('Data(perSeason,perCrop)'!$A:$A,'Data(perSeason,perCrop)'!$C:$C,'Indicators(perCrop)'!$A33,'Data(perSeason,perCrop)'!$R:$R,"IRRIGATED",'Data(perSeason,perCrop)'!$O:$O,'Indicators(perCrop)'!BC$4)/5</f>
        <v>0</v>
      </c>
      <c r="BD33" s="7">
        <f>SUMIFS('Data(perSeason,perCrop)'!$A:$A,'Data(perSeason,perCrop)'!$C:$C,'Indicators(perCrop)'!$A33,'Data(perSeason,perCrop)'!$R:$R,"IRRIGATED",'Data(perSeason,perCrop)'!$O:$O,'Indicators(perCrop)'!BD$4)/5</f>
        <v>0</v>
      </c>
      <c r="BE33" s="7" t="e">
        <f>AVERAGEIFS('Data(perSeason,perCrop)'!$G:$G,'Data(perSeason,perCrop)'!$C:$C,'Indicators(perCrop)'!$A33,'Data(perSeason,perCrop)'!$R:$R,"IRRIGATED",'Data(perSeason,perCrop)'!$O:$O,'Indicators(perCrop)'!BE$4)</f>
        <v>#DIV/0!</v>
      </c>
      <c r="BF33" s="7" t="e">
        <f>AVERAGEIFS('Data(perSeason,perCrop)'!$G:$G,'Data(perSeason,perCrop)'!$C:$C,'Indicators(perCrop)'!$A33,'Data(perSeason,perCrop)'!$R:$R,"IRRIGATED",'Data(perSeason,perCrop)'!$O:$O,'Indicators(perCrop)'!BF$4)</f>
        <v>#DIV/0!</v>
      </c>
      <c r="BG33" s="7" t="e">
        <f>AVERAGEIFS('Data(perSeason,perCrop)'!$G:$G,'Data(perSeason,perCrop)'!$C:$C,'Indicators(perCrop)'!$A33,'Data(perSeason,perCrop)'!$R:$R,"IRRIGATED",'Data(perSeason,perCrop)'!$O:$O,'Indicators(perCrop)'!BG$4)</f>
        <v>#DIV/0!</v>
      </c>
      <c r="BH33" s="7" t="str">
        <f t="shared" si="24"/>
        <v/>
      </c>
      <c r="BI33" s="7" t="str">
        <f t="shared" si="21"/>
        <v/>
      </c>
      <c r="BJ33" s="7" t="str">
        <f t="shared" si="22"/>
        <v/>
      </c>
      <c r="BK33" s="25" t="e">
        <f>AVERAGEIFS('Data(perCrop)'!F:F,'Data(perCrop)'!$B:$B,A33)</f>
        <v>#DIV/0!</v>
      </c>
      <c r="BL33" s="8" t="str">
        <f t="shared" si="2"/>
        <v/>
      </c>
      <c r="BM33" s="32" t="str">
        <f t="shared" si="3"/>
        <v/>
      </c>
    </row>
    <row r="34" spans="1:65" x14ac:dyDescent="0.25">
      <c r="A34" s="9" t="s">
        <v>134</v>
      </c>
      <c r="B34">
        <v>44</v>
      </c>
      <c r="C34" s="7" t="str">
        <f>IF(AND(ISNUMBER(AVERAGEIFS('Data(perCrop)'!$A:$A,'Data(perCrop)'!$B:$B,$A34,'Data(perCrop)'!$H:$H,$A$3,'Data(perCrop)'!$O:$O,'Indicators(perCrop)'!C$4)),$B34&lt;&gt;14,$B34&lt;&gt;15),AVERAGEIFS('Data(perCrop)'!$A:$A,'Data(perCrop)'!$B:$B,$A34,'Data(perCrop)'!$H:$H,$A$3,'Data(perCrop)'!$O:$O,'Indicators(perCrop)'!C$4),"")</f>
        <v/>
      </c>
      <c r="D34" s="7" t="str">
        <f>IF(AND(ISNUMBER(AVERAGEIFS('Data(perCrop)'!$A:$A,'Data(perCrop)'!$B:$B,$A34,'Data(perCrop)'!$H:$H,$A$3,'Data(perCrop)'!$O:$O,'Indicators(perCrop)'!D$4)),$B34&lt;&gt;14,$B34&lt;&gt;15),AVERAGEIFS('Data(perCrop)'!$A:$A,'Data(perCrop)'!$B:$B,$A34,'Data(perCrop)'!$H:$H,$A$3,'Data(perCrop)'!$O:$O,'Indicators(perCrop)'!D$4),"")</f>
        <v/>
      </c>
      <c r="E34" s="7" t="str">
        <f>IF(AND(ISNUMBER(AVERAGEIFS('Data(perCrop)'!$A:$A,'Data(perCrop)'!$B:$B,$A34,'Data(perCrop)'!$H:$H,$A$3,'Data(perCrop)'!$O:$O,'Indicators(perCrop)'!E$4)),$B34&lt;&gt;14,$B34&lt;&gt;15),AVERAGEIFS('Data(perCrop)'!$A:$A,'Data(perCrop)'!$B:$B,$A34,'Data(perCrop)'!$H:$H,$A$3,'Data(perCrop)'!$O:$O,'Indicators(perCrop)'!E$4),"")</f>
        <v/>
      </c>
      <c r="F34" s="7" t="str">
        <f>IF(AND(ISNUMBER(AVERAGEIFS('Data(perCrop)'!$A:$A,'Data(perCrop)'!$B:$B,$A34,'Data(perCrop)'!$H:$H,$A$3,'Data(perCrop)'!$O:$O,'Indicators(perCrop)'!F$4)),$B34&lt;&gt;14,$B34&lt;&gt;15),AVERAGEIFS('Data(perCrop)'!$A:$A,'Data(perCrop)'!$B:$B,$A34,'Data(perCrop)'!$H:$H,$A$3,'Data(perCrop)'!$O:$O,'Indicators(perCrop)'!F$4),"")</f>
        <v/>
      </c>
      <c r="G34" s="7" t="str">
        <f>IF(AND(ISNUMBER(AVERAGEIFS('Data(perCrop)'!$A:$A,'Data(perCrop)'!$B:$B,$A34,'Data(perCrop)'!$H:$H,$A$3,'Data(perCrop)'!$O:$O,'Indicators(perCrop)'!G$4)),$B34&lt;&gt;14,$B34&lt;&gt;15),AVERAGEIFS('Data(perCrop)'!$A:$A,'Data(perCrop)'!$B:$B,$A34,'Data(perCrop)'!$H:$H,$A$3,'Data(perCrop)'!$O:$O,'Indicators(perCrop)'!G$4),"")</f>
        <v/>
      </c>
      <c r="H34" s="7" t="str">
        <f t="shared" si="4"/>
        <v/>
      </c>
      <c r="I34" s="32" t="str">
        <f t="shared" si="5"/>
        <v/>
      </c>
      <c r="J34" s="7" t="e">
        <f>AVERAGEIFS('Data(perCrop)'!$D:$D,'Data(perCrop)'!$B:$B,$A34,'Data(perCrop)'!$H:$H,$A$3,'Data(perCrop)'!$O:$O,'Indicators(perCrop)'!C$4)</f>
        <v>#DIV/0!</v>
      </c>
      <c r="K34" s="7" t="e">
        <f>AVERAGEIFS('Data(perCrop)'!$D:$D,'Data(perCrop)'!$B:$B,$A34,'Data(perCrop)'!$H:$H,$A$3,'Data(perCrop)'!$O:$O,'Indicators(perCrop)'!D$4)</f>
        <v>#DIV/0!</v>
      </c>
      <c r="L34" s="7" t="e">
        <f>AVERAGEIFS('Data(perCrop)'!$D:$D,'Data(perCrop)'!$B:$B,$A34,'Data(perCrop)'!$H:$H,$A$3,'Data(perCrop)'!$O:$O,'Indicators(perCrop)'!E$4)</f>
        <v>#DIV/0!</v>
      </c>
      <c r="M34" s="7" t="e">
        <f>AVERAGEIFS('Data(perCrop)'!$D:$D,'Data(perCrop)'!$B:$B,$A34,'Data(perCrop)'!$H:$H,$A$3,'Data(perCrop)'!$O:$O,'Indicators(perCrop)'!F$4)</f>
        <v>#DIV/0!</v>
      </c>
      <c r="N34" s="7" t="e">
        <f>AVERAGEIFS('Data(perCrop)'!$D:$D,'Data(perCrop)'!$B:$B,$A34,'Data(perCrop)'!$H:$H,$A$3,'Data(perCrop)'!$O:$O,'Indicators(perCrop)'!G$4)</f>
        <v>#DIV/0!</v>
      </c>
      <c r="O34" s="7" t="e">
        <f t="shared" si="6"/>
        <v>#DIV/0!</v>
      </c>
      <c r="P34" s="7" t="e">
        <f>AVERAGEIFS('Data(perCrop)'!$E:$E,'Data(perCrop)'!$B:$B,$A34,'Data(perCrop)'!$H:$H,$A$3,'Data(perCrop)'!$O:$O,'Indicators(perCrop)'!J$4)</f>
        <v>#DIV/0!</v>
      </c>
      <c r="Q34" s="7" t="e">
        <f>AVERAGEIFS('Data(perCrop)'!$E:$E,'Data(perCrop)'!$B:$B,$A34,'Data(perCrop)'!$H:$H,$A$3,'Data(perCrop)'!$O:$O,'Indicators(perCrop)'!K$4)</f>
        <v>#DIV/0!</v>
      </c>
      <c r="R34" s="7" t="e">
        <f>AVERAGEIFS('Data(perCrop)'!$E:$E,'Data(perCrop)'!$B:$B,$A34,'Data(perCrop)'!$H:$H,$A$3,'Data(perCrop)'!$O:$O,'Indicators(perCrop)'!L$4)</f>
        <v>#DIV/0!</v>
      </c>
      <c r="S34" s="7" t="e">
        <f>AVERAGEIFS('Data(perCrop)'!$E:$E,'Data(perCrop)'!$B:$B,$A34,'Data(perCrop)'!$H:$H,$A$3,'Data(perCrop)'!$O:$O,'Indicators(perCrop)'!M$4)</f>
        <v>#DIV/0!</v>
      </c>
      <c r="T34" s="7" t="e">
        <f>AVERAGEIFS('Data(perCrop)'!$E:$E,'Data(perCrop)'!$B:$B,$A34,'Data(perCrop)'!$H:$H,$A$3,'Data(perCrop)'!$O:$O,'Indicators(perCrop)'!N$4)</f>
        <v>#DIV/0!</v>
      </c>
      <c r="U34" s="7" t="e">
        <f t="shared" si="7"/>
        <v>#DIV/0!</v>
      </c>
      <c r="V34" s="8" t="str">
        <f t="shared" si="8"/>
        <v/>
      </c>
      <c r="W34" s="8" t="str">
        <f t="shared" si="9"/>
        <v/>
      </c>
      <c r="X34" s="8" t="str">
        <f>IF(AND(ISNUMBER(L34),$B34&lt;&gt;14,$B34&lt;&gt;15),1-L34/R34,"")</f>
        <v/>
      </c>
      <c r="Y34" s="8" t="str">
        <f t="shared" si="11"/>
        <v/>
      </c>
      <c r="Z34" s="8" t="str">
        <f t="shared" si="12"/>
        <v/>
      </c>
      <c r="AA34" s="8" t="e">
        <f t="shared" si="25"/>
        <v>#DIV/0!</v>
      </c>
      <c r="AB34" s="8" t="str">
        <f>IF(AND(ISNUMBER(J34),$B34&lt;&gt;14,$B34&lt;&gt;15),(AVERAGEIFS('Data(perCrop)'!$L:$L,'Data(perCrop)'!$B:$B,'Indicators(perCrop)'!$A34,'Data(perCrop)'!$O:$O,'Indicators(perCrop)'!AB$4,'Data(perCrop)'!$H:$H,'Indicators(perCrop)'!$A$3)-AVERAGEIFS('Data(perCrop)'!$K:$K,'Data(perCrop)'!$B:$B,'Indicators(perCrop)'!$A34,'Data(perCrop)'!$O:$O,'Indicators(perCrop)'!AB$4,'Data(perCrop)'!$H:$H,'Indicators(perCrop)'!$A$3))/AVERAGEIFS('Data(perCrop)'!$L:$L,'Data(perCrop)'!$B:$B,'Indicators(perCrop)'!$A34,'Data(perCrop)'!$O:$O,'Indicators(perCrop)'!AB$4,'Data(perCrop)'!$H:$H,'Indicators(perCrop)'!$A$3),"")</f>
        <v/>
      </c>
      <c r="AC34" s="8" t="str">
        <f>IF(AND(ISNUMBER(K34),$B34&lt;&gt;14,$B34&lt;&gt;15),(AVERAGEIFS('Data(perCrop)'!$L:$L,'Data(perCrop)'!$B:$B,'Indicators(perCrop)'!$A34,'Data(perCrop)'!$O:$O,'Indicators(perCrop)'!AC$4,'Data(perCrop)'!$H:$H,'Indicators(perCrop)'!$A$3)-AVERAGEIFS('Data(perCrop)'!$K:$K,'Data(perCrop)'!$B:$B,'Indicators(perCrop)'!$A34,'Data(perCrop)'!$O:$O,'Indicators(perCrop)'!AC$4,'Data(perCrop)'!$H:$H,'Indicators(perCrop)'!$A$3))/AVERAGEIFS('Data(perCrop)'!$L:$L,'Data(perCrop)'!$B:$B,'Indicators(perCrop)'!$A34,'Data(perCrop)'!$O:$O,'Indicators(perCrop)'!AC$4,'Data(perCrop)'!$H:$H,'Indicators(perCrop)'!$A$3),"")</f>
        <v/>
      </c>
      <c r="AD34" s="8" t="str">
        <f>IF(AND(ISNUMBER(L34),$B34&lt;&gt;14,$B34&lt;&gt;15),(AVERAGEIFS('Data(perCrop)'!$L:$L,'Data(perCrop)'!$B:$B,'Indicators(perCrop)'!$A34,'Data(perCrop)'!$O:$O,'Indicators(perCrop)'!AD$4,'Data(perCrop)'!$H:$H,'Indicators(perCrop)'!$A$3)-AVERAGEIFS('Data(perCrop)'!$K:$K,'Data(perCrop)'!$B:$B,'Indicators(perCrop)'!$A34,'Data(perCrop)'!$O:$O,'Indicators(perCrop)'!AD$4,'Data(perCrop)'!$H:$H,'Indicators(perCrop)'!$A$3))/AVERAGEIFS('Data(perCrop)'!$L:$L,'Data(perCrop)'!$B:$B,'Indicators(perCrop)'!$A34,'Data(perCrop)'!$O:$O,'Indicators(perCrop)'!AD$4,'Data(perCrop)'!$H:$H,'Indicators(perCrop)'!$A$3),"")</f>
        <v/>
      </c>
      <c r="AE34" s="8" t="str">
        <f>IF(AND(ISNUMBER(M34),$B34&lt;&gt;14,$B34&lt;&gt;15),(AVERAGEIFS('Data(perCrop)'!$L:$L,'Data(perCrop)'!$B:$B,'Indicators(perCrop)'!$A34,'Data(perCrop)'!$O:$O,'Indicators(perCrop)'!AE$4,'Data(perCrop)'!$H:$H,'Indicators(perCrop)'!$A$3)-AVERAGEIFS('Data(perCrop)'!$K:$K,'Data(perCrop)'!$B:$B,'Indicators(perCrop)'!$A34,'Data(perCrop)'!$O:$O,'Indicators(perCrop)'!AE$4,'Data(perCrop)'!$H:$H,'Indicators(perCrop)'!$A$3))/AVERAGEIFS('Data(perCrop)'!$L:$L,'Data(perCrop)'!$B:$B,'Indicators(perCrop)'!$A34,'Data(perCrop)'!$O:$O,'Indicators(perCrop)'!AE$4,'Data(perCrop)'!$H:$H,'Indicators(perCrop)'!$A$3),"")</f>
        <v/>
      </c>
      <c r="AF34" s="8" t="str">
        <f>IF(AND(ISNUMBER(N34),$B34&lt;&gt;14,$B34&lt;&gt;15),(AVERAGEIFS('Data(perCrop)'!$L:$L,'Data(perCrop)'!$B:$B,'Indicators(perCrop)'!$A34,'Data(perCrop)'!$O:$O,'Indicators(perCrop)'!AF$4,'Data(perCrop)'!$H:$H,'Indicators(perCrop)'!$A$3)-AVERAGEIFS('Data(perCrop)'!$K:$K,'Data(perCrop)'!$B:$B,'Indicators(perCrop)'!$A34,'Data(perCrop)'!$O:$O,'Indicators(perCrop)'!AF$4,'Data(perCrop)'!$H:$H,'Indicators(perCrop)'!$A$3))/AVERAGEIFS('Data(perCrop)'!$L:$L,'Data(perCrop)'!$B:$B,'Indicators(perCrop)'!$A34,'Data(perCrop)'!$O:$O,'Indicators(perCrop)'!AF$4,'Data(perCrop)'!$H:$H,'Indicators(perCrop)'!$A$3),"")</f>
        <v/>
      </c>
      <c r="AG34" s="8" t="e">
        <f t="shared" si="13"/>
        <v>#DIV/0!</v>
      </c>
      <c r="AH34" s="8" t="str">
        <f>IF(AND(ISNUMBER(J34),$B34&lt;&gt;14,$B34&lt;&gt;15),AVERAGEIFS('Data(perSeason,perCrop)'!$M:$M,'Data(perSeason,perCrop)'!$K:$K,'Indicators(perCrop)'!$A$3,'Data(perSeason,perCrop)'!$C:$C,'Indicators(perCrop)'!$A34,'Data(perSeason,perCrop)'!$S:$S,'Indicators(perCrop)'!AH$4,'Data(perSeason,perCrop)'!$R:$R,"IRRIGATED")-AVERAGEIFS('Data(perSeason,perCrop)'!$N:$N,'Data(perSeason,perCrop)'!$K:$K,'Indicators(perCrop)'!$A$3,'Data(perSeason,perCrop)'!$C:$C,'Indicators(perCrop)'!$A34,'Data(perSeason,perCrop)'!$S:$S,'Indicators(perCrop)'!AH$4,'Data(perSeason,perCrop)'!$R:$R,"IRRIGATED"),"")</f>
        <v/>
      </c>
      <c r="AI34" s="8" t="str">
        <f>IF(AND(ISNUMBER(K34),$B34&lt;&gt;14,$B34&lt;&gt;15),AVERAGEIFS('Data(perSeason,perCrop)'!$M:$M,'Data(perSeason,perCrop)'!$K:$K,'Indicators(perCrop)'!$A$3,'Data(perSeason,perCrop)'!$C:$C,'Indicators(perCrop)'!$A34,'Data(perSeason,perCrop)'!$S:$S,'Indicators(perCrop)'!AI$4,'Data(perSeason,perCrop)'!$R:$R,"IRRIGATED")-AVERAGEIFS('Data(perSeason,perCrop)'!$N:$N,'Data(perSeason,perCrop)'!$K:$K,'Indicators(perCrop)'!$A$3,'Data(perSeason,perCrop)'!$C:$C,'Indicators(perCrop)'!$A34,'Data(perSeason,perCrop)'!$S:$S,'Indicators(perCrop)'!AI$4,'Data(perSeason,perCrop)'!$R:$R,"IRRIGATED"),"")</f>
        <v/>
      </c>
      <c r="AJ34" s="8" t="str">
        <f>IF(AND(ISNUMBER(L34),$B34&lt;&gt;14,$B34&lt;&gt;15),AVERAGEIFS('Data(perSeason,perCrop)'!$M:$M,'Data(perSeason,perCrop)'!$K:$K,'Indicators(perCrop)'!$A$3,'Data(perSeason,perCrop)'!$C:$C,'Indicators(perCrop)'!$A34,'Data(perSeason,perCrop)'!$S:$S,'Indicators(perCrop)'!AJ$4,'Data(perSeason,perCrop)'!$R:$R,"IRRIGATED")-AVERAGEIFS('Data(perSeason,perCrop)'!$N:$N,'Data(perSeason,perCrop)'!$K:$K,'Indicators(perCrop)'!$A$3,'Data(perSeason,perCrop)'!$C:$C,'Indicators(perCrop)'!$A34,'Data(perSeason,perCrop)'!$S:$S,'Indicators(perCrop)'!AJ$4,'Data(perSeason,perCrop)'!$R:$R,"IRRIGATED"),"")</f>
        <v/>
      </c>
      <c r="AK34" s="8" t="str">
        <f>IF(AND(ISNUMBER(M34),$B34&lt;&gt;14,$B34&lt;&gt;15),AVERAGEIFS('Data(perSeason,perCrop)'!$M:$M,'Data(perSeason,perCrop)'!$K:$K,'Indicators(perCrop)'!$A$3,'Data(perSeason,perCrop)'!$C:$C,'Indicators(perCrop)'!$A34,'Data(perSeason,perCrop)'!$S:$S,'Indicators(perCrop)'!AK$4,'Data(perSeason,perCrop)'!$R:$R,"IRRIGATED")-AVERAGEIFS('Data(perSeason,perCrop)'!$N:$N,'Data(perSeason,perCrop)'!$K:$K,'Indicators(perCrop)'!$A$3,'Data(perSeason,perCrop)'!$C:$C,'Indicators(perCrop)'!$A34,'Data(perSeason,perCrop)'!$S:$S,'Indicators(perCrop)'!AK$4,'Data(perSeason,perCrop)'!$R:$R,"IRRIGATED"),"")</f>
        <v/>
      </c>
      <c r="AL34" s="8" t="str">
        <f>IF(AND(ISNUMBER(N34),$B34&lt;&gt;14,$B34&lt;&gt;15),AVERAGEIFS('Data(perSeason,perCrop)'!$M:$M,'Data(perSeason,perCrop)'!$K:$K,'Indicators(perCrop)'!$A$3,'Data(perSeason,perCrop)'!$C:$C,'Indicators(perCrop)'!$A34,'Data(perSeason,perCrop)'!$S:$S,'Indicators(perCrop)'!AL$4,'Data(perSeason,perCrop)'!$R:$R,"IRRIGATED")-AVERAGEIFS('Data(perSeason,perCrop)'!$N:$N,'Data(perSeason,perCrop)'!$K:$K,'Indicators(perCrop)'!$A$3,'Data(perSeason,perCrop)'!$C:$C,'Indicators(perCrop)'!$A34,'Data(perSeason,perCrop)'!$S:$S,'Indicators(perCrop)'!AL$4,'Data(perSeason,perCrop)'!$R:$R,"IRRIGATED"),"")</f>
        <v/>
      </c>
      <c r="AM34" s="8" t="e">
        <f t="shared" si="14"/>
        <v>#DIV/0!</v>
      </c>
      <c r="AN34" s="7" t="e">
        <f>AVERAGEIFS('Data(perCrop)'!$K:$K,'Data(perCrop)'!$B:$B,$A34,'Data(perCrop)'!$H:$H,$A$3,'Data(perCrop)'!$O:$O,'Indicators(perCrop)'!C$4)</f>
        <v>#DIV/0!</v>
      </c>
      <c r="AO34" s="7" t="e">
        <f>AVERAGEIFS('Data(perCrop)'!$K:$K,'Data(perCrop)'!$B:$B,$A34,'Data(perCrop)'!$H:$H,$A$3,'Data(perCrop)'!$O:$O,'Indicators(perCrop)'!D$4)</f>
        <v>#DIV/0!</v>
      </c>
      <c r="AP34" s="7" t="e">
        <f>AVERAGEIFS('Data(perCrop)'!$K:$K,'Data(perCrop)'!$B:$B,$A34,'Data(perCrop)'!$H:$H,$A$3,'Data(perCrop)'!$O:$O,'Indicators(perCrop)'!E$4)</f>
        <v>#DIV/0!</v>
      </c>
      <c r="AQ34" s="7" t="e">
        <f>AVERAGEIFS('Data(perCrop)'!$K:$K,'Data(perCrop)'!$B:$B,$A34,'Data(perCrop)'!$H:$H,$A$3,'Data(perCrop)'!$O:$O,'Indicators(perCrop)'!F$4)</f>
        <v>#DIV/0!</v>
      </c>
      <c r="AR34" s="7" t="e">
        <f>AVERAGEIFS('Data(perCrop)'!$K:$K,'Data(perCrop)'!$B:$B,$A34,'Data(perCrop)'!$H:$H,$A$3,'Data(perCrop)'!$O:$O,'Indicators(perCrop)'!G$4)</f>
        <v>#DIV/0!</v>
      </c>
      <c r="AS34" s="8" t="e">
        <f t="shared" si="15"/>
        <v>#DIV/0!</v>
      </c>
      <c r="AT34" s="50"/>
      <c r="AU34" s="50"/>
      <c r="AV34" s="50"/>
      <c r="AW34" s="50"/>
      <c r="AX34" s="50"/>
      <c r="AY34" s="50"/>
      <c r="AZ34" s="50"/>
      <c r="BA34" s="8"/>
      <c r="BB34" s="7">
        <f>SUMIFS('Data(perSeason,perCrop)'!$A:$A,'Data(perSeason,perCrop)'!$C:$C,'Indicators(perCrop)'!$A34,'Data(perSeason,perCrop)'!$R:$R,"IRRIGATED",'Data(perSeason,perCrop)'!$O:$O,'Indicators(perCrop)'!BB$4)/5</f>
        <v>0</v>
      </c>
      <c r="BC34" s="7">
        <f>SUMIFS('Data(perSeason,perCrop)'!$A:$A,'Data(perSeason,perCrop)'!$C:$C,'Indicators(perCrop)'!$A34,'Data(perSeason,perCrop)'!$R:$R,"IRRIGATED",'Data(perSeason,perCrop)'!$O:$O,'Indicators(perCrop)'!BC$4)/5</f>
        <v>0</v>
      </c>
      <c r="BD34" s="7">
        <f>SUMIFS('Data(perSeason,perCrop)'!$A:$A,'Data(perSeason,perCrop)'!$C:$C,'Indicators(perCrop)'!$A34,'Data(perSeason,perCrop)'!$R:$R,"IRRIGATED",'Data(perSeason,perCrop)'!$O:$O,'Indicators(perCrop)'!BD$4)/5</f>
        <v>0</v>
      </c>
      <c r="BE34" s="7" t="e">
        <f>AVERAGEIFS('Data(perSeason,perCrop)'!$G:$G,'Data(perSeason,perCrop)'!$C:$C,'Indicators(perCrop)'!$A34,'Data(perSeason,perCrop)'!$R:$R,"IRRIGATED",'Data(perSeason,perCrop)'!$O:$O,'Indicators(perCrop)'!BE$4)</f>
        <v>#DIV/0!</v>
      </c>
      <c r="BF34" s="7" t="e">
        <f>AVERAGEIFS('Data(perSeason,perCrop)'!$G:$G,'Data(perSeason,perCrop)'!$C:$C,'Indicators(perCrop)'!$A34,'Data(perSeason,perCrop)'!$R:$R,"IRRIGATED",'Data(perSeason,perCrop)'!$O:$O,'Indicators(perCrop)'!BF$4)</f>
        <v>#DIV/0!</v>
      </c>
      <c r="BG34" s="7" t="e">
        <f>AVERAGEIFS('Data(perSeason,perCrop)'!$G:$G,'Data(perSeason,perCrop)'!$C:$C,'Indicators(perCrop)'!$A34,'Data(perSeason,perCrop)'!$R:$R,"IRRIGATED",'Data(perSeason,perCrop)'!$O:$O,'Indicators(perCrop)'!BG$4)</f>
        <v>#DIV/0!</v>
      </c>
      <c r="BH34" s="7" t="str">
        <f t="shared" si="24"/>
        <v/>
      </c>
      <c r="BI34" s="7" t="str">
        <f t="shared" si="21"/>
        <v/>
      </c>
      <c r="BJ34" s="7" t="str">
        <f t="shared" si="22"/>
        <v/>
      </c>
      <c r="BK34" s="25" t="e">
        <f>AVERAGEIFS('Data(perCrop)'!F:F,'Data(perCrop)'!$B:$B,A34)</f>
        <v>#DIV/0!</v>
      </c>
      <c r="BL34" s="8" t="str">
        <f t="shared" si="2"/>
        <v/>
      </c>
      <c r="BM34" s="32" t="str">
        <f t="shared" si="3"/>
        <v/>
      </c>
    </row>
    <row r="35" spans="1:65" x14ac:dyDescent="0.25">
      <c r="A35" s="9" t="s">
        <v>131</v>
      </c>
      <c r="B35">
        <v>45</v>
      </c>
      <c r="C35" s="7" t="str">
        <f>IF(AND(ISNUMBER(AVERAGEIFS('Data(perCrop)'!$A:$A,'Data(perCrop)'!$B:$B,$A35,'Data(perCrop)'!$H:$H,$A$3,'Data(perCrop)'!$O:$O,'Indicators(perCrop)'!C$4)),$B35&lt;&gt;14,$B35&lt;&gt;15),AVERAGEIFS('Data(perCrop)'!$A:$A,'Data(perCrop)'!$B:$B,$A35,'Data(perCrop)'!$H:$H,$A$3,'Data(perCrop)'!$O:$O,'Indicators(perCrop)'!C$4),"")</f>
        <v/>
      </c>
      <c r="D35" s="7" t="str">
        <f>IF(AND(ISNUMBER(AVERAGEIFS('Data(perCrop)'!$A:$A,'Data(perCrop)'!$B:$B,$A35,'Data(perCrop)'!$H:$H,$A$3,'Data(perCrop)'!$O:$O,'Indicators(perCrop)'!D$4)),$B35&lt;&gt;14,$B35&lt;&gt;15),AVERAGEIFS('Data(perCrop)'!$A:$A,'Data(perCrop)'!$B:$B,$A35,'Data(perCrop)'!$H:$H,$A$3,'Data(perCrop)'!$O:$O,'Indicators(perCrop)'!D$4),"")</f>
        <v/>
      </c>
      <c r="E35" s="7" t="str">
        <f>IF(AND(ISNUMBER(AVERAGEIFS('Data(perCrop)'!$A:$A,'Data(perCrop)'!$B:$B,$A35,'Data(perCrop)'!$H:$H,$A$3,'Data(perCrop)'!$O:$O,'Indicators(perCrop)'!E$4)),$B35&lt;&gt;14,$B35&lt;&gt;15),AVERAGEIFS('Data(perCrop)'!$A:$A,'Data(perCrop)'!$B:$B,$A35,'Data(perCrop)'!$H:$H,$A$3,'Data(perCrop)'!$O:$O,'Indicators(perCrop)'!E$4),"")</f>
        <v/>
      </c>
      <c r="F35" s="7" t="str">
        <f>IF(AND(ISNUMBER(AVERAGEIFS('Data(perCrop)'!$A:$A,'Data(perCrop)'!$B:$B,$A35,'Data(perCrop)'!$H:$H,$A$3,'Data(perCrop)'!$O:$O,'Indicators(perCrop)'!F$4)),$B35&lt;&gt;14,$B35&lt;&gt;15),AVERAGEIFS('Data(perCrop)'!$A:$A,'Data(perCrop)'!$B:$B,$A35,'Data(perCrop)'!$H:$H,$A$3,'Data(perCrop)'!$O:$O,'Indicators(perCrop)'!F$4),"")</f>
        <v/>
      </c>
      <c r="G35" s="7" t="str">
        <f>IF(AND(ISNUMBER(AVERAGEIFS('Data(perCrop)'!$A:$A,'Data(perCrop)'!$B:$B,$A35,'Data(perCrop)'!$H:$H,$A$3,'Data(perCrop)'!$O:$O,'Indicators(perCrop)'!G$4)),$B35&lt;&gt;14,$B35&lt;&gt;15),AVERAGEIFS('Data(perCrop)'!$A:$A,'Data(perCrop)'!$B:$B,$A35,'Data(perCrop)'!$H:$H,$A$3,'Data(perCrop)'!$O:$O,'Indicators(perCrop)'!G$4),"")</f>
        <v/>
      </c>
      <c r="H35" s="7" t="str">
        <f t="shared" si="4"/>
        <v/>
      </c>
      <c r="I35" s="32" t="str">
        <f t="shared" si="5"/>
        <v/>
      </c>
      <c r="J35" s="7" t="e">
        <f>AVERAGEIFS('Data(perCrop)'!$D:$D,'Data(perCrop)'!$B:$B,$A35,'Data(perCrop)'!$H:$H,$A$3,'Data(perCrop)'!$O:$O,'Indicators(perCrop)'!C$4)</f>
        <v>#DIV/0!</v>
      </c>
      <c r="K35" s="7" t="e">
        <f>AVERAGEIFS('Data(perCrop)'!$D:$D,'Data(perCrop)'!$B:$B,$A35,'Data(perCrop)'!$H:$H,$A$3,'Data(perCrop)'!$O:$O,'Indicators(perCrop)'!D$4)</f>
        <v>#DIV/0!</v>
      </c>
      <c r="L35" s="7" t="e">
        <f>AVERAGEIFS('Data(perCrop)'!$D:$D,'Data(perCrop)'!$B:$B,$A35,'Data(perCrop)'!$H:$H,$A$3,'Data(perCrop)'!$O:$O,'Indicators(perCrop)'!E$4)</f>
        <v>#DIV/0!</v>
      </c>
      <c r="M35" s="7" t="e">
        <f>AVERAGEIFS('Data(perCrop)'!$D:$D,'Data(perCrop)'!$B:$B,$A35,'Data(perCrop)'!$H:$H,$A$3,'Data(perCrop)'!$O:$O,'Indicators(perCrop)'!F$4)</f>
        <v>#DIV/0!</v>
      </c>
      <c r="N35" s="7" t="e">
        <f>AVERAGEIFS('Data(perCrop)'!$D:$D,'Data(perCrop)'!$B:$B,$A35,'Data(perCrop)'!$H:$H,$A$3,'Data(perCrop)'!$O:$O,'Indicators(perCrop)'!G$4)</f>
        <v>#DIV/0!</v>
      </c>
      <c r="O35" s="7" t="e">
        <f t="shared" si="6"/>
        <v>#DIV/0!</v>
      </c>
      <c r="P35" s="7" t="e">
        <f>AVERAGEIFS('Data(perCrop)'!$E:$E,'Data(perCrop)'!$B:$B,$A35,'Data(perCrop)'!$H:$H,$A$3,'Data(perCrop)'!$O:$O,'Indicators(perCrop)'!J$4)</f>
        <v>#DIV/0!</v>
      </c>
      <c r="Q35" s="7" t="e">
        <f>AVERAGEIFS('Data(perCrop)'!$E:$E,'Data(perCrop)'!$B:$B,$A35,'Data(perCrop)'!$H:$H,$A$3,'Data(perCrop)'!$O:$O,'Indicators(perCrop)'!K$4)</f>
        <v>#DIV/0!</v>
      </c>
      <c r="R35" s="7" t="e">
        <f>AVERAGEIFS('Data(perCrop)'!$E:$E,'Data(perCrop)'!$B:$B,$A35,'Data(perCrop)'!$H:$H,$A$3,'Data(perCrop)'!$O:$O,'Indicators(perCrop)'!L$4)</f>
        <v>#DIV/0!</v>
      </c>
      <c r="S35" s="7" t="e">
        <f>AVERAGEIFS('Data(perCrop)'!$E:$E,'Data(perCrop)'!$B:$B,$A35,'Data(perCrop)'!$H:$H,$A$3,'Data(perCrop)'!$O:$O,'Indicators(perCrop)'!M$4)</f>
        <v>#DIV/0!</v>
      </c>
      <c r="T35" s="7" t="e">
        <f>AVERAGEIFS('Data(perCrop)'!$E:$E,'Data(perCrop)'!$B:$B,$A35,'Data(perCrop)'!$H:$H,$A$3,'Data(perCrop)'!$O:$O,'Indicators(perCrop)'!N$4)</f>
        <v>#DIV/0!</v>
      </c>
      <c r="U35" s="7" t="e">
        <f t="shared" si="7"/>
        <v>#DIV/0!</v>
      </c>
      <c r="V35" s="8" t="str">
        <f t="shared" si="8"/>
        <v/>
      </c>
      <c r="W35" s="8" t="str">
        <f t="shared" si="9"/>
        <v/>
      </c>
      <c r="X35" s="8" t="str">
        <f t="shared" si="10"/>
        <v/>
      </c>
      <c r="Y35" s="8" t="str">
        <f t="shared" si="11"/>
        <v/>
      </c>
      <c r="Z35" s="8" t="str">
        <f>IF(AND(ISNUMBER(N35),$B35&lt;&gt;14,$B35&lt;&gt;15),1-N35/T35,"")</f>
        <v/>
      </c>
      <c r="AA35" s="8" t="e">
        <f t="shared" si="25"/>
        <v>#DIV/0!</v>
      </c>
      <c r="AB35" s="8" t="str">
        <f>IF(AND(ISNUMBER(J35),$B35&lt;&gt;14,$B35&lt;&gt;15),(AVERAGEIFS('Data(perCrop)'!$L:$L,'Data(perCrop)'!$B:$B,'Indicators(perCrop)'!$A35,'Data(perCrop)'!$O:$O,'Indicators(perCrop)'!AB$4,'Data(perCrop)'!$H:$H,'Indicators(perCrop)'!$A$3)-AVERAGEIFS('Data(perCrop)'!$K:$K,'Data(perCrop)'!$B:$B,'Indicators(perCrop)'!$A35,'Data(perCrop)'!$O:$O,'Indicators(perCrop)'!AB$4,'Data(perCrop)'!$H:$H,'Indicators(perCrop)'!$A$3))/AVERAGEIFS('Data(perCrop)'!$L:$L,'Data(perCrop)'!$B:$B,'Indicators(perCrop)'!$A35,'Data(perCrop)'!$O:$O,'Indicators(perCrop)'!AB$4,'Data(perCrop)'!$H:$H,'Indicators(perCrop)'!$A$3),"")</f>
        <v/>
      </c>
      <c r="AC35" s="8" t="str">
        <f>IF(AND(ISNUMBER(K35),$B35&lt;&gt;14,$B35&lt;&gt;15),(AVERAGEIFS('Data(perCrop)'!$L:$L,'Data(perCrop)'!$B:$B,'Indicators(perCrop)'!$A35,'Data(perCrop)'!$O:$O,'Indicators(perCrop)'!AC$4,'Data(perCrop)'!$H:$H,'Indicators(perCrop)'!$A$3)-AVERAGEIFS('Data(perCrop)'!$K:$K,'Data(perCrop)'!$B:$B,'Indicators(perCrop)'!$A35,'Data(perCrop)'!$O:$O,'Indicators(perCrop)'!AC$4,'Data(perCrop)'!$H:$H,'Indicators(perCrop)'!$A$3))/AVERAGEIFS('Data(perCrop)'!$L:$L,'Data(perCrop)'!$B:$B,'Indicators(perCrop)'!$A35,'Data(perCrop)'!$O:$O,'Indicators(perCrop)'!AC$4,'Data(perCrop)'!$H:$H,'Indicators(perCrop)'!$A$3),"")</f>
        <v/>
      </c>
      <c r="AD35" s="8" t="str">
        <f>IF(AND(ISNUMBER(L35),$B35&lt;&gt;14,$B35&lt;&gt;15),(AVERAGEIFS('Data(perCrop)'!$L:$L,'Data(perCrop)'!$B:$B,'Indicators(perCrop)'!$A35,'Data(perCrop)'!$O:$O,'Indicators(perCrop)'!AD$4,'Data(perCrop)'!$H:$H,'Indicators(perCrop)'!$A$3)-AVERAGEIFS('Data(perCrop)'!$K:$K,'Data(perCrop)'!$B:$B,'Indicators(perCrop)'!$A35,'Data(perCrop)'!$O:$O,'Indicators(perCrop)'!AD$4,'Data(perCrop)'!$H:$H,'Indicators(perCrop)'!$A$3))/AVERAGEIFS('Data(perCrop)'!$L:$L,'Data(perCrop)'!$B:$B,'Indicators(perCrop)'!$A35,'Data(perCrop)'!$O:$O,'Indicators(perCrop)'!AD$4,'Data(perCrop)'!$H:$H,'Indicators(perCrop)'!$A$3),"")</f>
        <v/>
      </c>
      <c r="AE35" s="8" t="str">
        <f>IF(AND(ISNUMBER(M35),$B35&lt;&gt;14,$B35&lt;&gt;15),(AVERAGEIFS('Data(perCrop)'!$L:$L,'Data(perCrop)'!$B:$B,'Indicators(perCrop)'!$A35,'Data(perCrop)'!$O:$O,'Indicators(perCrop)'!AE$4,'Data(perCrop)'!$H:$H,'Indicators(perCrop)'!$A$3)-AVERAGEIFS('Data(perCrop)'!$K:$K,'Data(perCrop)'!$B:$B,'Indicators(perCrop)'!$A35,'Data(perCrop)'!$O:$O,'Indicators(perCrop)'!AE$4,'Data(perCrop)'!$H:$H,'Indicators(perCrop)'!$A$3))/AVERAGEIFS('Data(perCrop)'!$L:$L,'Data(perCrop)'!$B:$B,'Indicators(perCrop)'!$A35,'Data(perCrop)'!$O:$O,'Indicators(perCrop)'!AE$4,'Data(perCrop)'!$H:$H,'Indicators(perCrop)'!$A$3),"")</f>
        <v/>
      </c>
      <c r="AF35" s="8" t="str">
        <f>IF(AND(ISNUMBER(N35),$B35&lt;&gt;14,$B35&lt;&gt;15),(AVERAGEIFS('Data(perCrop)'!$L:$L,'Data(perCrop)'!$B:$B,'Indicators(perCrop)'!$A35,'Data(perCrop)'!$O:$O,'Indicators(perCrop)'!AF$4,'Data(perCrop)'!$H:$H,'Indicators(perCrop)'!$A$3)-AVERAGEIFS('Data(perCrop)'!$K:$K,'Data(perCrop)'!$B:$B,'Indicators(perCrop)'!$A35,'Data(perCrop)'!$O:$O,'Indicators(perCrop)'!AF$4,'Data(perCrop)'!$H:$H,'Indicators(perCrop)'!$A$3))/AVERAGEIFS('Data(perCrop)'!$L:$L,'Data(perCrop)'!$B:$B,'Indicators(perCrop)'!$A35,'Data(perCrop)'!$O:$O,'Indicators(perCrop)'!AF$4,'Data(perCrop)'!$H:$H,'Indicators(perCrop)'!$A$3),"")</f>
        <v/>
      </c>
      <c r="AG35" s="8" t="e">
        <f t="shared" si="13"/>
        <v>#DIV/0!</v>
      </c>
      <c r="AH35" s="8" t="str">
        <f>IF(AND(ISNUMBER(J35),$B35&lt;&gt;14,$B35&lt;&gt;15),AVERAGEIFS('Data(perSeason,perCrop)'!$M:$M,'Data(perSeason,perCrop)'!$K:$K,'Indicators(perCrop)'!$A$3,'Data(perSeason,perCrop)'!$C:$C,'Indicators(perCrop)'!$A35,'Data(perSeason,perCrop)'!$S:$S,'Indicators(perCrop)'!AH$4,'Data(perSeason,perCrop)'!$R:$R,"IRRIGATED")-AVERAGEIFS('Data(perSeason,perCrop)'!$N:$N,'Data(perSeason,perCrop)'!$K:$K,'Indicators(perCrop)'!$A$3,'Data(perSeason,perCrop)'!$C:$C,'Indicators(perCrop)'!$A35,'Data(perSeason,perCrop)'!$S:$S,'Indicators(perCrop)'!AH$4,'Data(perSeason,perCrop)'!$R:$R,"IRRIGATED"),"")</f>
        <v/>
      </c>
      <c r="AI35" s="8" t="str">
        <f>IF(AND(ISNUMBER(K35),$B35&lt;&gt;14,$B35&lt;&gt;15),AVERAGEIFS('Data(perSeason,perCrop)'!$M:$M,'Data(perSeason,perCrop)'!$K:$K,'Indicators(perCrop)'!$A$3,'Data(perSeason,perCrop)'!$C:$C,'Indicators(perCrop)'!$A35,'Data(perSeason,perCrop)'!$S:$S,'Indicators(perCrop)'!AI$4,'Data(perSeason,perCrop)'!$R:$R,"IRRIGATED")-AVERAGEIFS('Data(perSeason,perCrop)'!$N:$N,'Data(perSeason,perCrop)'!$K:$K,'Indicators(perCrop)'!$A$3,'Data(perSeason,perCrop)'!$C:$C,'Indicators(perCrop)'!$A35,'Data(perSeason,perCrop)'!$S:$S,'Indicators(perCrop)'!AI$4,'Data(perSeason,perCrop)'!$R:$R,"IRRIGATED"),"")</f>
        <v/>
      </c>
      <c r="AJ35" s="8" t="str">
        <f>IF(AND(ISNUMBER(L35),$B35&lt;&gt;14,$B35&lt;&gt;15),AVERAGEIFS('Data(perSeason,perCrop)'!$M:$M,'Data(perSeason,perCrop)'!$K:$K,'Indicators(perCrop)'!$A$3,'Data(perSeason,perCrop)'!$C:$C,'Indicators(perCrop)'!$A35,'Data(perSeason,perCrop)'!$S:$S,'Indicators(perCrop)'!AJ$4,'Data(perSeason,perCrop)'!$R:$R,"IRRIGATED")-AVERAGEIFS('Data(perSeason,perCrop)'!$N:$N,'Data(perSeason,perCrop)'!$K:$K,'Indicators(perCrop)'!$A$3,'Data(perSeason,perCrop)'!$C:$C,'Indicators(perCrop)'!$A35,'Data(perSeason,perCrop)'!$S:$S,'Indicators(perCrop)'!AJ$4,'Data(perSeason,perCrop)'!$R:$R,"IRRIGATED"),"")</f>
        <v/>
      </c>
      <c r="AK35" s="8" t="str">
        <f>IF(AND(ISNUMBER(M35),$B35&lt;&gt;14,$B35&lt;&gt;15),AVERAGEIFS('Data(perSeason,perCrop)'!$M:$M,'Data(perSeason,perCrop)'!$K:$K,'Indicators(perCrop)'!$A$3,'Data(perSeason,perCrop)'!$C:$C,'Indicators(perCrop)'!$A35,'Data(perSeason,perCrop)'!$S:$S,'Indicators(perCrop)'!AK$4,'Data(perSeason,perCrop)'!$R:$R,"IRRIGATED")-AVERAGEIFS('Data(perSeason,perCrop)'!$N:$N,'Data(perSeason,perCrop)'!$K:$K,'Indicators(perCrop)'!$A$3,'Data(perSeason,perCrop)'!$C:$C,'Indicators(perCrop)'!$A35,'Data(perSeason,perCrop)'!$S:$S,'Indicators(perCrop)'!AK$4,'Data(perSeason,perCrop)'!$R:$R,"IRRIGATED"),"")</f>
        <v/>
      </c>
      <c r="AL35" s="8" t="str">
        <f>IF(AND(ISNUMBER(N35),$B35&lt;&gt;14,$B35&lt;&gt;15),AVERAGEIFS('Data(perSeason,perCrop)'!$M:$M,'Data(perSeason,perCrop)'!$K:$K,'Indicators(perCrop)'!$A$3,'Data(perSeason,perCrop)'!$C:$C,'Indicators(perCrop)'!$A35,'Data(perSeason,perCrop)'!$S:$S,'Indicators(perCrop)'!AL$4,'Data(perSeason,perCrop)'!$R:$R,"IRRIGATED")-AVERAGEIFS('Data(perSeason,perCrop)'!$N:$N,'Data(perSeason,perCrop)'!$K:$K,'Indicators(perCrop)'!$A$3,'Data(perSeason,perCrop)'!$C:$C,'Indicators(perCrop)'!$A35,'Data(perSeason,perCrop)'!$S:$S,'Indicators(perCrop)'!AL$4,'Data(perSeason,perCrop)'!$R:$R,"IRRIGATED"),"")</f>
        <v/>
      </c>
      <c r="AM35" s="8" t="e">
        <f t="shared" si="14"/>
        <v>#DIV/0!</v>
      </c>
      <c r="AN35" s="7" t="e">
        <f>AVERAGEIFS('Data(perCrop)'!$K:$K,'Data(perCrop)'!$B:$B,$A35,'Data(perCrop)'!$H:$H,$A$3,'Data(perCrop)'!$O:$O,'Indicators(perCrop)'!C$4)</f>
        <v>#DIV/0!</v>
      </c>
      <c r="AO35" s="7" t="e">
        <f>AVERAGEIFS('Data(perCrop)'!$K:$K,'Data(perCrop)'!$B:$B,$A35,'Data(perCrop)'!$H:$H,$A$3,'Data(perCrop)'!$O:$O,'Indicators(perCrop)'!D$4)</f>
        <v>#DIV/0!</v>
      </c>
      <c r="AP35" s="7" t="e">
        <f>AVERAGEIFS('Data(perCrop)'!$K:$K,'Data(perCrop)'!$B:$B,$A35,'Data(perCrop)'!$H:$H,$A$3,'Data(perCrop)'!$O:$O,'Indicators(perCrop)'!E$4)</f>
        <v>#DIV/0!</v>
      </c>
      <c r="AQ35" s="7" t="e">
        <f>AVERAGEIFS('Data(perCrop)'!$K:$K,'Data(perCrop)'!$B:$B,$A35,'Data(perCrop)'!$H:$H,$A$3,'Data(perCrop)'!$O:$O,'Indicators(perCrop)'!F$4)</f>
        <v>#DIV/0!</v>
      </c>
      <c r="AR35" s="7" t="e">
        <f>AVERAGEIFS('Data(perCrop)'!$K:$K,'Data(perCrop)'!$B:$B,$A35,'Data(perCrop)'!$H:$H,$A$3,'Data(perCrop)'!$O:$O,'Indicators(perCrop)'!G$4)</f>
        <v>#DIV/0!</v>
      </c>
      <c r="AS35" s="8" t="e">
        <f t="shared" si="15"/>
        <v>#DIV/0!</v>
      </c>
      <c r="AT35" s="50"/>
      <c r="AU35" s="50"/>
      <c r="AV35" s="50"/>
      <c r="AW35" s="50"/>
      <c r="AX35" s="50"/>
      <c r="AY35" s="50"/>
      <c r="AZ35" s="50"/>
      <c r="BA35" s="8"/>
      <c r="BB35" s="7">
        <f>SUMIFS('Data(perSeason,perCrop)'!$A:$A,'Data(perSeason,perCrop)'!$C:$C,'Indicators(perCrop)'!$A35,'Data(perSeason,perCrop)'!$R:$R,"IRRIGATED",'Data(perSeason,perCrop)'!$O:$O,'Indicators(perCrop)'!BB$4)/5</f>
        <v>0</v>
      </c>
      <c r="BC35" s="7">
        <f>SUMIFS('Data(perSeason,perCrop)'!$A:$A,'Data(perSeason,perCrop)'!$C:$C,'Indicators(perCrop)'!$A35,'Data(perSeason,perCrop)'!$R:$R,"IRRIGATED",'Data(perSeason,perCrop)'!$O:$O,'Indicators(perCrop)'!BC$4)/5</f>
        <v>0</v>
      </c>
      <c r="BD35" s="7">
        <f>SUMIFS('Data(perSeason,perCrop)'!$A:$A,'Data(perSeason,perCrop)'!$C:$C,'Indicators(perCrop)'!$A35,'Data(perSeason,perCrop)'!$R:$R,"IRRIGATED",'Data(perSeason,perCrop)'!$O:$O,'Indicators(perCrop)'!BD$4)/5</f>
        <v>0</v>
      </c>
      <c r="BE35" s="7" t="e">
        <f>AVERAGEIFS('Data(perSeason,perCrop)'!$G:$G,'Data(perSeason,perCrop)'!$C:$C,'Indicators(perCrop)'!$A35,'Data(perSeason,perCrop)'!$R:$R,"IRRIGATED",'Data(perSeason,perCrop)'!$O:$O,'Indicators(perCrop)'!BE$4)</f>
        <v>#DIV/0!</v>
      </c>
      <c r="BF35" s="7" t="e">
        <f>AVERAGEIFS('Data(perSeason,perCrop)'!$G:$G,'Data(perSeason,perCrop)'!$C:$C,'Indicators(perCrop)'!$A35,'Data(perSeason,perCrop)'!$R:$R,"IRRIGATED",'Data(perSeason,perCrop)'!$O:$O,'Indicators(perCrop)'!BF$4)</f>
        <v>#DIV/0!</v>
      </c>
      <c r="BG35" s="7" t="e">
        <f>AVERAGEIFS('Data(perSeason,perCrop)'!$G:$G,'Data(perSeason,perCrop)'!$C:$C,'Indicators(perCrop)'!$A35,'Data(perSeason,perCrop)'!$R:$R,"IRRIGATED",'Data(perSeason,perCrop)'!$O:$O,'Indicators(perCrop)'!BG$4)</f>
        <v>#DIV/0!</v>
      </c>
      <c r="BH35" s="7" t="str">
        <f t="shared" si="24"/>
        <v/>
      </c>
      <c r="BI35" s="7" t="str">
        <f t="shared" si="21"/>
        <v/>
      </c>
      <c r="BJ35" s="7" t="str">
        <f t="shared" si="22"/>
        <v/>
      </c>
      <c r="BK35" s="25" t="e">
        <f>AVERAGEIFS('Data(perCrop)'!F:F,'Data(perCrop)'!$B:$B,A35)</f>
        <v>#DIV/0!</v>
      </c>
      <c r="BL35" s="8" t="str">
        <f t="shared" si="2"/>
        <v/>
      </c>
      <c r="BM35" s="32" t="str">
        <f t="shared" si="3"/>
        <v/>
      </c>
    </row>
    <row r="37" spans="1:65" x14ac:dyDescent="0.25">
      <c r="V37" s="9">
        <v>2018</v>
      </c>
      <c r="W37" s="9">
        <v>2019</v>
      </c>
      <c r="X37" s="9">
        <v>2020</v>
      </c>
      <c r="Y37" s="9">
        <v>2021</v>
      </c>
      <c r="Z37" s="9">
        <v>2022</v>
      </c>
      <c r="AA37" s="9" t="s">
        <v>66</v>
      </c>
      <c r="AB37" s="9">
        <v>2018</v>
      </c>
      <c r="AC37" s="9">
        <v>2019</v>
      </c>
      <c r="AD37" s="9">
        <v>2020</v>
      </c>
      <c r="AE37" s="9">
        <v>2021</v>
      </c>
      <c r="AF37" s="9">
        <v>2022</v>
      </c>
      <c r="AG37" s="9" t="s">
        <v>66</v>
      </c>
      <c r="AH37" s="9">
        <v>2018</v>
      </c>
      <c r="AI37" s="9">
        <v>2019</v>
      </c>
      <c r="AJ37" s="9">
        <v>2020</v>
      </c>
      <c r="AK37" s="9">
        <v>2021</v>
      </c>
      <c r="AL37" s="9">
        <v>2022</v>
      </c>
      <c r="AM37" s="9" t="s">
        <v>66</v>
      </c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65" x14ac:dyDescent="0.25">
      <c r="P38" s="9"/>
      <c r="V38" s="8">
        <f>SUMPRODUCT(V5:V35,C5:C35)/SUM(C5:C35)</f>
        <v>0.23802652079640416</v>
      </c>
      <c r="W38" s="8">
        <f>SUMPRODUCT(W5:W35,D5:D35)/SUM(D5:D35)</f>
        <v>0.24483373251234702</v>
      </c>
      <c r="X38" s="8">
        <f>SUMPRODUCT(X5:X35,E5:E35)/SUM(E5:E35)</f>
        <v>0.29111703002532957</v>
      </c>
      <c r="Y38" s="8">
        <f>SUMPRODUCT(Y5:Y35,F5:F35)/SUM(F5:F35)</f>
        <v>0.25664981304281581</v>
      </c>
      <c r="Z38" s="8">
        <f>SUMPRODUCT(Z5:Z35,G5:G35)/SUM(G5:G35)</f>
        <v>0.2056769486977986</v>
      </c>
      <c r="AA38" s="8">
        <f>AVERAGE(V38:Z38)</f>
        <v>0.24726080901493902</v>
      </c>
      <c r="AB38" s="8">
        <f>SUMPRODUCT(AB5:AB35,C5:C35)/SUM(C5:C35)</f>
        <v>0.20085748757203595</v>
      </c>
      <c r="AC38" s="8">
        <f>SUMPRODUCT(AC5:AC35,D5:D35)/SUM(D5:D35)</f>
        <v>0.24216257229357302</v>
      </c>
      <c r="AD38" s="8">
        <f>SUMPRODUCT(AD5:AD35,E5:E35)/SUM(E5:E35)</f>
        <v>0.25755934983391321</v>
      </c>
      <c r="AE38" s="8">
        <f>SUMPRODUCT(AE5:AE35,F5:F35)/SUM(F5:F35)</f>
        <v>0.27366613632069664</v>
      </c>
      <c r="AF38" s="8">
        <f>SUMPRODUCT(AF5:AF35,G5:G35)/SUM(G5:G35)</f>
        <v>0.21149678857841764</v>
      </c>
      <c r="AG38" s="8">
        <f>AVERAGE(AB38:AF38)</f>
        <v>0.2371484669197273</v>
      </c>
      <c r="AH38" s="8">
        <f>SUMPRODUCT(AH5:AH35,C5:C35)/SUM(C5:C35)</f>
        <v>0.27271164328178576</v>
      </c>
      <c r="AI38" s="8">
        <f>SUMPRODUCT(AI5:AI35,D5:D35)/SUM(D5:D35)</f>
        <v>0.31350035330928422</v>
      </c>
      <c r="AJ38" s="8">
        <f>SUMPRODUCT(AJ5:AJ35,E5:E35)/SUM(E5:E35)</f>
        <v>0.2075321953932269</v>
      </c>
      <c r="AK38" s="8">
        <f>SUMPRODUCT(AK5:AK35,F5:F35)/SUM(F5:F35)</f>
        <v>0.28468755685851393</v>
      </c>
      <c r="AL38" s="8">
        <f>SUMPRODUCT(AL5:AL35,G5:G35)/SUM(G5:G35)</f>
        <v>0.25699745838289012</v>
      </c>
      <c r="AM38" s="8">
        <f>AVERAGE(AH38:AL38)</f>
        <v>0.26708584144514019</v>
      </c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1:65" x14ac:dyDescent="0.25">
      <c r="P39" s="9"/>
    </row>
    <row r="40" spans="1:65" x14ac:dyDescent="0.25">
      <c r="P40" s="9"/>
    </row>
    <row r="41" spans="1:65" x14ac:dyDescent="0.25">
      <c r="P41" s="9"/>
    </row>
    <row r="42" spans="1:65" x14ac:dyDescent="0.25">
      <c r="P42" s="9"/>
    </row>
    <row r="43" spans="1:65" x14ac:dyDescent="0.25">
      <c r="P43" s="9"/>
    </row>
    <row r="46" spans="1:65" ht="18.75" x14ac:dyDescent="0.3">
      <c r="P46" s="4"/>
      <c r="Q46" s="4"/>
      <c r="R46" s="4"/>
      <c r="S46" s="4"/>
    </row>
    <row r="47" spans="1:65" x14ac:dyDescent="0.25">
      <c r="Q47" s="8"/>
      <c r="S47" s="8"/>
    </row>
    <row r="48" spans="1:65" x14ac:dyDescent="0.25">
      <c r="Q48" s="8"/>
      <c r="S48" s="8"/>
    </row>
    <row r="49" spans="17:19" x14ac:dyDescent="0.25">
      <c r="Q49" s="8"/>
      <c r="S49" s="8"/>
    </row>
    <row r="50" spans="17:19" x14ac:dyDescent="0.25">
      <c r="Q50" s="8"/>
      <c r="S50" s="8"/>
    </row>
    <row r="51" spans="17:19" x14ac:dyDescent="0.25">
      <c r="Q51" s="8"/>
      <c r="S51" s="8"/>
    </row>
    <row r="52" spans="17:19" x14ac:dyDescent="0.25">
      <c r="Q52" s="8"/>
      <c r="S52" s="8"/>
    </row>
    <row r="53" spans="17:19" x14ac:dyDescent="0.25">
      <c r="Q53" s="8"/>
      <c r="S53" s="8"/>
    </row>
    <row r="54" spans="17:19" x14ac:dyDescent="0.25">
      <c r="Q54" s="8"/>
      <c r="S54" s="8"/>
    </row>
    <row r="55" spans="17:19" x14ac:dyDescent="0.25">
      <c r="Q55" s="8"/>
      <c r="S55" s="8"/>
    </row>
    <row r="56" spans="17:19" x14ac:dyDescent="0.25">
      <c r="Q56" s="8"/>
      <c r="S56" s="8"/>
    </row>
    <row r="57" spans="17:19" x14ac:dyDescent="0.25">
      <c r="Q57" s="8"/>
      <c r="S57" s="8"/>
    </row>
    <row r="58" spans="17:19" x14ac:dyDescent="0.25">
      <c r="Q58" s="8"/>
      <c r="S58" s="8"/>
    </row>
    <row r="59" spans="17:19" x14ac:dyDescent="0.25">
      <c r="Q59" s="8"/>
      <c r="S59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142E-7CC0-6B49-B39B-DBEA2F4A2BEC}">
  <dimension ref="L2:AA44"/>
  <sheetViews>
    <sheetView topLeftCell="A96" zoomScale="85" zoomScaleNormal="85" workbookViewId="0">
      <selection activeCell="I105" sqref="I105"/>
    </sheetView>
  </sheetViews>
  <sheetFormatPr defaultColWidth="11.25" defaultRowHeight="15.75" x14ac:dyDescent="0.25"/>
  <sheetData>
    <row r="2" spans="12:27" x14ac:dyDescent="0.25">
      <c r="L2" s="29"/>
      <c r="M2" s="29"/>
      <c r="N2" s="29"/>
      <c r="O2" s="29"/>
      <c r="P2" s="29"/>
      <c r="Q2" s="29"/>
    </row>
    <row r="3" spans="12:27" x14ac:dyDescent="0.25">
      <c r="L3" s="29"/>
      <c r="M3" s="29"/>
      <c r="N3" s="29"/>
      <c r="O3" s="30"/>
      <c r="P3" s="30"/>
      <c r="Q3" s="31"/>
      <c r="R3" s="30"/>
      <c r="S3" s="30"/>
      <c r="T3" s="31"/>
    </row>
    <row r="4" spans="12:27" x14ac:dyDescent="0.25">
      <c r="L4" s="29"/>
      <c r="M4" s="29"/>
      <c r="N4" s="29"/>
      <c r="O4" s="30"/>
      <c r="P4" s="30"/>
      <c r="Q4" s="31"/>
      <c r="R4" s="30"/>
      <c r="S4" s="30"/>
      <c r="T4" s="31"/>
    </row>
    <row r="5" spans="12:27" x14ac:dyDescent="0.25">
      <c r="L5" s="29"/>
      <c r="M5" s="29"/>
      <c r="N5" s="29"/>
      <c r="O5" s="30"/>
      <c r="P5" s="30"/>
      <c r="Q5" s="31"/>
      <c r="R5" s="30"/>
      <c r="S5" s="30"/>
      <c r="T5" s="31"/>
    </row>
    <row r="6" spans="12:27" x14ac:dyDescent="0.25">
      <c r="L6" s="29"/>
      <c r="M6" s="29"/>
      <c r="N6" s="29"/>
      <c r="O6" s="30"/>
      <c r="P6" s="30"/>
      <c r="Q6" s="31"/>
      <c r="R6" s="30"/>
      <c r="S6" s="30"/>
      <c r="T6" s="31"/>
    </row>
    <row r="7" spans="12:27" x14ac:dyDescent="0.25">
      <c r="L7" s="29"/>
      <c r="M7" s="29"/>
      <c r="N7" s="29"/>
      <c r="O7" s="30"/>
      <c r="P7" s="30"/>
      <c r="Q7" s="31"/>
      <c r="R7" s="30"/>
      <c r="S7" s="30"/>
      <c r="T7" s="31"/>
      <c r="V7" s="7" t="s">
        <v>0</v>
      </c>
      <c r="W7" s="7"/>
      <c r="X7" s="7" t="s">
        <v>1</v>
      </c>
      <c r="Y7" s="7"/>
      <c r="Z7" t="s">
        <v>147</v>
      </c>
    </row>
    <row r="8" spans="12:27" ht="18.75" x14ac:dyDescent="0.3">
      <c r="L8" s="29"/>
      <c r="M8" s="29"/>
      <c r="N8" s="29"/>
      <c r="O8" s="30"/>
      <c r="P8" s="30"/>
      <c r="Q8" s="31"/>
      <c r="R8" s="30"/>
      <c r="S8" s="30"/>
      <c r="T8" s="31"/>
      <c r="V8" s="4" t="s">
        <v>99</v>
      </c>
      <c r="W8" s="4" t="s">
        <v>111</v>
      </c>
      <c r="X8" s="4" t="s">
        <v>99</v>
      </c>
      <c r="Y8" s="4" t="s">
        <v>111</v>
      </c>
      <c r="Z8" s="4" t="s">
        <v>99</v>
      </c>
      <c r="AA8" s="4" t="s">
        <v>111</v>
      </c>
    </row>
    <row r="9" spans="12:27" x14ac:dyDescent="0.25">
      <c r="L9" s="29"/>
      <c r="M9" s="29"/>
      <c r="N9" s="29"/>
      <c r="O9" s="30"/>
      <c r="P9" s="30"/>
      <c r="Q9" s="31"/>
      <c r="R9" s="30"/>
      <c r="S9" s="30"/>
      <c r="T9" s="31"/>
      <c r="U9" s="9" t="s">
        <v>49</v>
      </c>
      <c r="V9" s="7">
        <f>SCORES!K$7</f>
        <v>0.8</v>
      </c>
      <c r="W9" s="8">
        <f>SCORES!J$7</f>
        <v>0.25</v>
      </c>
      <c r="X9" s="7">
        <f>SCORES!K$17</f>
        <v>0</v>
      </c>
      <c r="Y9" s="8">
        <f>SCORES!J$17</f>
        <v>0.4</v>
      </c>
      <c r="Z9">
        <f>SCORES!K$18</f>
        <v>0</v>
      </c>
      <c r="AA9">
        <f>SCORES!J$18</f>
        <v>0.4</v>
      </c>
    </row>
    <row r="10" spans="12:27" x14ac:dyDescent="0.25">
      <c r="L10" s="29"/>
      <c r="M10" s="29"/>
      <c r="N10" s="29"/>
      <c r="O10" s="30"/>
      <c r="P10" s="30"/>
      <c r="Q10" s="31"/>
      <c r="R10" s="30"/>
      <c r="S10" s="30"/>
      <c r="T10" s="31"/>
      <c r="U10" s="9" t="s">
        <v>59</v>
      </c>
      <c r="V10" s="7">
        <f>SCORES!K$7</f>
        <v>0.8</v>
      </c>
      <c r="W10" s="8">
        <f>SCORES!J$7</f>
        <v>0.25</v>
      </c>
      <c r="X10" s="7">
        <f>SCORES!K$17</f>
        <v>0</v>
      </c>
      <c r="Y10" s="8">
        <f>SCORES!J$17</f>
        <v>0.4</v>
      </c>
      <c r="Z10">
        <f>SCORES!K$18</f>
        <v>0</v>
      </c>
      <c r="AA10">
        <f>SCORES!J$18</f>
        <v>0.4</v>
      </c>
    </row>
    <row r="11" spans="12:27" x14ac:dyDescent="0.25">
      <c r="L11" s="29"/>
      <c r="M11" s="29"/>
      <c r="N11" s="29"/>
      <c r="O11" s="30"/>
      <c r="P11" s="30"/>
      <c r="Q11" s="31"/>
      <c r="R11" s="30"/>
      <c r="S11" s="30"/>
      <c r="T11" s="31"/>
      <c r="U11" s="9" t="s">
        <v>136</v>
      </c>
      <c r="V11" s="7">
        <f>SCORES!K$7</f>
        <v>0.8</v>
      </c>
      <c r="W11" s="8">
        <f>SCORES!J$7</f>
        <v>0.25</v>
      </c>
      <c r="X11" s="7">
        <f>SCORES!K$17</f>
        <v>0</v>
      </c>
      <c r="Y11" s="8">
        <f>SCORES!J$17</f>
        <v>0.4</v>
      </c>
      <c r="Z11">
        <f>SCORES!K$18</f>
        <v>0</v>
      </c>
      <c r="AA11">
        <f>SCORES!J$18</f>
        <v>0.4</v>
      </c>
    </row>
    <row r="12" spans="12:27" x14ac:dyDescent="0.25">
      <c r="L12" s="29"/>
      <c r="M12" s="29"/>
      <c r="N12" s="29"/>
      <c r="O12" s="30"/>
      <c r="P12" s="30"/>
      <c r="Q12" s="31"/>
      <c r="R12" s="30"/>
      <c r="S12" s="30"/>
      <c r="T12" s="31"/>
      <c r="U12" s="9" t="s">
        <v>52</v>
      </c>
      <c r="V12" s="7">
        <f>SCORES!K$7</f>
        <v>0.8</v>
      </c>
      <c r="W12" s="8">
        <f>SCORES!J$7</f>
        <v>0.25</v>
      </c>
      <c r="X12" s="7">
        <f>SCORES!K$17</f>
        <v>0</v>
      </c>
      <c r="Y12" s="8">
        <f>SCORES!J$17</f>
        <v>0.4</v>
      </c>
      <c r="Z12">
        <f>SCORES!K$18</f>
        <v>0</v>
      </c>
      <c r="AA12">
        <f>SCORES!J$18</f>
        <v>0.4</v>
      </c>
    </row>
    <row r="13" spans="12:27" x14ac:dyDescent="0.25">
      <c r="L13" s="29"/>
      <c r="M13" s="29"/>
      <c r="N13" s="29"/>
      <c r="O13" s="30"/>
      <c r="P13" s="30"/>
      <c r="Q13" s="31"/>
      <c r="R13" s="30"/>
      <c r="S13" s="30"/>
      <c r="T13" s="31"/>
      <c r="U13" s="9" t="s">
        <v>60</v>
      </c>
      <c r="V13" s="7">
        <f>SCORES!K$7</f>
        <v>0.8</v>
      </c>
      <c r="W13" s="8">
        <f>SCORES!J$7</f>
        <v>0.25</v>
      </c>
      <c r="X13" s="7">
        <f>SCORES!K$17</f>
        <v>0</v>
      </c>
      <c r="Y13" s="8">
        <f>SCORES!J$17</f>
        <v>0.4</v>
      </c>
      <c r="Z13">
        <f>SCORES!K$18</f>
        <v>0</v>
      </c>
      <c r="AA13">
        <f>SCORES!J$18</f>
        <v>0.4</v>
      </c>
    </row>
    <row r="14" spans="12:27" x14ac:dyDescent="0.25">
      <c r="L14" s="29"/>
      <c r="M14" s="29"/>
      <c r="N14" s="29"/>
      <c r="O14" s="30"/>
      <c r="P14" s="30"/>
      <c r="Q14" s="31"/>
      <c r="R14" s="30"/>
      <c r="S14" s="30"/>
      <c r="T14" s="31"/>
      <c r="U14" s="9" t="s">
        <v>53</v>
      </c>
      <c r="V14" s="7">
        <f>SCORES!K$7</f>
        <v>0.8</v>
      </c>
      <c r="W14" s="8">
        <f>SCORES!J$7</f>
        <v>0.25</v>
      </c>
      <c r="X14" s="7">
        <f>SCORES!K$17</f>
        <v>0</v>
      </c>
      <c r="Y14" s="8">
        <f>SCORES!J$17</f>
        <v>0.4</v>
      </c>
      <c r="Z14">
        <f>SCORES!K$18</f>
        <v>0</v>
      </c>
      <c r="AA14">
        <f>SCORES!J$18</f>
        <v>0.4</v>
      </c>
    </row>
    <row r="15" spans="12:27" x14ac:dyDescent="0.25">
      <c r="L15" s="29"/>
      <c r="M15" s="29"/>
      <c r="N15" s="29"/>
      <c r="O15" s="30"/>
      <c r="P15" s="30"/>
      <c r="Q15" s="31"/>
      <c r="R15" s="30"/>
      <c r="S15" s="30"/>
      <c r="T15" s="31"/>
      <c r="U15" s="9" t="s">
        <v>120</v>
      </c>
      <c r="V15" s="7">
        <f>SCORES!K$7</f>
        <v>0.8</v>
      </c>
      <c r="W15" s="8">
        <f>SCORES!J$7</f>
        <v>0.25</v>
      </c>
      <c r="X15" s="7">
        <f>SCORES!K$17</f>
        <v>0</v>
      </c>
      <c r="Y15" s="8">
        <f>SCORES!J$17</f>
        <v>0.4</v>
      </c>
      <c r="Z15">
        <f>SCORES!K$18</f>
        <v>0</v>
      </c>
      <c r="AA15">
        <f>SCORES!J$18</f>
        <v>0.4</v>
      </c>
    </row>
    <row r="16" spans="12:27" x14ac:dyDescent="0.25">
      <c r="L16" s="29"/>
      <c r="M16" s="29"/>
      <c r="N16" s="29"/>
      <c r="O16" s="30"/>
      <c r="P16" s="30"/>
      <c r="Q16" s="31"/>
      <c r="R16" s="30"/>
      <c r="S16" s="30"/>
      <c r="T16" s="31"/>
      <c r="U16" s="9" t="s">
        <v>54</v>
      </c>
      <c r="V16" s="7">
        <f>SCORES!K$7</f>
        <v>0.8</v>
      </c>
      <c r="W16" s="8">
        <f>SCORES!J$7</f>
        <v>0.25</v>
      </c>
      <c r="X16" s="7">
        <f>SCORES!K$17</f>
        <v>0</v>
      </c>
      <c r="Y16" s="8">
        <f>SCORES!J$17</f>
        <v>0.4</v>
      </c>
      <c r="Z16">
        <f>SCORES!K$18</f>
        <v>0</v>
      </c>
      <c r="AA16">
        <f>SCORES!J$18</f>
        <v>0.4</v>
      </c>
    </row>
    <row r="17" spans="12:27" x14ac:dyDescent="0.25">
      <c r="L17" s="29"/>
      <c r="M17" s="29"/>
      <c r="N17" s="29"/>
      <c r="O17" s="30"/>
      <c r="P17" s="30"/>
      <c r="Q17" s="31"/>
      <c r="R17" s="30"/>
      <c r="S17" s="30"/>
      <c r="T17" s="31"/>
      <c r="U17" s="9" t="s">
        <v>61</v>
      </c>
      <c r="V17" s="7">
        <f>SCORES!K$7</f>
        <v>0.8</v>
      </c>
      <c r="W17" s="8">
        <f>SCORES!J$7</f>
        <v>0.25</v>
      </c>
      <c r="X17" s="7">
        <f>SCORES!K$17</f>
        <v>0</v>
      </c>
      <c r="Y17" s="8">
        <f>SCORES!J$17</f>
        <v>0.4</v>
      </c>
      <c r="Z17">
        <f>SCORES!K$18</f>
        <v>0</v>
      </c>
      <c r="AA17">
        <f>SCORES!J$18</f>
        <v>0.4</v>
      </c>
    </row>
    <row r="18" spans="12:27" x14ac:dyDescent="0.25">
      <c r="U18" s="9" t="s">
        <v>137</v>
      </c>
      <c r="V18" s="7">
        <f>SCORES!K$7</f>
        <v>0.8</v>
      </c>
      <c r="W18" s="8">
        <f>SCORES!J$7</f>
        <v>0.25</v>
      </c>
      <c r="X18" s="7">
        <f>SCORES!K$17</f>
        <v>0</v>
      </c>
      <c r="Y18" s="8">
        <f>SCORES!J$17</f>
        <v>0.4</v>
      </c>
      <c r="Z18">
        <f>SCORES!K$18</f>
        <v>0</v>
      </c>
      <c r="AA18">
        <f>SCORES!J$18</f>
        <v>0.4</v>
      </c>
    </row>
    <row r="19" spans="12:27" x14ac:dyDescent="0.25">
      <c r="U19" s="9" t="s">
        <v>56</v>
      </c>
      <c r="V19" s="7">
        <f>SCORES!K$7</f>
        <v>0.8</v>
      </c>
      <c r="W19" s="8">
        <f>SCORES!J$7</f>
        <v>0.25</v>
      </c>
      <c r="X19" s="7">
        <f>SCORES!K$17</f>
        <v>0</v>
      </c>
      <c r="Y19" s="8">
        <f>SCORES!J$17</f>
        <v>0.4</v>
      </c>
      <c r="Z19">
        <f>SCORES!K$18</f>
        <v>0</v>
      </c>
      <c r="AA19">
        <f>SCORES!J$18</f>
        <v>0.4</v>
      </c>
    </row>
    <row r="20" spans="12:27" x14ac:dyDescent="0.25">
      <c r="U20" s="9" t="s">
        <v>138</v>
      </c>
      <c r="V20" s="7">
        <f>SCORES!K$7</f>
        <v>0.8</v>
      </c>
      <c r="W20" s="8">
        <f>SCORES!J$7</f>
        <v>0.25</v>
      </c>
      <c r="X20" s="7">
        <f>SCORES!K$17</f>
        <v>0</v>
      </c>
      <c r="Y20" s="8">
        <f>SCORES!J$17</f>
        <v>0.4</v>
      </c>
      <c r="Z20">
        <f>SCORES!K$18</f>
        <v>0</v>
      </c>
      <c r="AA20">
        <f>SCORES!J$18</f>
        <v>0.4</v>
      </c>
    </row>
    <row r="21" spans="12:27" x14ac:dyDescent="0.25">
      <c r="U21" s="9" t="s">
        <v>50</v>
      </c>
      <c r="V21" s="7">
        <f>SCORES!K$7</f>
        <v>0.8</v>
      </c>
      <c r="W21" s="8">
        <f>SCORES!J$7</f>
        <v>0.25</v>
      </c>
      <c r="X21" s="7">
        <f>SCORES!K$17</f>
        <v>0</v>
      </c>
      <c r="Y21" s="8">
        <f>SCORES!J$17</f>
        <v>0.4</v>
      </c>
      <c r="Z21">
        <f>SCORES!K$18</f>
        <v>0</v>
      </c>
      <c r="AA21">
        <f>SCORES!J$18</f>
        <v>0.4</v>
      </c>
    </row>
    <row r="22" spans="12:27" x14ac:dyDescent="0.25">
      <c r="V22" s="7">
        <f>SCORES!K$7</f>
        <v>0.8</v>
      </c>
      <c r="W22" s="8">
        <f>SCORES!J$7</f>
        <v>0.25</v>
      </c>
      <c r="X22" s="7">
        <f>SCORES!K$17</f>
        <v>0</v>
      </c>
      <c r="Y22" s="8">
        <f>SCORES!J$17</f>
        <v>0.4</v>
      </c>
      <c r="Z22">
        <f>SCORES!K$18</f>
        <v>0</v>
      </c>
      <c r="AA22">
        <f>SCORES!J$18</f>
        <v>0.4</v>
      </c>
    </row>
    <row r="23" spans="12:27" x14ac:dyDescent="0.25">
      <c r="V23" s="7">
        <f>SCORES!K$7</f>
        <v>0.8</v>
      </c>
      <c r="W23" s="8">
        <f>SCORES!J$7</f>
        <v>0.25</v>
      </c>
      <c r="X23" s="7">
        <f>SCORES!K$17</f>
        <v>0</v>
      </c>
      <c r="Y23" s="8">
        <f>SCORES!J$17</f>
        <v>0.4</v>
      </c>
      <c r="Z23">
        <f>SCORES!K$18</f>
        <v>0</v>
      </c>
      <c r="AA23">
        <f>SCORES!J$18</f>
        <v>0.4</v>
      </c>
    </row>
    <row r="24" spans="12:27" x14ac:dyDescent="0.25">
      <c r="V24" s="7">
        <f>SCORES!K$7</f>
        <v>0.8</v>
      </c>
      <c r="W24" s="8">
        <f>SCORES!J$7</f>
        <v>0.25</v>
      </c>
      <c r="X24" s="7">
        <f>SCORES!K$17</f>
        <v>0</v>
      </c>
      <c r="Y24" s="8">
        <f>SCORES!J$17</f>
        <v>0.4</v>
      </c>
      <c r="Z24">
        <f>SCORES!K$18</f>
        <v>0</v>
      </c>
      <c r="AA24">
        <f>SCORES!J$18</f>
        <v>0.4</v>
      </c>
    </row>
    <row r="25" spans="12:27" x14ac:dyDescent="0.25">
      <c r="V25" s="7">
        <f>SCORES!K$7</f>
        <v>0.8</v>
      </c>
      <c r="W25" s="8">
        <f>SCORES!J$7</f>
        <v>0.25</v>
      </c>
      <c r="X25" s="7">
        <f>SCORES!K$17</f>
        <v>0</v>
      </c>
      <c r="Y25" s="8">
        <f>SCORES!J$17</f>
        <v>0.4</v>
      </c>
      <c r="Z25">
        <f>SCORES!K$18</f>
        <v>0</v>
      </c>
      <c r="AA25">
        <f>SCORES!J$18</f>
        <v>0.4</v>
      </c>
    </row>
    <row r="26" spans="12:27" x14ac:dyDescent="0.25">
      <c r="V26" s="7">
        <f>SCORES!K$7</f>
        <v>0.8</v>
      </c>
      <c r="W26" s="8">
        <f>SCORES!J$7</f>
        <v>0.25</v>
      </c>
      <c r="X26" s="7">
        <f>SCORES!K$17</f>
        <v>0</v>
      </c>
      <c r="Y26" s="8">
        <f>SCORES!J$17</f>
        <v>0.4</v>
      </c>
      <c r="Z26">
        <f>SCORES!K$18</f>
        <v>0</v>
      </c>
      <c r="AA26">
        <f>SCORES!J$18</f>
        <v>0.4</v>
      </c>
    </row>
    <row r="27" spans="12:27" x14ac:dyDescent="0.25">
      <c r="U27" s="9">
        <v>2018</v>
      </c>
      <c r="V27" s="7">
        <f>SCORES!K$7</f>
        <v>0.8</v>
      </c>
      <c r="W27" s="8">
        <f>SCORES!J$7</f>
        <v>0.25</v>
      </c>
      <c r="X27" s="7">
        <f>SCORES!K$17</f>
        <v>0</v>
      </c>
      <c r="Y27" s="8">
        <f>SCORES!J$17</f>
        <v>0.4</v>
      </c>
      <c r="Z27">
        <f>SCORES!K$18</f>
        <v>0</v>
      </c>
      <c r="AA27">
        <f>SCORES!J$18</f>
        <v>0.4</v>
      </c>
    </row>
    <row r="28" spans="12:27" x14ac:dyDescent="0.25">
      <c r="U28" s="9">
        <v>2019</v>
      </c>
      <c r="V28" s="7">
        <f>SCORES!K$7</f>
        <v>0.8</v>
      </c>
      <c r="W28" s="8">
        <f>SCORES!J$7</f>
        <v>0.25</v>
      </c>
      <c r="X28" s="7">
        <f>SCORES!K$17</f>
        <v>0</v>
      </c>
      <c r="Y28" s="8">
        <f>SCORES!J$17</f>
        <v>0.4</v>
      </c>
      <c r="Z28">
        <f>SCORES!K$18</f>
        <v>0</v>
      </c>
      <c r="AA28">
        <f>SCORES!J$18</f>
        <v>0.4</v>
      </c>
    </row>
    <row r="29" spans="12:27" x14ac:dyDescent="0.25">
      <c r="U29" s="9">
        <v>2020</v>
      </c>
      <c r="V29" s="7">
        <f>SCORES!K$7</f>
        <v>0.8</v>
      </c>
      <c r="W29" s="8">
        <f>SCORES!J$7</f>
        <v>0.25</v>
      </c>
      <c r="X29" s="7">
        <f>SCORES!K$17</f>
        <v>0</v>
      </c>
      <c r="Y29" s="8">
        <f>SCORES!J$17</f>
        <v>0.4</v>
      </c>
      <c r="Z29">
        <f>SCORES!K$18</f>
        <v>0</v>
      </c>
      <c r="AA29">
        <f>SCORES!J$18</f>
        <v>0.4</v>
      </c>
    </row>
    <row r="30" spans="12:27" x14ac:dyDescent="0.25">
      <c r="U30" s="9">
        <v>2021</v>
      </c>
      <c r="V30" s="7">
        <f>SCORES!K$7</f>
        <v>0.8</v>
      </c>
      <c r="W30" s="8">
        <f>SCORES!J$7</f>
        <v>0.25</v>
      </c>
      <c r="X30" s="7">
        <f>SCORES!K$17</f>
        <v>0</v>
      </c>
      <c r="Y30" s="8">
        <f>SCORES!J$17</f>
        <v>0.4</v>
      </c>
      <c r="Z30">
        <f>SCORES!K$18</f>
        <v>0</v>
      </c>
      <c r="AA30">
        <f>SCORES!J$18</f>
        <v>0.4</v>
      </c>
    </row>
    <row r="31" spans="12:27" x14ac:dyDescent="0.25">
      <c r="U31" s="9">
        <v>2022</v>
      </c>
      <c r="V31" s="7">
        <f>SCORES!K$7</f>
        <v>0.8</v>
      </c>
      <c r="W31" s="8">
        <f>SCORES!J$7</f>
        <v>0.25</v>
      </c>
      <c r="X31" s="7">
        <f>SCORES!K$17</f>
        <v>0</v>
      </c>
      <c r="Y31" s="8">
        <f>SCORES!J$17</f>
        <v>0.4</v>
      </c>
      <c r="Z31">
        <f>SCORES!K$18</f>
        <v>0</v>
      </c>
      <c r="AA31">
        <f>SCORES!J$18</f>
        <v>0.4</v>
      </c>
    </row>
    <row r="32" spans="12:27" x14ac:dyDescent="0.25">
      <c r="U32" s="9" t="s">
        <v>66</v>
      </c>
      <c r="V32" s="7">
        <f>SCORES!K$7</f>
        <v>0.8</v>
      </c>
      <c r="W32" s="8">
        <f>SCORES!J$7</f>
        <v>0.25</v>
      </c>
      <c r="X32" s="7">
        <f>SCORES!K$17</f>
        <v>0</v>
      </c>
      <c r="Y32" s="8">
        <f>SCORES!J$17</f>
        <v>0.4</v>
      </c>
      <c r="Z32">
        <f>SCORES!K$18</f>
        <v>0</v>
      </c>
      <c r="AA32">
        <f>SCORES!J$18</f>
        <v>0.4</v>
      </c>
    </row>
    <row r="33" spans="15:27" x14ac:dyDescent="0.25">
      <c r="V33" s="7">
        <f>SCORES!K$7</f>
        <v>0.8</v>
      </c>
      <c r="W33" s="8">
        <f>SCORES!J$7</f>
        <v>0.25</v>
      </c>
      <c r="X33" s="7">
        <f>SCORES!K$17</f>
        <v>0</v>
      </c>
      <c r="Y33" s="8">
        <f>SCORES!J$17</f>
        <v>0.4</v>
      </c>
      <c r="Z33">
        <f>SCORES!K$18</f>
        <v>0</v>
      </c>
      <c r="AA33">
        <f>SCORES!J$18</f>
        <v>0.4</v>
      </c>
    </row>
    <row r="34" spans="15:27" x14ac:dyDescent="0.25">
      <c r="V34" s="7">
        <f>SCORES!K$7</f>
        <v>0.8</v>
      </c>
      <c r="W34" s="8">
        <f>SCORES!J$7</f>
        <v>0.25</v>
      </c>
      <c r="X34" s="7">
        <f>SCORES!K$17</f>
        <v>0</v>
      </c>
      <c r="Y34" s="8">
        <f>SCORES!J$17</f>
        <v>0.4</v>
      </c>
      <c r="Z34">
        <f>SCORES!K$18</f>
        <v>0</v>
      </c>
      <c r="AA34">
        <f>SCORES!J$18</f>
        <v>0.4</v>
      </c>
    </row>
    <row r="35" spans="15:27" x14ac:dyDescent="0.25">
      <c r="V35" s="7">
        <f>SCORES!K$7</f>
        <v>0.8</v>
      </c>
      <c r="W35" s="8">
        <f>SCORES!J$7</f>
        <v>0.25</v>
      </c>
      <c r="X35" s="7">
        <f>SCORES!K$17</f>
        <v>0</v>
      </c>
      <c r="Y35" s="8">
        <f>SCORES!J$17</f>
        <v>0.4</v>
      </c>
      <c r="Z35">
        <f>SCORES!K$18</f>
        <v>0</v>
      </c>
      <c r="AA35">
        <f>SCORES!J$18</f>
        <v>0.4</v>
      </c>
    </row>
    <row r="36" spans="15:27" x14ac:dyDescent="0.25">
      <c r="V36" s="7">
        <f>SCORES!K$7</f>
        <v>0.8</v>
      </c>
      <c r="W36" s="8">
        <f>SCORES!J$7</f>
        <v>0.25</v>
      </c>
      <c r="X36" s="7">
        <f>SCORES!K$17</f>
        <v>0</v>
      </c>
      <c r="Y36" s="8">
        <f>SCORES!J$17</f>
        <v>0.4</v>
      </c>
      <c r="Z36">
        <f>SCORES!K$18</f>
        <v>0</v>
      </c>
      <c r="AA36">
        <f>SCORES!J$18</f>
        <v>0.4</v>
      </c>
    </row>
    <row r="37" spans="15:27" x14ac:dyDescent="0.25">
      <c r="V37" s="7">
        <f>SCORES!K$7</f>
        <v>0.8</v>
      </c>
      <c r="W37" s="8">
        <f>SCORES!J$7</f>
        <v>0.25</v>
      </c>
      <c r="X37" s="7">
        <f>SCORES!K$17</f>
        <v>0</v>
      </c>
      <c r="Y37" s="8">
        <f>SCORES!J$17</f>
        <v>0.4</v>
      </c>
      <c r="Z37">
        <f>SCORES!K$18</f>
        <v>0</v>
      </c>
      <c r="AA37">
        <f>SCORES!J$18</f>
        <v>0.4</v>
      </c>
    </row>
    <row r="38" spans="15:27" x14ac:dyDescent="0.25">
      <c r="P38" s="7"/>
      <c r="Q38" s="7"/>
      <c r="R38" s="7"/>
      <c r="V38" s="7">
        <f>SCORES!K$7</f>
        <v>0.8</v>
      </c>
      <c r="W38" s="8">
        <f>SCORES!J$7</f>
        <v>0.25</v>
      </c>
      <c r="X38" s="7">
        <f>SCORES!K$17</f>
        <v>0</v>
      </c>
      <c r="Y38" s="8">
        <f>SCORES!J$17</f>
        <v>0.4</v>
      </c>
      <c r="Z38">
        <f>SCORES!K$18</f>
        <v>0</v>
      </c>
      <c r="AA38">
        <f>SCORES!J$18</f>
        <v>0.4</v>
      </c>
    </row>
    <row r="39" spans="15:27" x14ac:dyDescent="0.25">
      <c r="P39" s="7"/>
      <c r="Q39" s="7"/>
      <c r="V39" s="7">
        <f>SCORES!K$7</f>
        <v>0.8</v>
      </c>
      <c r="W39" s="8">
        <f>SCORES!J$7</f>
        <v>0.25</v>
      </c>
      <c r="X39" s="7">
        <f>SCORES!K$17</f>
        <v>0</v>
      </c>
      <c r="Y39" s="8">
        <f>SCORES!J$17</f>
        <v>0.4</v>
      </c>
      <c r="Z39">
        <f>SCORES!K$18</f>
        <v>0</v>
      </c>
      <c r="AA39">
        <f>SCORES!J$18</f>
        <v>0.4</v>
      </c>
    </row>
    <row r="40" spans="15:27" x14ac:dyDescent="0.25">
      <c r="P40" s="7"/>
      <c r="Q40" s="7"/>
      <c r="V40" s="7">
        <f>SCORES!K$7</f>
        <v>0.8</v>
      </c>
      <c r="W40" s="8">
        <f>SCORES!J$7</f>
        <v>0.25</v>
      </c>
      <c r="X40" s="7">
        <f>SCORES!K$17</f>
        <v>0</v>
      </c>
      <c r="Y40" s="8">
        <f>SCORES!J$17</f>
        <v>0.4</v>
      </c>
      <c r="Z40">
        <f>SCORES!K$18</f>
        <v>0</v>
      </c>
      <c r="AA40">
        <f>SCORES!J$18</f>
        <v>0.4</v>
      </c>
    </row>
    <row r="41" spans="15:27" x14ac:dyDescent="0.25">
      <c r="P41" s="7"/>
      <c r="Q41" s="7"/>
    </row>
    <row r="42" spans="15:27" x14ac:dyDescent="0.25">
      <c r="P42" s="7"/>
      <c r="Q42" s="7"/>
    </row>
    <row r="43" spans="15:27" x14ac:dyDescent="0.25">
      <c r="P43" s="7"/>
      <c r="Q43" s="7"/>
    </row>
    <row r="44" spans="15:27" x14ac:dyDescent="0.25">
      <c r="O44" s="7"/>
      <c r="P44" s="7"/>
      <c r="Q4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SCORES</vt:lpstr>
      <vt:lpstr>SummaryTable</vt:lpstr>
      <vt:lpstr>Data(perSeason,perCrop)</vt:lpstr>
      <vt:lpstr>Indicators</vt:lpstr>
      <vt:lpstr>Data(perCrop)</vt:lpstr>
      <vt:lpstr>Data(FAO-AQUASTAT)</vt:lpstr>
      <vt:lpstr>Indicators(perCrop)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 Ragettli</dc:creator>
  <cp:lastModifiedBy>Praveen Kalura</cp:lastModifiedBy>
  <dcterms:created xsi:type="dcterms:W3CDTF">2024-04-03T11:57:49Z</dcterms:created>
  <dcterms:modified xsi:type="dcterms:W3CDTF">2025-12-08T12:30:50Z</dcterms:modified>
</cp:coreProperties>
</file>